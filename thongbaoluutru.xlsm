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0" yWindow="0" windowWidth="23040" windowHeight="9192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S92" i="2" l="1"/>
  <c r="T92" i="2" s="1"/>
  <c r="R2" i="2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<sst xmlns="http://schemas.openxmlformats.org/spreadsheetml/2006/main" count="37069" uniqueCount="22097">
  <si>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</si>
  <si>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</si>
  <si>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</si>
  <si>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</si>
  <si>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</si>
  <si>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</si>
  <si>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</si>
  <si>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</si>
  <si>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</si>
  <si>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</si>
  <si>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</si>
  <si>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</si>
  <si>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</si>
  <si>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</si>
  <si>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</si>
  <si>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</si>
  <si>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</si>
  <si>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</si>
  <si>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</si>
  <si>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</si>
  <si>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</si>
  <si>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</si>
  <si>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</si>
  <si>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</si>
  <si>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</si>
  <si>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</si>
  <si>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</si>
  <si>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</si>
  <si>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</si>
  <si>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</si>
  <si>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</si>
  <si>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</si>
  <si>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</si>
  <si>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</si>
  <si>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</si>
  <si>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</si>
  <si>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</si>
  <si>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</si>
  <si>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</si>
  <si>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</si>
  <si>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</si>
  <si>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</si>
  <si>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</si>
  <si>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</si>
  <si>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</si>
  <si>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</si>
  <si>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</si>
  <si>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</si>
  <si>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</si>
  <si>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</si>
  <si>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</si>
  <si>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</si>
  <si>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</si>
  <si>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</si>
  <si>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</si>
  <si>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</si>
  <si>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</si>
  <si>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</si>
  <si>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</si>
  <si>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</si>
  <si>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</si>
  <si>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</si>
  <si>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</si>
  <si>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</si>
  <si>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</si>
  <si>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</si>
  <si>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</si>
  <si>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</si>
  <si>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</si>
  <si>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</si>
  <si>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</si>
  <si>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</si>
  <si>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</si>
  <si>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</si>
  <si>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</si>
  <si>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</si>
  <si>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</si>
  <si>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</si>
  <si>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</si>
  <si>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</si>
  <si>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</si>
  <si>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</si>
  <si>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</si>
  <si>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</si>
  <si>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</si>
  <si>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</si>
  <si>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</si>
  <si>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</si>
  <si>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</si>
  <si>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</si>
  <si>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</si>
  <si>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</si>
  <si>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</si>
  <si>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</si>
  <si>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</si>
  <si>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</si>
  <si>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</si>
  <si>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</si>
  <si>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</si>
  <si>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</si>
  <si>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</si>
  <si>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</si>
  <si>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</si>
  <si>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</si>
  <si>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</si>
  <si>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</si>
  <si>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</si>
  <si>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</si>
  <si>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</si>
  <si>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</si>
  <si>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</si>
  <si>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</si>
  <si>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</si>
  <si>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</si>
  <si>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</si>
  <si>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</si>
  <si>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</si>
  <si>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</si>
  <si>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</si>
  <si>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</si>
  <si>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</si>
  <si>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</si>
  <si>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</si>
  <si>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</si>
  <si>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</si>
  <si>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</si>
  <si>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</si>
  <si>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</si>
  <si>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</si>
  <si>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</si>
  <si>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</si>
  <si>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</si>
  <si>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</si>
  <si>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</si>
  <si>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</si>
  <si>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</si>
  <si>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</si>
  <si>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</si>
  <si>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</si>
  <si>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</si>
  <si>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</si>
  <si>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</si>
  <si>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</si>
  <si>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</si>
  <si>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</si>
  <si>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</si>
  <si>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</si>
  <si>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</si>
  <si>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</si>
  <si>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</si>
  <si>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</si>
  <si>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</si>
  <si>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</si>
  <si>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</si>
  <si>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</si>
  <si>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</si>
  <si>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</si>
  <si>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</si>
  <si>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</si>
  <si>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</si>
  <si>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</si>
  <si>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</si>
  <si>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</si>
  <si>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</si>
  <si>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</si>
  <si>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</si>
  <si>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</si>
  <si>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</si>
  <si>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</si>
  <si>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</si>
  <si>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</si>
  <si>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</si>
  <si>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</si>
  <si>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</si>
  <si>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</si>
  <si>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</si>
  <si>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</si>
  <si>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</si>
  <si>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</si>
  <si>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</si>
  <si>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</si>
  <si>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</si>
  <si>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</si>
  <si>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</si>
  <si>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</si>
  <si>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</si>
  <si>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</si>
  <si>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</si>
  <si>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</si>
  <si>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</si>
  <si>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</si>
  <si>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</si>
  <si>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</si>
  <si>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</si>
  <si>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</si>
  <si>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</si>
  <si>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</si>
  <si>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</si>
  <si>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</si>
  <si>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</si>
  <si>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</si>
  <si>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</si>
  <si>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</si>
  <si>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</si>
  <si>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</si>
  <si>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</si>
  <si>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</si>
  <si>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</si>
  <si>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</si>
  <si>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</si>
  <si>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</si>
  <si>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</si>
  <si>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</si>
  <si>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</si>
  <si>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</si>
  <si>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</si>
  <si>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</si>
  <si>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</si>
  <si>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</si>
  <si>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</si>
  <si>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</si>
  <si>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</si>
  <si>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</si>
  <si>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</si>
  <si>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</si>
  <si>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</si>
  <si>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</si>
  <si>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</si>
  <si>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</si>
  <si>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</si>
  <si>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</si>
  <si>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</si>
  <si>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</si>
  <si>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</si>
  <si>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</si>
  <si>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</si>
  <si>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</si>
  <si>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</si>
  <si>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</si>
  <si>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</si>
  <si>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</si>
  <si>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</si>
  <si>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</si>
  <si>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</si>
  <si>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</si>
  <si>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</si>
  <si>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</si>
  <si>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</si>
  <si>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</si>
  <si>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</si>
  <si>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</si>
  <si>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</si>
  <si>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</si>
  <si>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</si>
  <si>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</si>
  <si>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</si>
  <si>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</si>
  <si>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</si>
  <si>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</si>
  <si>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</si>
  <si>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</si>
  <si>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</si>
  <si>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</si>
  <si>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</si>
  <si>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</si>
  <si>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</si>
  <si>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</si>
  <si>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</si>
  <si>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</si>
  <si>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</si>
  <si>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</si>
  <si>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</si>
  <si>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</si>
  <si>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</si>
  <si>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</si>
  <si>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</si>
  <si>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</si>
  <si>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</si>
  <si>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</si>
  <si>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</si>
  <si>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</si>
  <si>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</si>
  <si>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</si>
  <si>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</si>
  <si>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</si>
  <si>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</si>
  <si>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</si>
  <si>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</si>
  <si>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</si>
  <si>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</si>
  <si>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</si>
  <si>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</si>
  <si>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</si>
  <si>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</si>
  <si>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</si>
  <si>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</si>
  <si>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</si>
  <si>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</si>
  <si>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</si>
  <si>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</si>
  <si>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</si>
  <si>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</si>
  <si>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</si>
  <si>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</si>
  <si>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</si>
  <si>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</si>
  <si>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</si>
  <si>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</si>
  <si>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</si>
  <si>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</si>
  <si>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</si>
  <si>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</si>
  <si>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</si>
  <si>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</si>
  <si>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</si>
  <si>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</si>
  <si>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</si>
  <si>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</si>
  <si>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</si>
  <si>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</si>
  <si>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</si>
  <si>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</si>
  <si>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</si>
  <si>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</si>
  <si>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</si>
  <si>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</si>
  <si>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</si>
  <si>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</si>
  <si>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</si>
  <si>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</si>
  <si>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</si>
  <si>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</si>
  <si>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</si>
  <si>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</si>
  <si>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</si>
  <si>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</si>
  <si>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</si>
  <si>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</si>
  <si>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</si>
  <si>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</si>
  <si>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</si>
  <si>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</si>
  <si>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</si>
  <si>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</si>
  <si>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</si>
  <si>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</si>
  <si>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</si>
  <si>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</si>
  <si>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</si>
  <si>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</si>
  <si>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</si>
  <si>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</si>
  <si>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</si>
  <si>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</si>
  <si>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</si>
  <si>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</si>
  <si>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</si>
  <si>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</si>
  <si>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</si>
  <si>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</si>
  <si>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</si>
  <si>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</si>
  <si>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</si>
  <si>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</si>
  <si>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</si>
  <si>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</si>
  <si>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</si>
  <si>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</si>
  <si>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</si>
  <si>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</si>
  <si>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</si>
  <si>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</si>
  <si>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</si>
  <si>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</si>
  <si>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</si>
  <si>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</si>
  <si>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</si>
  <si>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</si>
  <si>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</si>
  <si>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</si>
  <si>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</si>
  <si>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</si>
  <si>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</si>
  <si>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</si>
  <si>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</si>
  <si>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</si>
  <si>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</si>
  <si>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</si>
  <si>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</si>
  <si>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</si>
  <si>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</si>
  <si>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</si>
  <si>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</si>
  <si>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</si>
  <si>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</si>
  <si>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</si>
  <si>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</si>
  <si>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</si>
  <si>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</si>
  <si>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</si>
  <si>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</si>
  <si>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</si>
  <si>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</si>
  <si>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</si>
  <si>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</si>
  <si>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</si>
  <si>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</si>
  <si>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</si>
  <si>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</si>
  <si>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</si>
  <si>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</si>
  <si>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</si>
  <si>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</si>
  <si>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</si>
  <si>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</si>
  <si>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</si>
  <si>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</si>
  <si>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</si>
  <si>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</si>
  <si>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</si>
  <si>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</si>
  <si>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</si>
  <si>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</si>
  <si>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</si>
  <si>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</si>
  <si>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</si>
  <si>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</si>
  <si>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</si>
  <si>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</si>
  <si>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</si>
  <si>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</si>
  <si>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</si>
  <si>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</si>
  <si>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</si>
  <si>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</si>
  <si>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</si>
  <si>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</si>
  <si>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</si>
  <si>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</si>
  <si>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</si>
  <si>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</si>
  <si>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</si>
  <si>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</si>
  <si>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</si>
  <si>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</si>
  <si>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</si>
  <si>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</si>
  <si>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</si>
  <si>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</si>
  <si>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</si>
  <si>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</si>
  <si>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</si>
  <si>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</si>
  <si>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</si>
  <si>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</si>
  <si>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</si>
  <si>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</si>
  <si>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</si>
  <si>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</si>
  <si>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</si>
  <si>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</si>
  <si>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</si>
  <si>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</si>
  <si>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</si>
  <si>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</si>
  <si>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</si>
  <si>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</si>
  <si>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</si>
  <si>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</si>
  <si>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</si>
  <si>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</si>
  <si>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</si>
  <si>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</si>
  <si>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</si>
  <si>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</si>
  <si>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</si>
  <si>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</si>
  <si>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</si>
  <si>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</si>
  <si>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</si>
  <si>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</si>
  <si>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</si>
  <si>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</si>
  <si>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</si>
  <si>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</si>
  <si>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</si>
  <si>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</si>
  <si>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</si>
  <si>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</si>
  <si>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</si>
  <si>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</si>
  <si>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</si>
  <si>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</si>
  <si>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</si>
  <si>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</si>
  <si>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</si>
  <si>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</si>
  <si>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</si>
  <si>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</si>
  <si>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</si>
  <si>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</si>
  <si>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</si>
  <si>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</si>
  <si>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</si>
  <si>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</si>
  <si>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</si>
  <si>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</si>
  <si>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</si>
  <si>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</si>
  <si>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</si>
  <si>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</si>
  <si>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</si>
  <si>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</si>
  <si>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</si>
  <si>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</si>
  <si>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</si>
  <si>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</si>
  <si>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</si>
  <si>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</si>
  <si>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</si>
  <si>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</si>
  <si>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</si>
  <si>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</si>
  <si>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</si>
  <si>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</si>
  <si>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</si>
  <si>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</si>
  <si>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</si>
  <si>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</si>
  <si>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</si>
  <si>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</si>
  <si>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</si>
  <si>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</si>
  <si>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</si>
  <si>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</si>
  <si>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</si>
  <si>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</si>
  <si>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</si>
  <si>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</si>
  <si>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</si>
  <si>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</si>
  <si>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</si>
  <si>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</si>
  <si>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</si>
  <si>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</si>
  <si>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</si>
  <si>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</si>
  <si>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</si>
  <si>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</si>
  <si>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</si>
  <si>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</si>
  <si>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</si>
  <si>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</si>
  <si>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</si>
  <si>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</si>
  <si>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</si>
  <si>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</si>
  <si>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</si>
  <si>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</si>
  <si>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</si>
  <si>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</si>
  <si>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</si>
  <si>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</si>
  <si>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</si>
  <si>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</si>
  <si>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</si>
  <si>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</si>
  <si>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</si>
  <si>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</si>
  <si>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</si>
  <si>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</si>
  <si>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</si>
  <si>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</si>
  <si>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</si>
  <si>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</si>
  <si>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</si>
  <si>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</si>
  <si>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</si>
  <si>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</si>
  <si>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</si>
  <si>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</si>
  <si>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</si>
  <si>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</si>
  <si>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</si>
  <si>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</si>
  <si>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</si>
  <si>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</si>
  <si>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</si>
  <si>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</si>
  <si>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</si>
  <si>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</si>
  <si>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</si>
  <si>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</si>
  <si>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</si>
  <si>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</si>
  <si>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</si>
  <si>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</si>
  <si>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</si>
  <si>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</si>
  <si>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</si>
  <si>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</si>
  <si>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</si>
  <si>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</si>
  <si>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</si>
  <si>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</si>
  <si>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</si>
  <si>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</si>
  <si>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</si>
  <si>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</si>
  <si>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</si>
  <si>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</si>
  <si>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</si>
  <si>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</si>
  <si>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</si>
  <si>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</si>
  <si>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</si>
  <si>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</si>
  <si>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</si>
  <si>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</si>
  <si>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</si>
  <si>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</si>
  <si>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</si>
  <si>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</si>
  <si>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</si>
  <si>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</si>
  <si>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</si>
  <si>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</si>
  <si>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</si>
  <si>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</si>
  <si>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</si>
  <si>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</si>
  <si>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</si>
  <si>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</si>
  <si>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</si>
  <si>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</si>
  <si>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</si>
  <si>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</si>
  <si>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</si>
  <si>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</si>
  <si>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</si>
  <si>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</si>
  <si>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</si>
  <si>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</si>
  <si>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</si>
  <si>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</si>
  <si>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</si>
  <si>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</si>
  <si>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</si>
  <si>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</si>
  <si>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</si>
  <si>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</si>
  <si>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</si>
  <si>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</si>
  <si>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</si>
  <si>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</si>
  <si>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</si>
  <si>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</si>
  <si>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</si>
  <si>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</si>
  <si>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</si>
  <si>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</si>
  <si>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</si>
  <si>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</si>
  <si>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</si>
  <si>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</si>
  <si>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</si>
  <si>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</si>
  <si>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</si>
  <si>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</si>
  <si>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</si>
  <si>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</si>
  <si>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</si>
  <si>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</si>
  <si>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</si>
  <si>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</si>
  <si>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</si>
  <si>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</si>
  <si>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</si>
  <si>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</si>
  <si>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</si>
  <si>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</si>
  <si>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</si>
  <si>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</si>
  <si>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</si>
  <si>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</si>
  <si>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</si>
  <si>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</si>
  <si>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</si>
  <si>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</si>
  <si>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</si>
  <si>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</si>
  <si>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</si>
  <si>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</si>
  <si>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</si>
  <si>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</si>
  <si>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</si>
  <si>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</si>
  <si>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</si>
  <si>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</si>
  <si>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</si>
  <si>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</si>
  <si>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</si>
  <si>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</si>
  <si>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</si>
  <si>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</si>
  <si>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</si>
  <si>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</si>
  <si>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</si>
  <si>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</si>
  <si>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</si>
  <si>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</si>
  <si>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</si>
  <si>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</si>
  <si>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</si>
  <si>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</si>
  <si>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</si>
  <si>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</si>
  <si>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</si>
  <si>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</si>
  <si>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</si>
  <si>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</si>
  <si>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</si>
  <si>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</si>
  <si>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</si>
  <si>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</si>
  <si>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</si>
  <si>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</si>
  <si>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</si>
  <si>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</si>
  <si>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</si>
  <si>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</si>
  <si>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</si>
  <si>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</si>
  <si>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</si>
  <si>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</si>
  <si>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</si>
  <si>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</si>
  <si>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</si>
  <si>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</si>
  <si>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</si>
  <si>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</si>
  <si>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</si>
  <si>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</si>
  <si>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</si>
  <si>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</si>
  <si>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</si>
  <si>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</si>
  <si>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</si>
  <si>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</si>
  <si>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</si>
  <si>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</si>
  <si>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</si>
  <si>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</si>
  <si>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</si>
  <si>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</si>
  <si>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</si>
  <si>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</si>
  <si>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</si>
  <si>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</si>
  <si>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</si>
  <si>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</si>
  <si>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</si>
  <si>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</si>
  <si>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</si>
  <si>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</si>
  <si>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</si>
  <si>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</si>
  <si>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</si>
  <si>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</si>
  <si>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</si>
  <si>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</si>
  <si>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</si>
  <si>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</si>
  <si>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</si>
  <si>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</si>
  <si>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</si>
  <si>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</si>
  <si>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</si>
  <si>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</si>
  <si>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</si>
  <si>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</si>
  <si>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</si>
  <si>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</si>
  <si>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</si>
  <si>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</si>
  <si>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</si>
  <si>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</si>
  <si>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</si>
  <si>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</si>
  <si>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</si>
  <si>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</si>
  <si>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</si>
  <si>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</si>
  <si>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</si>
  <si>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</si>
  <si>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</si>
  <si>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</si>
  <si>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</si>
  <si>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</si>
  <si>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</si>
  <si>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</si>
  <si>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</si>
  <si>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</si>
  <si>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</si>
  <si>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</si>
  <si>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</si>
  <si>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</si>
  <si>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</si>
  <si>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</si>
  <si>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</si>
  <si>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</si>
  <si>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</si>
  <si>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</si>
  <si>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</si>
  <si>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</si>
  <si>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</si>
  <si>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</si>
  <si>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</si>
  <si>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</si>
  <si>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</si>
  <si>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</si>
  <si>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</si>
  <si>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</si>
  <si>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</si>
  <si>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</si>
  <si>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</si>
  <si>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</si>
  <si>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</si>
  <si>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</si>
  <si>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</si>
  <si>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</si>
  <si>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</si>
  <si>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</si>
  <si>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</si>
  <si>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</si>
  <si>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</si>
  <si>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</si>
  <si>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</si>
  <si>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</si>
  <si>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</si>
  <si>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</si>
  <si>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</si>
  <si>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</si>
  <si>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</si>
  <si>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</si>
  <si>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</si>
  <si>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</si>
  <si>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</si>
  <si>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</si>
  <si>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</si>
  <si>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</si>
  <si>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</si>
  <si>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</si>
  <si>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</si>
  <si>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</si>
  <si>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</si>
  <si>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</si>
  <si>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</si>
  <si>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</si>
  <si>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</si>
  <si>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</si>
  <si>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</si>
  <si>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</si>
  <si>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</si>
  <si>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</si>
  <si>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</si>
  <si>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</si>
  <si>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</si>
  <si>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</si>
  <si>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</si>
  <si>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</si>
  <si>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</si>
  <si>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</si>
  <si>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</si>
  <si>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</si>
  <si>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</si>
  <si>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</si>
  <si>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</si>
  <si>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</si>
  <si>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</si>
  <si>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</si>
  <si>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</si>
  <si>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</si>
  <si>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</si>
  <si>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</si>
  <si>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</si>
  <si>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</si>
  <si>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</si>
  <si>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</si>
  <si>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</si>
  <si>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</si>
  <si>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</si>
  <si>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</si>
  <si>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</si>
  <si>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</si>
  <si>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</si>
  <si>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</si>
  <si>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</si>
  <si>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</si>
  <si>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</si>
  <si>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</si>
  <si>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</si>
  <si>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</si>
  <si>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</si>
  <si>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</si>
  <si>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</si>
  <si>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</si>
  <si>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</si>
  <si>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</si>
  <si>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</si>
  <si>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</si>
  <si>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</si>
  <si>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</si>
  <si>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</si>
  <si>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</si>
  <si>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</si>
  <si>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</si>
  <si>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</si>
  <si>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</si>
  <si>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</si>
  <si>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</si>
  <si>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</si>
  <si>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</si>
  <si>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</si>
  <si>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</si>
  <si>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</si>
  <si>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</si>
  <si>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</si>
  <si>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</si>
  <si>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</si>
  <si>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</si>
  <si>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</si>
  <si>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</si>
  <si>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</si>
  <si>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</si>
  <si>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</si>
  <si>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</si>
  <si>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</si>
  <si>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</si>
  <si>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</si>
  <si>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</si>
  <si>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</si>
  <si>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</si>
  <si>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</si>
  <si>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</si>
  <si>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</si>
  <si>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</si>
  <si>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</si>
  <si>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</si>
  <si>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</si>
  <si>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</si>
  <si>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</si>
  <si>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</si>
  <si>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</si>
  <si>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</si>
  <si>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</si>
  <si>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</si>
  <si>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</si>
  <si>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</si>
  <si>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</si>
  <si>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</si>
  <si>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</si>
  <si>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</si>
  <si>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</si>
  <si>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</si>
  <si>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</si>
  <si>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</si>
  <si>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</si>
  <si>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</si>
  <si>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</si>
  <si>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</si>
  <si>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</si>
  <si>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</si>
  <si>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</si>
  <si>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</si>
  <si>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</si>
  <si>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</si>
  <si>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</si>
  <si>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</si>
  <si>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</si>
  <si>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</si>
  <si>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</si>
  <si>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</si>
  <si>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</si>
  <si>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</si>
  <si>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</si>
  <si>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</si>
  <si>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</si>
  <si>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</si>
  <si>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</si>
  <si>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</si>
  <si>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</si>
  <si>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</si>
  <si>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</si>
  <si>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</si>
  <si>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</si>
  <si>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</si>
  <si>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</si>
  <si>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</si>
  <si>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</si>
  <si>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</si>
  <si>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</si>
  <si>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</si>
  <si>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</si>
  <si>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</si>
  <si>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</si>
  <si>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</si>
  <si>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</si>
  <si>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</si>
  <si>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</si>
  <si>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</si>
  <si>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</si>
  <si>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</si>
  <si>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</si>
  <si>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</si>
  <si>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</si>
  <si>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</si>
  <si>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</si>
  <si>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</si>
  <si>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</si>
  <si>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</si>
  <si>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</si>
  <si>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</si>
  <si>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</si>
  <si>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</si>
  <si>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</si>
  <si>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</si>
  <si>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</si>
  <si>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</si>
  <si>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</si>
  <si>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</si>
  <si>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</si>
  <si>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</si>
  <si>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</si>
  <si>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</si>
  <si>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</si>
  <si>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</si>
  <si>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</si>
  <si>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</si>
  <si>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</si>
  <si>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</si>
  <si>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</si>
  <si>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</si>
  <si>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</si>
  <si>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</si>
  <si>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</si>
  <si>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</si>
  <si>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</si>
  <si>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</si>
  <si>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</si>
  <si>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</si>
  <si>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</si>
  <si>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</si>
  <si>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</si>
  <si>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</si>
  <si>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</si>
  <si>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</si>
  <si>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</si>
  <si>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</si>
  <si>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</si>
  <si>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</si>
  <si>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</si>
  <si>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</si>
  <si>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</si>
  <si>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</si>
  <si>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</si>
  <si>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</si>
  <si>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</si>
  <si>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</si>
  <si>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</si>
  <si>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</si>
  <si>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</si>
  <si>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</si>
  <si>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</si>
  <si>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</si>
  <si>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</si>
  <si>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</si>
  <si>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</si>
  <si>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</si>
  <si>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</si>
  <si>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</si>
  <si>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</si>
  <si>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</si>
  <si>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</si>
  <si>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</si>
  <si>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</si>
  <si>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</si>
  <si>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</si>
  <si>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</si>
  <si>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</si>
  <si>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</si>
  <si>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</si>
  <si>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</si>
  <si>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</si>
  <si>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</si>
  <si>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</si>
  <si>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</si>
  <si>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</si>
  <si>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</si>
  <si>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</si>
  <si>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</si>
  <si>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</si>
  <si>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</si>
  <si>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</si>
  <si>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</si>
  <si>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</si>
  <si>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</si>
  <si>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</si>
  <si>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</si>
  <si>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</si>
  <si>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</si>
  <si>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</si>
  <si>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</si>
  <si>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</si>
  <si>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</si>
  <si>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</si>
  <si>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</si>
  <si>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</si>
  <si>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</si>
  <si>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</si>
  <si>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</si>
  <si>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</si>
  <si>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</si>
  <si>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</si>
  <si>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</si>
  <si>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</si>
  <si>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</si>
  <si>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</si>
  <si>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</si>
  <si>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</si>
  <si>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</si>
  <si>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</si>
  <si>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</si>
  <si>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</si>
  <si>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</si>
  <si>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</si>
  <si>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</si>
  <si>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</si>
  <si>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</si>
  <si>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</si>
  <si>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</si>
  <si>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</si>
  <si>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</si>
  <si>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</si>
  <si>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</si>
  <si>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</si>
  <si>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</si>
  <si>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</si>
  <si>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</si>
  <si>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</si>
  <si>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</si>
  <si>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</si>
  <si>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</si>
  <si>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</si>
  <si>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</si>
  <si>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</si>
  <si>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</si>
  <si>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</si>
  <si>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</si>
  <si>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</si>
  <si>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</si>
  <si>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</si>
  <si>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</si>
  <si>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</si>
  <si>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</si>
  <si>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</si>
  <si>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</si>
  <si>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</si>
  <si>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</si>
  <si>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</si>
  <si>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</si>
  <si>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</si>
  <si>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</si>
  <si>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</si>
  <si>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</si>
  <si>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</si>
  <si>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</si>
  <si>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</si>
  <si>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</si>
  <si>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</si>
  <si>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</si>
  <si>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</si>
  <si>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</si>
  <si>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</si>
  <si>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</si>
  <si>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</si>
  <si>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</si>
  <si>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</si>
  <si>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</si>
  <si>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</si>
  <si>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</si>
  <si>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</si>
  <si>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</si>
  <si>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</si>
  <si>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</si>
  <si>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</si>
  <si>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</si>
  <si>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</si>
  <si>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</si>
  <si>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</si>
  <si>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</si>
  <si>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</si>
  <si>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</si>
  <si>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</si>
  <si>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</si>
  <si>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</si>
  <si>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</si>
  <si>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</si>
  <si>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</si>
  <si>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</si>
  <si>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</si>
  <si>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</si>
  <si>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</si>
  <si>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</si>
  <si>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</si>
  <si>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</si>
  <si>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</si>
  <si>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</si>
  <si>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</si>
  <si>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</si>
  <si>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</si>
  <si>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</si>
  <si>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</si>
  <si>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</si>
  <si>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</si>
  <si>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</si>
  <si>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</si>
  <si>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</si>
  <si>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</si>
  <si>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</si>
  <si>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</si>
  <si>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</si>
  <si>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</si>
  <si>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</si>
  <si>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</si>
  <si>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</si>
  <si>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</si>
  <si>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</si>
  <si>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</si>
  <si>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</si>
  <si>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</si>
  <si>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</si>
  <si>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</si>
  <si>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</si>
  <si>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</si>
  <si>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</si>
  <si>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</si>
  <si>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</si>
  <si>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</si>
  <si>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</si>
  <si>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</si>
  <si>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</si>
  <si>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</si>
  <si>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</si>
  <si>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</si>
  <si>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</si>
  <si>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</si>
  <si>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</si>
  <si>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</si>
  <si>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</si>
  <si>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</si>
  <si>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</si>
  <si>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</si>
  <si>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</si>
  <si>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</si>
  <si>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</si>
  <si>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</si>
  <si>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</si>
  <si>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</si>
  <si>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</si>
  <si>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</si>
  <si>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</si>
  <si>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</si>
  <si>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</si>
  <si>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</si>
  <si>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</si>
  <si>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</si>
  <si>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</si>
  <si>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</si>
  <si>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</si>
  <si>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</si>
  <si>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</si>
  <si>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</si>
  <si>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</si>
  <si>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</si>
  <si>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</si>
  <si>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</si>
  <si>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</si>
  <si>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</si>
  <si>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</si>
  <si>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</si>
  <si>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</si>
  <si>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</si>
  <si>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</si>
  <si>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</si>
  <si>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</si>
  <si>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</si>
  <si>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</si>
  <si>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</si>
  <si>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</si>
  <si>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</si>
  <si>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</si>
  <si>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</si>
  <si>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</si>
  <si>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</si>
  <si>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</si>
  <si>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</si>
  <si>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</si>
  <si>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</si>
  <si>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</si>
  <si>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</si>
  <si>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</si>
  <si>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</si>
  <si>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</si>
  <si>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</si>
  <si>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</si>
  <si>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</si>
  <si>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</si>
  <si>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</si>
  <si>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</si>
  <si>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</si>
  <si>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</si>
  <si>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</si>
  <si>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</si>
  <si>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</si>
  <si>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</si>
  <si>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</si>
  <si>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</si>
  <si>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</si>
  <si>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</si>
  <si>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</si>
  <si>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</si>
  <si>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</si>
  <si>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</si>
  <si>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</si>
  <si>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</si>
  <si>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</si>
  <si>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</si>
  <si>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</si>
  <si>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</si>
  <si>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</si>
  <si>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</si>
  <si>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</si>
  <si>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</si>
  <si>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</si>
  <si>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</si>
  <si>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</si>
  <si>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</si>
  <si>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</si>
  <si>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</si>
  <si>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</si>
  <si>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</si>
  <si>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</si>
  <si>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</si>
  <si>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</si>
  <si>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</si>
  <si>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</si>
  <si>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</si>
  <si>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</si>
  <si>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</si>
  <si>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</si>
  <si>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</si>
  <si>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</si>
  <si>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</si>
  <si>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</si>
  <si>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</si>
  <si>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</si>
  <si>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</si>
  <si>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</si>
  <si>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</si>
  <si>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</si>
  <si>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</si>
  <si>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</si>
  <si>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</si>
  <si>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</si>
  <si>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</si>
  <si>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</si>
  <si>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</si>
  <si>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</si>
  <si>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</si>
  <si>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</si>
  <si>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</si>
  <si>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</si>
  <si>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</si>
  <si>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</si>
  <si>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</si>
  <si>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</si>
  <si>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</si>
  <si>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</si>
  <si>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</si>
  <si>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</si>
  <si>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</si>
  <si>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</si>
  <si>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</si>
  <si>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</si>
  <si>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</si>
  <si>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</si>
  <si>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</si>
  <si>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</si>
  <si>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</si>
  <si>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</si>
  <si>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</si>
  <si>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</si>
  <si>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</si>
  <si>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</si>
  <si>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</si>
  <si>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</si>
  <si>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</si>
  <si>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</si>
  <si>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</si>
  <si>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</si>
  <si>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</si>
  <si>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</si>
  <si>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</si>
  <si>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</si>
  <si>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</si>
  <si>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</si>
  <si>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</si>
  <si>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</si>
  <si>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</si>
  <si>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</si>
  <si>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</si>
  <si>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</si>
  <si>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</si>
  <si>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</si>
  <si>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</si>
  <si>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</si>
  <si>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</si>
  <si>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</si>
  <si>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</si>
  <si>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</si>
  <si>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</si>
  <si>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</si>
  <si>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</si>
  <si>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</si>
  <si>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</si>
  <si>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</si>
  <si>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</si>
  <si>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</si>
  <si>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</si>
  <si>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</si>
  <si>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</si>
  <si>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</si>
  <si>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</si>
  <si>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</si>
  <si>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</si>
  <si>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</si>
  <si>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</si>
  <si>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</si>
  <si>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</si>
  <si>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</si>
  <si>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</si>
  <si>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</si>
  <si>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</si>
  <si>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</si>
  <si>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</si>
  <si>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</si>
  <si>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</si>
  <si>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</si>
  <si>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</si>
  <si>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</si>
  <si>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</si>
  <si>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</si>
  <si>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</si>
  <si>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</si>
  <si>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</si>
  <si>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</si>
  <si>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</si>
  <si>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</si>
  <si>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</si>
  <si>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</si>
  <si>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</si>
  <si>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</si>
  <si>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</si>
  <si>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</si>
  <si>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</si>
  <si>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</si>
  <si>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</si>
  <si>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</si>
  <si>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</si>
  <si>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</si>
  <si>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</si>
  <si>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</si>
  <si>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</si>
  <si>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</si>
  <si>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</si>
  <si>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</si>
  <si>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</si>
  <si>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</si>
  <si>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</si>
  <si>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</si>
  <si>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</si>
  <si>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</si>
  <si>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</si>
  <si>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</si>
  <si>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</si>
  <si>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</si>
  <si>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</si>
  <si>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</si>
  <si>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</si>
  <si>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</si>
  <si>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</si>
  <si>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</si>
  <si>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</si>
  <si>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</si>
  <si>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</si>
  <si>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</si>
  <si>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</si>
  <si>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</si>
  <si>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</si>
  <si>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</si>
  <si>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</si>
  <si>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</si>
  <si>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</si>
  <si>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</si>
  <si>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</si>
  <si>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</si>
  <si>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</si>
  <si>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</si>
  <si>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</si>
  <si>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</si>
  <si>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</si>
  <si>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</si>
  <si>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</si>
  <si>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</si>
  <si>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</si>
  <si>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</si>
  <si>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</si>
  <si>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</si>
  <si>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</si>
  <si>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</si>
  <si>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</si>
  <si>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</si>
  <si>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</si>
  <si>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</si>
  <si>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</si>
  <si>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</si>
  <si>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</si>
  <si>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</si>
  <si>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</si>
  <si>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</si>
  <si>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</si>
  <si>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</si>
  <si>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</si>
  <si>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</si>
  <si>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</si>
  <si>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</si>
  <si>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</si>
  <si>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</si>
  <si>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</si>
  <si>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</si>
  <si>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</si>
  <si>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</si>
  <si>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</si>
  <si>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</si>
  <si>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</si>
  <si>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</si>
  <si>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</si>
  <si>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</si>
  <si>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</si>
  <si>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</si>
  <si>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</si>
  <si>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</si>
  <si>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</si>
  <si>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</si>
  <si>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</si>
  <si>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</si>
  <si>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</si>
  <si>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</si>
  <si>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</si>
  <si>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</si>
  <si>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</si>
  <si>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</si>
  <si>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</si>
  <si>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</si>
  <si>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</si>
  <si>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</si>
  <si>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</si>
  <si>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</si>
  <si>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</si>
  <si>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</si>
  <si>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</si>
  <si>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</si>
  <si>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</si>
  <si>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</si>
  <si>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</si>
  <si>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</si>
  <si>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</si>
  <si>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</si>
  <si>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</si>
  <si>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</si>
  <si>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</si>
  <si>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</si>
  <si>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</si>
  <si>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</si>
  <si>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</si>
  <si>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</si>
  <si>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</si>
  <si>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</si>
  <si>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</si>
  <si>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</si>
  <si>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</si>
  <si>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</si>
  <si>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</si>
  <si>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</si>
  <si>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</si>
  <si>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</si>
  <si>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</si>
  <si>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</si>
  <si>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</si>
  <si>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</si>
  <si>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</si>
  <si>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</si>
  <si>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</si>
  <si>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</si>
  <si>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</si>
  <si>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</si>
  <si>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</si>
  <si>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</si>
  <si>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</si>
  <si>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</si>
  <si>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</si>
  <si>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</si>
  <si>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</si>
  <si>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</si>
  <si>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</si>
  <si>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</si>
  <si>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</si>
  <si>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</si>
  <si>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</si>
  <si>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</si>
  <si>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</si>
  <si>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</si>
  <si>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</si>
  <si>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</si>
  <si>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</si>
  <si>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</si>
  <si>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</si>
  <si>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</si>
  <si>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</si>
  <si>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</si>
  <si>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</si>
  <si>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</si>
  <si>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</si>
  <si>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</si>
  <si>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</si>
  <si>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</si>
  <si>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</si>
  <si>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</si>
  <si>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</si>
  <si>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</si>
  <si>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</si>
  <si>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</si>
  <si>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</si>
  <si>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</si>
  <si>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</si>
  <si>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</si>
  <si>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</si>
  <si>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</si>
  <si>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</si>
  <si>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</si>
  <si>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</si>
  <si>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</si>
  <si>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</si>
  <si>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</si>
  <si>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</si>
  <si>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</si>
  <si>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</si>
  <si>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</si>
  <si>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</si>
  <si>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</si>
  <si>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</si>
  <si>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</si>
  <si>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</si>
  <si>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</si>
  <si>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</si>
  <si>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</si>
  <si>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</si>
  <si>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</si>
  <si>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</si>
  <si>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</si>
  <si>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</si>
  <si>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</si>
  <si>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</si>
  <si>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</si>
  <si>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</si>
  <si>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</si>
  <si>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</si>
  <si>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</si>
  <si>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</si>
  <si>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</si>
  <si>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</si>
  <si>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</si>
  <si>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</si>
  <si>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</si>
  <si>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</si>
  <si>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</si>
  <si>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</si>
  <si>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</si>
  <si>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</si>
  <si>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</si>
  <si>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</si>
  <si>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</si>
  <si>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</si>
  <si>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</si>
  <si>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</si>
  <si>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</si>
  <si>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</si>
  <si>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</si>
  <si>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</si>
  <si>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</si>
  <si>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</si>
  <si>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</si>
  <si>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</si>
  <si>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</si>
  <si>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</si>
  <si>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</si>
  <si>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</si>
  <si>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</si>
  <si>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</si>
  <si>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</si>
  <si>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</si>
  <si>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</si>
  <si>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</si>
  <si>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</si>
  <si>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</si>
  <si>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</si>
  <si>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</si>
  <si>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</si>
  <si>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</si>
  <si>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</si>
  <si>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</si>
  <si>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</si>
  <si>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</si>
  <si>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</si>
  <si>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</si>
  <si>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</si>
  <si>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</si>
  <si>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</si>
  <si>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</si>
  <si>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</si>
  <si>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</si>
  <si>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</si>
  <si>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</si>
  <si>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</si>
  <si>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</si>
  <si>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</si>
  <si>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</si>
  <si>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</si>
  <si>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</si>
  <si>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</si>
  <si>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</si>
  <si>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</si>
  <si>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</si>
  <si>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</si>
  <si>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</si>
  <si>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</si>
  <si>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</si>
  <si>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</si>
  <si>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</si>
  <si>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</si>
  <si>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</si>
  <si>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</si>
  <si>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</si>
  <si>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</si>
  <si>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</si>
  <si>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</si>
  <si>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</si>
  <si>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</si>
  <si>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</si>
  <si>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</si>
  <si>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</si>
  <si>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</si>
  <si>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</si>
  <si>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</si>
  <si>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</si>
  <si>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</si>
  <si>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</si>
  <si>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</si>
  <si>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</si>
  <si>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</si>
  <si>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</si>
  <si>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</si>
  <si>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</si>
  <si>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</si>
  <si>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</si>
  <si>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</si>
  <si>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</si>
  <si>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</si>
  <si>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</si>
  <si>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</si>
  <si>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</si>
  <si>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</si>
  <si>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</si>
  <si>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</si>
  <si>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</si>
  <si>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</si>
  <si>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</si>
  <si>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</si>
  <si>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</si>
  <si>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</si>
  <si>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</si>
  <si>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</si>
  <si>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</si>
  <si>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</si>
  <si>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</si>
  <si>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</si>
  <si>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</si>
  <si>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</si>
  <si>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</si>
  <si>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</si>
  <si>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</si>
  <si>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</si>
  <si>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</si>
  <si>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</si>
  <si>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</si>
  <si>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</si>
  <si>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</si>
  <si>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</si>
  <si>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</si>
  <si>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</si>
  <si>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</si>
  <si>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</si>
  <si>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</si>
  <si>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</si>
  <si>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</si>
  <si>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</si>
  <si>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</si>
  <si>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</si>
  <si>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</si>
  <si>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</si>
  <si>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</si>
  <si>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</si>
  <si>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</si>
  <si>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</si>
  <si>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</si>
  <si>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</si>
  <si>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</si>
  <si>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</si>
  <si>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</si>
  <si>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</si>
  <si>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</si>
  <si>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</si>
  <si>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</si>
  <si>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</si>
  <si>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</si>
  <si>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</si>
  <si>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</si>
  <si>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</si>
  <si>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</si>
  <si>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</si>
  <si>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</si>
  <si>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</si>
  <si>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</si>
  <si>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</si>
  <si>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</si>
  <si>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</si>
  <si>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</si>
  <si>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</si>
  <si>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</si>
  <si>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</si>
  <si>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</si>
  <si>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</si>
  <si>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</si>
  <si>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</si>
  <si>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</si>
  <si>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</si>
  <si>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</si>
  <si>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</si>
  <si>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</si>
  <si>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</si>
  <si>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</si>
  <si>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</si>
  <si>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</si>
  <si>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</si>
  <si>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</si>
  <si>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</si>
  <si>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</si>
  <si>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</si>
  <si>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</si>
  <si>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</si>
  <si>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</si>
  <si>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</si>
  <si>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</si>
  <si>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</si>
  <si>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</si>
  <si>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</si>
  <si>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</si>
  <si>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</si>
  <si>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</si>
  <si>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</si>
  <si>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</si>
  <si>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</si>
  <si>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</si>
  <si>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</si>
  <si>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</si>
  <si>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</si>
  <si>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</si>
  <si>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</si>
  <si>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</si>
  <si>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</si>
  <si>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</si>
  <si>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</si>
  <si>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</si>
  <si>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</si>
  <si>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</si>
  <si>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</si>
  <si>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</si>
  <si>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</si>
  <si>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</si>
  <si>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</si>
  <si>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</si>
  <si>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</si>
  <si>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</si>
  <si>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</si>
  <si>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</si>
  <si>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</si>
  <si>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</si>
  <si>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</si>
  <si>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</si>
  <si>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</si>
  <si>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</si>
  <si>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</si>
  <si>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</si>
  <si>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</si>
  <si>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</si>
  <si>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</si>
  <si>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</si>
  <si>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</si>
  <si>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</si>
  <si>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</si>
  <si>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</si>
  <si>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</si>
  <si>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</si>
  <si>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</si>
  <si>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</si>
  <si>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</si>
  <si>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</si>
  <si>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</si>
  <si>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</si>
  <si>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</si>
  <si>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</si>
  <si>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</si>
  <si>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</si>
  <si>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</si>
  <si>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</si>
  <si>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</si>
  <si>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</si>
  <si>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</si>
  <si>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</si>
  <si>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</si>
  <si>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</si>
  <si>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</si>
  <si>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</si>
  <si>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</si>
  <si>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</si>
  <si>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</si>
  <si>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</si>
  <si>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</si>
  <si>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</si>
  <si>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</si>
  <si>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</si>
  <si>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</si>
  <si>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</si>
  <si>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</si>
  <si>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</si>
  <si>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</si>
  <si>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</si>
  <si>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</si>
  <si>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</si>
  <si>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</si>
  <si>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</si>
  <si>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</si>
  <si>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</si>
  <si>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</si>
  <si>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</si>
  <si>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</si>
  <si>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</si>
  <si>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</si>
  <si>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</si>
  <si>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</si>
  <si>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</si>
  <si>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</si>
  <si>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</si>
  <si>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</si>
  <si>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</si>
  <si>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</si>
  <si>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</si>
  <si>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</si>
  <si>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</si>
  <si>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</si>
  <si>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</si>
  <si>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</si>
  <si>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</si>
  <si>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</si>
  <si>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</si>
  <si>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</si>
  <si>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</si>
  <si>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</si>
  <si>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</si>
  <si>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</si>
  <si>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</si>
  <si>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</si>
  <si>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</si>
  <si>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</si>
  <si>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</si>
  <si>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</si>
  <si>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</si>
  <si>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</si>
  <si>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</si>
  <si>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</si>
  <si>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</si>
  <si>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</si>
  <si>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</si>
  <si>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</si>
  <si>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</si>
  <si>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</si>
  <si>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</si>
  <si>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</si>
  <si>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</si>
  <si>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</si>
  <si>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</si>
  <si>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</si>
  <si>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</si>
  <si>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</si>
  <si>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</si>
  <si>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</si>
  <si>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</si>
  <si>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</si>
  <si>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</si>
  <si>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</si>
  <si>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</si>
  <si>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</si>
  <si>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</si>
  <si>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</si>
  <si>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</si>
  <si>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</si>
  <si>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</si>
  <si>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</si>
  <si>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</si>
  <si>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</si>
  <si>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</si>
  <si>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</si>
  <si>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</si>
  <si>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</si>
  <si>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</si>
  <si>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</si>
  <si>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</si>
  <si>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</si>
  <si>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</si>
  <si>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</si>
  <si>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</si>
  <si>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</si>
  <si>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</si>
  <si>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</si>
  <si>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</si>
  <si>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</si>
  <si>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</si>
  <si>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</si>
  <si>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</si>
  <si>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</si>
  <si>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</si>
  <si>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</si>
  <si>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</si>
  <si>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</si>
  <si>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</si>
  <si>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</si>
  <si>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</si>
  <si>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</si>
  <si>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</si>
  <si>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</si>
  <si>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</si>
  <si>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</si>
  <si>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</si>
  <si>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</si>
  <si>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</si>
  <si>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</si>
  <si>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</si>
  <si>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</si>
  <si>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</si>
  <si>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</si>
  <si>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</si>
  <si>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</si>
  <si>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</si>
  <si>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</si>
  <si>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</si>
  <si>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</si>
  <si>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</si>
  <si>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</si>
  <si>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</si>
  <si>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</si>
  <si>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</si>
  <si>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</si>
  <si>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</si>
  <si>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</si>
  <si>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</si>
  <si>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</si>
  <si>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</si>
  <si>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</si>
  <si>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</si>
  <si>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</si>
  <si>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</si>
  <si>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</si>
  <si>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</si>
  <si>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</si>
  <si>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</si>
  <si>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</si>
  <si>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</si>
  <si>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</si>
  <si>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</si>
  <si>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</si>
  <si>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</si>
  <si>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</si>
  <si>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</si>
  <si>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</si>
  <si>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</si>
  <si>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</si>
  <si>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</si>
  <si>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</si>
  <si>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</si>
  <si>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</si>
  <si>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</si>
  <si>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</si>
  <si>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</si>
  <si>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</si>
  <si>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</si>
  <si>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</si>
  <si>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</si>
  <si>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</si>
  <si>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</si>
  <si>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</si>
  <si>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</si>
  <si>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</si>
  <si>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</si>
  <si>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</si>
  <si>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</si>
  <si>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</si>
  <si>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</si>
  <si>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</si>
  <si>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</si>
  <si>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</si>
  <si>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</si>
  <si>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</si>
  <si>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</si>
  <si>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</si>
  <si>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</si>
  <si>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</si>
  <si>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</si>
  <si>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</si>
  <si>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</si>
  <si>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</si>
  <si>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</si>
  <si>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</si>
  <si>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</si>
  <si>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</si>
  <si>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</si>
  <si>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</si>
  <si>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</si>
  <si>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</si>
  <si>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</si>
  <si>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</si>
  <si>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</si>
  <si>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</si>
  <si>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</si>
  <si>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</si>
  <si>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</si>
  <si>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</si>
  <si>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</si>
  <si>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</si>
  <si>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</si>
  <si>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</si>
  <si>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</si>
  <si>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</si>
  <si>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</si>
  <si>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</si>
  <si>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</si>
  <si>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</si>
  <si>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</si>
  <si>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</si>
  <si>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</si>
  <si>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</si>
  <si>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</si>
  <si>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</si>
  <si>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</si>
  <si>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</si>
  <si>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</si>
  <si>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</si>
  <si>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</si>
  <si>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</si>
  <si>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</si>
  <si>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</si>
  <si>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</si>
  <si>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</si>
  <si>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</si>
  <si>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</si>
  <si>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</si>
  <si>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</si>
  <si>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</si>
  <si>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</si>
  <si>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</si>
  <si>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</si>
  <si>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</si>
  <si>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</si>
  <si>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</si>
  <si>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</si>
  <si>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</si>
  <si>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</si>
  <si>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</si>
  <si>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</si>
  <si>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</si>
  <si>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</si>
  <si>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</si>
  <si>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</si>
  <si>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</si>
  <si>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</si>
  <si>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</si>
  <si>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</si>
  <si>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</si>
  <si>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</si>
  <si>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</si>
  <si>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</si>
  <si>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</si>
  <si>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</si>
  <si>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</si>
  <si>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</si>
  <si>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</si>
  <si>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</si>
  <si>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</si>
  <si>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</si>
  <si>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</si>
  <si>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</si>
  <si>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</si>
  <si>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</si>
  <si>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</si>
  <si>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</si>
  <si>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</si>
  <si>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</si>
  <si>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</si>
  <si>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</si>
  <si>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</si>
  <si>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</si>
  <si>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</si>
  <si>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</si>
  <si>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</si>
  <si>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</si>
  <si>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</si>
  <si>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</si>
  <si>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</si>
  <si>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</si>
  <si>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</si>
  <si>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</si>
  <si>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</si>
  <si>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</si>
  <si>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</si>
  <si>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</si>
  <si>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</si>
  <si>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</si>
  <si>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</si>
  <si>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</si>
  <si>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</si>
  <si>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</si>
  <si>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</si>
  <si>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</si>
  <si>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</si>
  <si>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</si>
  <si>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</si>
  <si>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</si>
  <si>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</si>
  <si>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</si>
  <si>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</si>
  <si>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</si>
  <si>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</si>
  <si>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</si>
  <si>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</si>
  <si>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</si>
  <si>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</si>
  <si>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</si>
  <si>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</si>
  <si>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</si>
  <si>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</si>
  <si>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</si>
  <si>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</si>
  <si>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</si>
  <si>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</si>
  <si>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</si>
  <si>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</si>
  <si>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</si>
  <si>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</si>
  <si>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</si>
  <si>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</si>
  <si>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</si>
  <si>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</si>
  <si>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</si>
  <si>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</si>
  <si>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</si>
  <si>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</si>
  <si>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</si>
  <si>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</si>
  <si>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</si>
  <si>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</si>
  <si>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</si>
  <si>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</si>
  <si>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</si>
  <si>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</si>
  <si>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</si>
  <si>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</si>
  <si>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</si>
  <si>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</si>
  <si>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</si>
  <si>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</si>
  <si>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</si>
  <si>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</si>
  <si>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</si>
  <si>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</si>
  <si>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</si>
  <si>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</si>
  <si>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</si>
  <si>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</si>
  <si>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</si>
  <si>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</si>
  <si>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</si>
  <si>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</si>
  <si>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</si>
  <si>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</si>
  <si>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</si>
  <si>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</si>
  <si>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</si>
  <si>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</si>
  <si>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</si>
  <si>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</si>
  <si>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</si>
  <si>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</si>
  <si>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</si>
  <si>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</si>
  <si>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</si>
  <si>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</si>
  <si>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</si>
  <si>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</si>
  <si>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</si>
  <si>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</si>
  <si>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</si>
  <si>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</si>
  <si>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</si>
  <si>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</si>
  <si>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</si>
  <si>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</si>
  <si>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</si>
  <si>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</si>
  <si>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</si>
  <si>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</si>
  <si>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</si>
  <si>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</si>
  <si>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</si>
  <si>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</si>
  <si>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</si>
  <si>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</si>
  <si>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</si>
  <si>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</si>
  <si>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</si>
  <si>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</si>
  <si>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</si>
  <si>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</si>
  <si>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</si>
  <si>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</si>
  <si>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</si>
  <si>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</si>
  <si>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</si>
  <si>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</si>
  <si>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</si>
  <si>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</si>
  <si>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</si>
  <si>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</si>
  <si>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</si>
  <si>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</si>
  <si>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</si>
  <si>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</si>
  <si>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</si>
  <si>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</si>
  <si>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</si>
  <si>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</si>
  <si>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</si>
  <si>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</si>
  <si>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</si>
  <si>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</si>
  <si>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</si>
  <si>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</si>
  <si>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</si>
  <si>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</si>
  <si>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</si>
  <si>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</si>
  <si>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</si>
  <si>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</si>
  <si>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</si>
  <si>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</si>
  <si>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</si>
  <si>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</si>
  <si>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</si>
  <si>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</si>
  <si>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</si>
  <si>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</si>
  <si>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</si>
  <si>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</si>
  <si>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</si>
  <si>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</si>
  <si>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</si>
  <si>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</si>
  <si>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</si>
  <si>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</si>
  <si>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</si>
  <si>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</si>
  <si>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</si>
  <si>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</si>
  <si>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</si>
  <si>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</si>
  <si>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</si>
  <si>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</si>
  <si>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</si>
  <si>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</si>
  <si>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</si>
  <si>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</si>
  <si>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</si>
  <si>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</si>
  <si>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</si>
  <si>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</si>
  <si>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</si>
  <si>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</si>
  <si>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</si>
  <si>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</si>
  <si>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</si>
  <si>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</si>
  <si>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</si>
  <si>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</si>
  <si>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</si>
  <si>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</si>
  <si>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</si>
  <si>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</si>
  <si>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</si>
  <si>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</si>
  <si>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</si>
  <si>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</si>
  <si>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</si>
  <si>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</si>
  <si>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</si>
  <si>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</si>
  <si>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</si>
  <si>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</si>
  <si>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</si>
  <si>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</si>
  <si>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</si>
  <si>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</si>
  <si>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</si>
  <si>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</si>
  <si>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</si>
  <si>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</si>
  <si>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</si>
  <si>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</si>
  <si>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</si>
  <si>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</si>
  <si>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</si>
  <si>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</si>
  <si>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</si>
  <si>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</si>
  <si>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</si>
  <si>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</si>
  <si>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</si>
  <si>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</si>
  <si>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</si>
  <si>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</si>
  <si>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</si>
  <si>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</si>
  <si>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</si>
  <si>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</si>
  <si>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</si>
  <si>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</si>
  <si>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</si>
  <si>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</si>
  <si>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</si>
  <si>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</si>
  <si>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</si>
  <si>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</si>
  <si>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</si>
  <si>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</si>
  <si>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</si>
  <si>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</si>
  <si>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</si>
  <si>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</si>
  <si>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</si>
  <si>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</si>
  <si>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</si>
  <si>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</si>
  <si>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</si>
  <si>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</si>
  <si>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</si>
  <si>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</si>
  <si>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</si>
  <si>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</si>
  <si>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</si>
  <si>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</si>
  <si>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</si>
  <si>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</si>
  <si>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</si>
  <si>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</si>
  <si>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</si>
  <si>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</si>
  <si>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</si>
  <si>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</si>
  <si>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</si>
  <si>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</si>
  <si>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</si>
  <si>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</si>
  <si>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</si>
  <si>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</si>
  <si>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</si>
  <si>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</si>
  <si>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</si>
  <si>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</si>
  <si>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</si>
  <si>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</si>
  <si>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</si>
  <si>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</si>
  <si>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</si>
  <si>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</si>
  <si>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</si>
  <si>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</si>
  <si>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</si>
  <si>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</si>
  <si>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</si>
  <si>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</si>
  <si>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</si>
  <si>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</si>
  <si>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</si>
  <si>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</si>
  <si>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</si>
  <si>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</si>
  <si>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</si>
  <si>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</si>
  <si>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</si>
  <si>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</si>
  <si>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</si>
  <si>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</si>
  <si>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</si>
  <si>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</si>
  <si>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</si>
  <si>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</si>
  <si>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</si>
  <si>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</si>
  <si>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</si>
  <si>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</si>
  <si>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</si>
  <si>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</si>
  <si>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</si>
  <si>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</si>
  <si>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</si>
  <si>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</si>
  <si>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</si>
  <si>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</si>
  <si>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</si>
  <si>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</si>
  <si>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</si>
  <si>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</si>
  <si>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</si>
  <si>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</si>
  <si>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</si>
  <si>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</si>
  <si>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</si>
  <si>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</si>
  <si>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</si>
  <si>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</si>
  <si>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</si>
  <si>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</si>
  <si>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</si>
  <si>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</si>
  <si>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</si>
  <si>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</si>
  <si>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</si>
  <si>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</si>
  <si>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</si>
  <si>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</si>
  <si>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</si>
  <si>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</si>
  <si>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</si>
  <si>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</si>
  <si>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</si>
  <si>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</si>
  <si>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</si>
  <si>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</si>
  <si>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</si>
  <si>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</si>
  <si>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</si>
  <si>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</si>
  <si>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</si>
  <si>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</si>
  <si>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</si>
  <si>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</si>
  <si>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</si>
  <si>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</si>
  <si>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</si>
  <si>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</si>
  <si>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</si>
  <si>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</si>
  <si>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</si>
  <si>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</si>
  <si>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</si>
  <si>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</si>
  <si>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</si>
  <si>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</si>
  <si>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</si>
  <si>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</si>
  <si>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</si>
  <si>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</si>
  <si>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</si>
  <si>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</si>
  <si>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</si>
  <si>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</si>
  <si>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</si>
  <si>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</si>
  <si>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</si>
  <si>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</si>
  <si>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</si>
  <si>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</si>
  <si>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</si>
  <si>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</si>
  <si>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</si>
  <si>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</si>
  <si>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</si>
  <si>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</si>
  <si>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</si>
  <si>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</si>
  <si>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</si>
  <si>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</si>
  <si>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</si>
  <si>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</si>
  <si>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</si>
  <si>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</si>
  <si>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</si>
  <si>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</si>
  <si>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</si>
  <si>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</si>
  <si>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</si>
  <si>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</si>
  <si>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</si>
  <si>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</si>
  <si>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</si>
  <si>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</si>
  <si>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</si>
  <si>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</si>
  <si>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</si>
  <si>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</si>
  <si>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</si>
  <si>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</si>
  <si>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</si>
  <si>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</si>
  <si>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</si>
  <si>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</si>
  <si>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</si>
  <si>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</si>
  <si>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</si>
  <si>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</si>
  <si>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</si>
  <si>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</si>
  <si>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</si>
  <si>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</si>
  <si>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</si>
  <si>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</si>
  <si>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</si>
  <si>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</si>
  <si>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</si>
  <si>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</si>
  <si>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</si>
  <si>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</si>
  <si>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</si>
  <si>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</si>
  <si>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</si>
  <si>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</si>
  <si>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</si>
  <si>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</si>
  <si>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</si>
  <si>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</si>
  <si>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</si>
  <si>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</si>
  <si>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</si>
  <si>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</si>
  <si>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</si>
  <si>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</si>
  <si>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</si>
  <si>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</si>
  <si>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</si>
  <si>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</si>
  <si>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</si>
  <si>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</si>
  <si>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</si>
  <si>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</si>
  <si>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</si>
  <si>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</si>
  <si>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</si>
  <si>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</si>
  <si>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</si>
  <si>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</si>
  <si>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</si>
  <si>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</si>
  <si>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</si>
  <si>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</si>
  <si>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</si>
  <si>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</si>
  <si>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</si>
  <si>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</si>
  <si>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</si>
  <si>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</si>
  <si>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</si>
  <si>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</si>
  <si>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</si>
  <si>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</si>
  <si>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</si>
  <si>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</si>
  <si>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</si>
  <si>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</si>
  <si>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</si>
  <si>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</si>
  <si>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</si>
  <si>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</si>
  <si>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</si>
  <si>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</si>
  <si>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</si>
  <si>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</si>
  <si>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</si>
  <si>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</si>
  <si>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</si>
  <si>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</si>
  <si>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</si>
  <si>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</si>
  <si>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</si>
  <si>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</si>
  <si>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</si>
  <si>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</si>
  <si>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</si>
  <si>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</si>
  <si>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</si>
  <si>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</si>
  <si>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</si>
  <si>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</si>
  <si>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</si>
  <si>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</si>
  <si>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</si>
  <si>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</si>
  <si>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</si>
  <si>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</si>
  <si>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</si>
  <si>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</si>
  <si>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</si>
  <si>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</si>
  <si>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</si>
  <si>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</si>
  <si>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</si>
  <si>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</si>
  <si>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</si>
  <si>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</si>
  <si>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</si>
  <si>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</si>
  <si>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</si>
  <si>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</si>
  <si>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</si>
  <si>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</si>
  <si>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</si>
  <si>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</si>
  <si>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</si>
  <si>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</si>
  <si>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</si>
  <si>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</si>
  <si>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</si>
  <si>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</si>
  <si>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</si>
  <si>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</si>
  <si>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</si>
  <si>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</si>
  <si>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</si>
  <si>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</si>
  <si>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</si>
  <si>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</si>
  <si>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</si>
  <si>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</si>
  <si>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</si>
  <si>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</si>
  <si>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</si>
  <si>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</si>
  <si>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</si>
  <si>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</si>
  <si>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</si>
  <si>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</si>
  <si>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</si>
  <si>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</si>
  <si>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</si>
  <si>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</si>
  <si>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</si>
  <si>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</si>
  <si>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</si>
  <si>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</si>
  <si>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</si>
  <si>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</si>
  <si>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</si>
  <si>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</si>
  <si>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</si>
  <si>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</si>
  <si>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</si>
  <si>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</si>
  <si>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</si>
  <si>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</si>
  <si>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</si>
  <si>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</si>
  <si>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</si>
  <si>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</si>
  <si>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</si>
  <si>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</si>
  <si>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</si>
  <si>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</si>
  <si>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</si>
  <si>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</si>
  <si>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</si>
  <si>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</si>
  <si>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</si>
  <si>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</si>
  <si>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</si>
  <si>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</si>
  <si>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</si>
  <si>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</si>
  <si>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</si>
  <si>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</si>
  <si>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</si>
  <si>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</si>
  <si>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</si>
  <si>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</si>
  <si>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</si>
  <si>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</si>
  <si>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</si>
  <si>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</si>
  <si>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</si>
  <si>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</si>
  <si>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</si>
  <si>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</si>
  <si>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</si>
  <si>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</si>
  <si>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</si>
  <si>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</si>
  <si>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</si>
  <si>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</si>
  <si>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</si>
  <si>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</si>
  <si>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</si>
  <si>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</si>
  <si>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</si>
  <si>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</si>
  <si>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</si>
  <si>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</si>
  <si>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</si>
  <si>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</si>
  <si>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</si>
  <si>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</si>
  <si>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</si>
  <si>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</si>
  <si>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</si>
  <si>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</si>
  <si>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</si>
  <si>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</si>
  <si>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</si>
  <si>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</si>
  <si>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</si>
  <si>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</si>
  <si>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</si>
  <si>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</si>
  <si>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</si>
  <si>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</si>
  <si>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</si>
  <si>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</si>
  <si>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</si>
  <si>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</si>
  <si>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</si>
  <si>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</si>
  <si>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</si>
  <si>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</si>
  <si>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</si>
  <si>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</si>
  <si>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</si>
  <si>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</si>
  <si>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</si>
  <si>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</si>
  <si>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</si>
  <si>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</si>
  <si>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</si>
  <si>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</si>
  <si>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</si>
  <si>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</si>
  <si>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</si>
  <si>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</si>
  <si>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</si>
  <si>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</si>
  <si>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</si>
  <si>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</si>
  <si>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</si>
  <si>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</si>
  <si>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</si>
  <si>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</si>
  <si>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</si>
  <si>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</si>
  <si>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</si>
  <si>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</si>
  <si>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</si>
  <si>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</si>
  <si>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</si>
  <si>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</si>
  <si>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</si>
  <si>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</si>
  <si>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</si>
  <si>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</si>
  <si>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</si>
  <si>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</si>
  <si>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</si>
  <si>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</si>
  <si>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</si>
  <si>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</si>
  <si>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</si>
  <si>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</si>
  <si>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</si>
  <si>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</si>
  <si>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</si>
  <si>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</si>
  <si>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</si>
  <si>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</si>
  <si>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</si>
  <si>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</si>
  <si>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</si>
  <si>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</si>
  <si>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</si>
  <si>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</si>
  <si>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</si>
  <si>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</si>
  <si>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</si>
  <si>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</si>
  <si>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</si>
  <si>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</si>
  <si>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</si>
  <si>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</si>
  <si>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</si>
  <si>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</si>
  <si>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</si>
  <si>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</si>
  <si>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</si>
  <si>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</si>
  <si>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</si>
  <si>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</si>
  <si>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</si>
  <si>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</si>
  <si>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</si>
  <si>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</si>
  <si>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</si>
  <si>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</si>
  <si>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</si>
  <si>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</si>
  <si>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</si>
  <si>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</si>
  <si>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</si>
  <si>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</si>
  <si>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</si>
  <si>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</si>
  <si>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</si>
  <si>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</si>
  <si>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</si>
  <si>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</si>
  <si>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</si>
  <si>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</si>
  <si>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</si>
  <si>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</si>
  <si>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</si>
  <si>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</si>
  <si>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</si>
  <si>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</si>
  <si>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</si>
  <si>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</si>
  <si>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</si>
  <si>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</si>
  <si>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</si>
  <si>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</si>
  <si>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</si>
  <si>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</si>
  <si>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</si>
  <si>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</si>
  <si>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</si>
  <si>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</si>
  <si>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</si>
  <si>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</si>
  <si>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</si>
  <si>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</si>
  <si>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</si>
  <si>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</si>
  <si>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</si>
  <si>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</si>
  <si>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</si>
  <si>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</si>
  <si>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</si>
  <si>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</si>
  <si>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</si>
  <si>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</si>
  <si>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</si>
  <si>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</si>
  <si>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</si>
  <si>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</si>
  <si>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</si>
  <si>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</si>
  <si>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</si>
  <si>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</si>
  <si>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</si>
  <si>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</si>
  <si>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</si>
  <si>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</si>
  <si>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</si>
  <si>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</si>
  <si>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</si>
  <si>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</si>
  <si>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</si>
  <si>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</si>
  <si>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</si>
  <si>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</si>
  <si>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</si>
  <si>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</si>
  <si>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</si>
  <si>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</si>
  <si>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</si>
  <si>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</si>
  <si>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</si>
  <si>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</si>
  <si>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</si>
  <si>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</si>
  <si>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</si>
  <si>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</si>
  <si>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</si>
  <si>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</si>
  <si>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</si>
  <si>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</si>
  <si>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</si>
  <si>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</si>
  <si>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</si>
  <si>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</si>
  <si>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</si>
  <si>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</si>
  <si>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</si>
  <si>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</si>
  <si>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</si>
  <si>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</si>
  <si>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</si>
  <si>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</si>
  <si>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</si>
  <si>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</si>
  <si>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</si>
  <si>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</si>
  <si>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</si>
  <si>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</si>
  <si>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</si>
  <si>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</si>
  <si>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</si>
  <si>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</si>
  <si>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</si>
  <si>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</si>
  <si>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</si>
  <si>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</si>
  <si>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</si>
  <si>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</si>
  <si>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</si>
  <si>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</si>
  <si>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</si>
  <si>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</si>
  <si>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</si>
  <si>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</si>
  <si>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</si>
  <si>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</si>
  <si>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</si>
  <si>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</si>
  <si>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</si>
  <si>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</si>
  <si>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</si>
  <si>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</si>
  <si>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</si>
  <si>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</si>
  <si>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</si>
  <si>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</si>
  <si>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</si>
  <si>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</si>
  <si>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</si>
  <si>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</si>
  <si>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</si>
  <si>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</si>
  <si>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</si>
  <si>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</si>
  <si>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</si>
  <si>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</si>
  <si>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</si>
  <si>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</si>
  <si>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</si>
  <si>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</si>
  <si>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</si>
  <si>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</si>
  <si>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</si>
  <si>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</si>
  <si>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</si>
  <si>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</si>
  <si>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</si>
  <si>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</si>
  <si>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</si>
  <si>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</si>
  <si>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</si>
  <si>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</si>
  <si>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</si>
  <si>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</si>
  <si>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</si>
  <si>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</si>
  <si>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</si>
  <si>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</si>
  <si>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</si>
  <si>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</si>
  <si>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</si>
  <si>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</si>
  <si>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</si>
  <si>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</si>
  <si>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</si>
  <si>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</si>
  <si>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</si>
  <si>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</si>
  <si>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</si>
  <si>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</si>
  <si>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</si>
  <si>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</si>
  <si>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</si>
  <si>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</si>
  <si>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</si>
  <si>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</si>
  <si>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</si>
  <si>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</si>
  <si>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</si>
  <si>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</si>
  <si>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</si>
  <si>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</si>
  <si>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</si>
  <si>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</si>
  <si>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</si>
  <si>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</si>
  <si>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</si>
  <si>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</si>
  <si>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</si>
  <si>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</si>
  <si>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</si>
  <si>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</si>
  <si>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</si>
  <si>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</si>
  <si>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</si>
  <si>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</si>
  <si>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</si>
  <si>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</si>
  <si>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</si>
  <si>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</si>
  <si>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</si>
  <si>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</si>
  <si>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</si>
  <si>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</si>
  <si>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</si>
  <si>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</si>
  <si>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</si>
  <si>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</si>
  <si>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</si>
  <si>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</si>
  <si>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</si>
  <si>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</si>
  <si>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</si>
  <si>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</si>
  <si>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</si>
  <si>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</si>
  <si>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</si>
  <si>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</si>
  <si>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</si>
  <si>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</si>
  <si>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</si>
  <si>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</si>
  <si>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</si>
  <si>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</si>
  <si>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</si>
  <si>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</si>
  <si>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</si>
  <si>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</si>
  <si>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</si>
  <si>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</si>
  <si>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</si>
  <si>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</si>
  <si>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</si>
  <si>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</si>
  <si>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</si>
  <si>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</si>
  <si>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</si>
  <si>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</si>
  <si>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</si>
  <si>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</si>
  <si>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</si>
  <si>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</si>
  <si>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</si>
  <si>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</si>
  <si>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</si>
  <si>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</si>
  <si>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</si>
  <si>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</si>
  <si>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</si>
  <si>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</si>
  <si>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</si>
  <si>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</si>
  <si>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</si>
  <si>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</si>
  <si>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</si>
  <si>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</si>
  <si>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</si>
  <si>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</si>
  <si>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</si>
  <si>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</si>
  <si>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</si>
  <si>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</si>
  <si>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</si>
  <si>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</si>
  <si>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</si>
  <si>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</si>
  <si>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</si>
  <si>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</si>
  <si>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</si>
  <si>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</si>
  <si>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</si>
  <si>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</si>
  <si>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</si>
  <si>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</si>
  <si>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</si>
  <si>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</si>
  <si>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</si>
  <si>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</si>
  <si>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</si>
  <si>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</si>
  <si>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</si>
  <si>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</si>
  <si>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</si>
  <si>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</si>
  <si>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</si>
  <si>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</si>
  <si>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</si>
  <si>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</si>
  <si>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</si>
  <si>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</si>
  <si>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</si>
  <si>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</si>
  <si>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</si>
  <si>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</si>
  <si>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</si>
  <si>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</si>
  <si>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</si>
  <si>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</si>
  <si>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</si>
  <si>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</si>
  <si>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</si>
  <si>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</si>
  <si>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</si>
  <si>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</si>
  <si>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</si>
  <si>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</si>
  <si>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</si>
  <si>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</si>
  <si>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</si>
  <si>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</si>
  <si>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</si>
  <si>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</si>
  <si>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</si>
  <si>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</si>
  <si>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</si>
  <si>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</si>
  <si>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</si>
  <si>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</si>
  <si>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</si>
  <si>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</si>
  <si>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</si>
  <si>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</si>
  <si>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</si>
  <si>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</si>
  <si>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</si>
  <si>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</si>
  <si>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</si>
  <si>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</si>
  <si>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</si>
  <si>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</si>
  <si>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</si>
  <si>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</si>
  <si>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</si>
  <si>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</si>
  <si>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</si>
  <si>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</si>
  <si>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</si>
  <si>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</si>
  <si>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</si>
  <si>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</si>
  <si>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</si>
  <si>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</si>
  <si>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</si>
  <si>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</si>
  <si>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</si>
  <si>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</si>
  <si>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</si>
  <si>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</si>
  <si>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</si>
  <si>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</si>
  <si>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</si>
  <si>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</si>
  <si>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</si>
  <si>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</si>
  <si>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</si>
  <si>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</si>
  <si>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</si>
  <si>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</si>
  <si>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</si>
  <si>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</si>
  <si>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</si>
  <si>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</si>
  <si>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</si>
  <si>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</si>
  <si>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</si>
  <si>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</si>
  <si>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</si>
  <si>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</si>
  <si>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</si>
  <si>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</si>
  <si>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</si>
  <si>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</si>
  <si>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</si>
  <si>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</si>
  <si>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</si>
  <si>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</si>
  <si>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</si>
  <si>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</si>
  <si>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</si>
  <si>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</si>
  <si>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</si>
  <si>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</si>
  <si>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</si>
  <si>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</si>
  <si>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</si>
  <si>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</si>
  <si>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</si>
  <si>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</si>
  <si>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</si>
  <si>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</si>
  <si>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</si>
  <si>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</si>
  <si>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</si>
  <si>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</si>
  <si>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</si>
  <si>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</si>
  <si>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</si>
  <si>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</si>
  <si>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</si>
  <si>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</si>
  <si>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</si>
  <si>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</si>
  <si>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</si>
  <si>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</si>
  <si>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</si>
  <si>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</si>
  <si>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</si>
  <si>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</si>
  <si>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</si>
  <si>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</si>
  <si>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</si>
  <si>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</si>
  <si>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</si>
  <si>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</si>
  <si>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</si>
  <si>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</si>
  <si>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</si>
  <si>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</si>
  <si>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</si>
  <si>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</si>
  <si>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</si>
  <si>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</si>
  <si>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</si>
  <si>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</si>
  <si>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</si>
  <si>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</si>
  <si>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</si>
  <si>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</si>
  <si>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</si>
  <si>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</si>
  <si>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</si>
  <si>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</si>
  <si>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</si>
  <si>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</si>
  <si>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</si>
  <si>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</si>
  <si>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</si>
  <si>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</si>
  <si>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</si>
  <si>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</si>
  <si>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</si>
  <si>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</si>
  <si>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</si>
  <si>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</si>
  <si>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</si>
  <si>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</si>
  <si>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</si>
  <si>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</si>
  <si>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</si>
  <si>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</si>
  <si>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</si>
  <si>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</si>
  <si>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</si>
  <si>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</si>
  <si>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</si>
  <si>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</si>
  <si>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</si>
  <si>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</si>
  <si>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</si>
  <si>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</si>
  <si>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</si>
  <si>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</si>
  <si>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</si>
  <si>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</si>
  <si>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</si>
  <si>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</si>
  <si>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</si>
  <si>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</si>
  <si>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</si>
  <si>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</si>
  <si>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</si>
  <si>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</si>
  <si>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</si>
  <si>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</si>
  <si>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</si>
  <si>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</si>
  <si>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</si>
  <si>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</si>
  <si>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</si>
  <si>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</si>
  <si>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</si>
  <si>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</si>
  <si>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</si>
  <si>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</si>
  <si>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</si>
  <si>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</si>
  <si>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</si>
  <si>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</si>
  <si>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</si>
  <si>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</si>
  <si>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</si>
  <si>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</si>
  <si>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</si>
  <si>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</si>
  <si>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</si>
  <si>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</si>
  <si>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</si>
  <si>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</si>
  <si>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</si>
  <si>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</si>
  <si>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</si>
  <si>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</si>
  <si>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</si>
  <si>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</si>
  <si>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</si>
  <si>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</si>
  <si>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</si>
  <si>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</si>
  <si>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</si>
  <si>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</si>
  <si>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</si>
  <si>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</si>
  <si>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</si>
  <si>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</si>
  <si>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</si>
  <si>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</si>
  <si>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</si>
  <si>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</si>
  <si>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</si>
  <si>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</si>
  <si>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</si>
  <si>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</si>
  <si>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</si>
  <si>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</si>
  <si>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</si>
  <si>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</si>
  <si>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</si>
  <si>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</si>
  <si>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</si>
  <si>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</si>
  <si>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</si>
  <si>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</si>
  <si>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</si>
  <si>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</si>
  <si>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</si>
  <si>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</si>
  <si>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</si>
  <si>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</si>
  <si>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</si>
  <si>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</si>
  <si>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</si>
  <si>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</si>
  <si>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</si>
  <si>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</si>
  <si>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</si>
  <si>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</si>
  <si>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</si>
  <si>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</si>
  <si>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</si>
  <si>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</si>
  <si>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</si>
  <si>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</si>
  <si>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</si>
  <si>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</si>
  <si>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</si>
  <si>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</si>
  <si>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</si>
  <si>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</si>
  <si>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</si>
  <si>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</si>
  <si>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</si>
  <si>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</si>
  <si>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</si>
  <si>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</si>
  <si>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</si>
  <si>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</si>
  <si>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</si>
  <si>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</si>
  <si>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</si>
  <si>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</si>
  <si>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</si>
  <si>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</si>
  <si>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</si>
  <si>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</si>
  <si>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</si>
  <si>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</si>
  <si>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</si>
  <si>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</si>
  <si>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</si>
  <si>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</si>
  <si>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</si>
  <si>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</si>
  <si>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</si>
  <si>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</si>
  <si>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</si>
  <si>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</si>
  <si>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</si>
  <si>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</si>
  <si>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</si>
  <si>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</si>
  <si>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</si>
  <si>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</si>
  <si>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</si>
  <si>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</si>
  <si>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</si>
  <si>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</si>
  <si>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</si>
  <si>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</si>
  <si>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</si>
  <si>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</si>
  <si>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</si>
  <si>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</si>
  <si>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</si>
  <si>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</si>
  <si>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</si>
  <si>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</si>
  <si>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</si>
  <si>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</si>
  <si>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</si>
  <si>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</si>
  <si>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</si>
  <si>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</si>
  <si>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</si>
  <si>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</si>
  <si>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</si>
  <si>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</si>
  <si>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</si>
  <si>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</si>
  <si>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</si>
  <si>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</si>
  <si>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</si>
  <si>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</si>
  <si>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</si>
  <si>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</si>
  <si>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</si>
  <si>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</si>
  <si>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</si>
  <si>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</si>
  <si>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</si>
  <si>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</si>
  <si>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</si>
  <si>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</si>
  <si>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</si>
  <si>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</si>
  <si>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</si>
  <si>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</si>
  <si>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</si>
  <si>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</si>
  <si>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</si>
  <si>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</si>
  <si>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</si>
  <si>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</si>
  <si>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</si>
  <si>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</si>
  <si>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</si>
  <si>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</si>
  <si>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</si>
  <si>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</si>
  <si>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</si>
  <si>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</si>
  <si>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</si>
  <si>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</si>
  <si>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</si>
  <si>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</si>
  <si>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</si>
  <si>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</si>
  <si>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</si>
  <si>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</si>
  <si>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</si>
  <si>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</si>
  <si>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</si>
  <si>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</si>
  <si>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</si>
  <si>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</si>
  <si>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</si>
  <si>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</si>
  <si>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</si>
  <si>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</si>
  <si>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</si>
  <si>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</si>
  <si>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</si>
  <si>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</si>
  <si>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</si>
  <si>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</si>
  <si>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</si>
  <si>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</si>
  <si>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</si>
  <si>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</si>
  <si>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</si>
  <si>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</si>
  <si>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</si>
  <si>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</si>
  <si>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</si>
  <si>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</si>
  <si>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</si>
  <si>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</si>
  <si>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</si>
  <si>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</si>
  <si>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</si>
  <si>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</si>
  <si>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</si>
  <si>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</si>
  <si>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</si>
  <si>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</si>
  <si>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</si>
  <si>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</si>
  <si>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</si>
  <si>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</si>
  <si>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</si>
  <si>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</si>
  <si>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</si>
  <si>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</si>
  <si>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</si>
  <si>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</si>
  <si>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</si>
  <si>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</si>
  <si>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</si>
  <si>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</si>
  <si>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</si>
  <si>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</si>
  <si>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</si>
  <si>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</si>
  <si>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</si>
  <si>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</si>
  <si>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</si>
  <si>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</si>
  <si>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</si>
  <si>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</si>
  <si>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</si>
  <si>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</si>
  <si>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</si>
  <si>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</si>
  <si>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</si>
  <si>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</si>
  <si>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</si>
  <si>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</si>
  <si>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</si>
  <si>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</si>
  <si>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</si>
  <si>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</si>
  <si>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</si>
  <si>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</si>
  <si>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</si>
  <si>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</si>
  <si>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</si>
  <si>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</si>
  <si>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</si>
  <si>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</si>
  <si>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</si>
  <si>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</si>
  <si>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</si>
  <si>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</si>
  <si>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</si>
  <si>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</si>
  <si>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</si>
  <si>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</si>
  <si>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</si>
  <si>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</si>
  <si>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</si>
  <si>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</si>
  <si>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</si>
  <si>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</si>
  <si>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</si>
  <si>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</si>
  <si>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</si>
  <si>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</si>
  <si>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</si>
  <si>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</si>
  <si>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</si>
  <si>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</si>
  <si>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</si>
  <si>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</si>
  <si>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</si>
  <si>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</si>
  <si>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</si>
  <si>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</si>
  <si>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</si>
  <si>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</si>
  <si>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</si>
  <si>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</si>
  <si>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</si>
  <si>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</si>
  <si>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</si>
  <si>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</si>
  <si>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</si>
  <si>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</si>
  <si>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</si>
  <si>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</si>
  <si>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</si>
  <si>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</si>
  <si>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</si>
  <si>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</si>
  <si>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</si>
  <si>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</si>
  <si>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</si>
  <si>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</si>
  <si>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</si>
  <si>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</si>
  <si>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</si>
  <si>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</si>
  <si>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</si>
  <si>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</si>
  <si>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</si>
  <si>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</si>
  <si>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</si>
  <si>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</si>
  <si>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</si>
  <si>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</si>
  <si>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</si>
  <si>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</si>
  <si>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</si>
  <si>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</si>
  <si>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</si>
  <si>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</si>
  <si>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</si>
  <si>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</si>
  <si>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</si>
  <si>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</si>
  <si>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</si>
  <si>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</si>
  <si>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</si>
  <si>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</si>
  <si>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</si>
  <si>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</si>
  <si>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</si>
  <si>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</si>
  <si>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</si>
  <si>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</si>
  <si>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</si>
  <si>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</si>
  <si>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</si>
  <si>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</si>
  <si>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</si>
  <si>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</si>
  <si>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</si>
  <si>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</si>
  <si>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</si>
  <si>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</si>
  <si>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</si>
  <si>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</si>
  <si>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</si>
  <si>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</si>
  <si>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</si>
  <si>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</si>
  <si>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</si>
  <si>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</si>
  <si>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</si>
  <si>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</si>
  <si>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</si>
  <si>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</si>
  <si>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</si>
  <si>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</si>
  <si>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</si>
  <si>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</si>
  <si>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</si>
  <si>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</si>
  <si>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</si>
  <si>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</si>
  <si>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</si>
  <si>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</si>
  <si>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</si>
  <si>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</si>
  <si>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</si>
  <si>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</si>
  <si>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</si>
  <si>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</si>
  <si>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</si>
  <si>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</si>
  <si>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</si>
  <si>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</si>
  <si>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</si>
  <si>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</si>
  <si>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</si>
  <si>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</si>
  <si>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</si>
  <si>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</si>
  <si>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</si>
  <si>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</si>
  <si>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</si>
  <si>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</si>
  <si>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</si>
  <si>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</si>
  <si>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</si>
  <si>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</si>
  <si>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</si>
  <si>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</si>
  <si>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</si>
  <si>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</si>
  <si>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</si>
  <si>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</si>
  <si>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</si>
  <si>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</si>
  <si>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</si>
  <si>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</si>
  <si>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</si>
  <si>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</si>
  <si>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</si>
  <si>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</si>
  <si>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</si>
  <si>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</si>
  <si>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</si>
  <si>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</si>
  <si>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</si>
  <si>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</si>
  <si>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</si>
  <si>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</si>
  <si>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</si>
  <si>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</si>
  <si>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</si>
  <si>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</si>
  <si>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</si>
  <si>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</si>
  <si>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</si>
  <si>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</si>
  <si>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</si>
  <si>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</si>
  <si>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</si>
  <si>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</si>
  <si>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</si>
  <si>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</si>
  <si>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</si>
  <si>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</si>
  <si>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</si>
  <si>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</si>
  <si>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</si>
  <si>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</si>
  <si>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</si>
  <si>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</si>
  <si>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</si>
  <si>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</si>
  <si>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</si>
  <si>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</si>
  <si>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</si>
  <si>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</si>
  <si>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</si>
  <si>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</si>
  <si>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</si>
  <si>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</si>
  <si>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</si>
  <si>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</si>
  <si>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</si>
  <si>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</si>
  <si>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</si>
  <si>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</si>
  <si>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</si>
  <si>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</si>
  <si>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</si>
  <si>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</si>
  <si>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</si>
  <si>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</si>
  <si>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</si>
  <si>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</si>
  <si>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</si>
  <si>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</si>
  <si>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</si>
  <si>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</si>
  <si>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</si>
  <si>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</si>
  <si>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</si>
  <si>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</si>
  <si>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</si>
  <si>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</si>
  <si>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</si>
  <si>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</si>
  <si>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</si>
  <si>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</si>
  <si>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</si>
  <si>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</si>
  <si>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</si>
  <si>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</si>
  <si>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</si>
  <si>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</si>
  <si>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</si>
  <si>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</si>
  <si>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</si>
  <si>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</si>
  <si>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</si>
  <si>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</si>
  <si>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</si>
  <si>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</si>
  <si>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</si>
  <si>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</si>
  <si>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</si>
  <si>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</si>
  <si>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</si>
  <si>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</si>
  <si>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</si>
  <si>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</si>
  <si>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</si>
  <si>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</si>
  <si>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</si>
  <si>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</si>
  <si>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</si>
  <si>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</si>
  <si>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</si>
  <si>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</si>
  <si>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</si>
  <si>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</si>
  <si>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</si>
  <si>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</si>
  <si>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</si>
  <si>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</si>
  <si>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</si>
  <si>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</si>
  <si>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</si>
  <si>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</si>
  <si>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</si>
  <si>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</si>
  <si>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</si>
  <si>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</si>
  <si>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</si>
  <si>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</si>
  <si>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</si>
  <si>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</si>
  <si>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</si>
  <si>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</si>
  <si>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</si>
  <si>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</si>
  <si>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</si>
  <si>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</si>
  <si>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</si>
  <si>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</si>
  <si>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</si>
  <si>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</si>
  <si>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</si>
  <si>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</si>
  <si>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</si>
  <si>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</si>
  <si>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</si>
  <si>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</si>
  <si>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</si>
  <si>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</si>
  <si>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</si>
  <si>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</si>
  <si>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</si>
  <si>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</si>
  <si>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</si>
  <si>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</si>
  <si>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</si>
  <si>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</si>
  <si>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</si>
  <si>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</si>
  <si>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</si>
  <si>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</si>
  <si>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</si>
  <si>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</si>
  <si>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</si>
  <si>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</si>
  <si>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</si>
  <si>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</si>
  <si>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</si>
  <si>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</si>
  <si>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</si>
  <si>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</si>
  <si>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</si>
  <si>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</si>
  <si>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</si>
  <si>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</si>
  <si>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</si>
  <si>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</si>
  <si>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</si>
  <si>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</si>
  <si>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</si>
  <si>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</si>
  <si>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</si>
  <si>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</si>
  <si>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</si>
  <si>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</si>
  <si>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</si>
  <si>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</si>
  <si>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</si>
  <si>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</si>
  <si>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</si>
  <si>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</si>
  <si>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</si>
  <si>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</si>
  <si>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</si>
  <si>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</si>
  <si>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</si>
  <si>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</si>
  <si>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</si>
  <si>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</si>
  <si>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</si>
  <si>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</si>
  <si>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</si>
  <si>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</si>
  <si>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</si>
  <si>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</si>
  <si>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</si>
  <si>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</si>
  <si>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</si>
  <si>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</si>
  <si>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</si>
  <si>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</si>
  <si>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</si>
  <si>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</si>
  <si>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</si>
  <si>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</si>
  <si>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</si>
  <si>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</si>
  <si>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</si>
  <si>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</si>
  <si>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</si>
  <si>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</si>
  <si>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</si>
  <si>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</si>
  <si>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</si>
  <si>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</si>
  <si>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</si>
  <si>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</si>
  <si>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</si>
  <si>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</si>
  <si>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</si>
  <si>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</si>
  <si>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</si>
  <si>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</si>
  <si>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</si>
  <si>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</si>
  <si>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</si>
  <si>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</si>
  <si>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</si>
  <si>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</si>
  <si>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</si>
  <si>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</si>
  <si>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</si>
  <si>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</si>
  <si>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</si>
  <si>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</si>
  <si>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</si>
  <si>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</si>
  <si>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</si>
  <si>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</si>
  <si>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</si>
  <si>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</si>
  <si>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</si>
  <si>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</si>
  <si>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</si>
  <si>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</si>
  <si>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</si>
  <si>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</si>
  <si>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</si>
  <si>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</si>
  <si>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</si>
  <si>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</si>
  <si>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</si>
  <si>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</si>
  <si>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</si>
  <si>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</si>
  <si>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</si>
  <si>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</si>
  <si>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</si>
  <si>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</si>
  <si>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</si>
  <si>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</si>
  <si>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</si>
  <si>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</si>
  <si>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</si>
  <si>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</si>
  <si>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</si>
  <si>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</si>
  <si>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</si>
  <si>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</si>
  <si>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</si>
  <si>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</si>
  <si>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</si>
  <si>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</si>
  <si>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</si>
  <si>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</si>
  <si>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</si>
  <si>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</si>
  <si>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</si>
  <si>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</si>
  <si>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</si>
  <si>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</si>
  <si>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</si>
  <si>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</si>
  <si>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</si>
  <si>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</si>
  <si>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</si>
  <si>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</si>
  <si>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</si>
  <si>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</si>
  <si>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</si>
  <si>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</si>
  <si>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</si>
  <si>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</si>
  <si>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</si>
  <si>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</si>
  <si>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</si>
  <si>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</si>
  <si>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</si>
  <si>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</si>
  <si>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</si>
  <si>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</si>
  <si>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</si>
  <si>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</si>
  <si>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</si>
  <si>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</si>
  <si>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</si>
  <si>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</si>
  <si>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</si>
  <si>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</si>
  <si>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</si>
  <si>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</si>
  <si>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</si>
  <si>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</si>
  <si>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</si>
  <si>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</si>
  <si>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</si>
  <si>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</si>
  <si>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</si>
  <si>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</si>
  <si>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</si>
  <si>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</si>
  <si>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</si>
  <si>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</si>
  <si>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</si>
  <si>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</si>
  <si>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</si>
  <si>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</si>
  <si>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</si>
  <si>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</si>
  <si>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</si>
  <si>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</si>
  <si>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</si>
  <si>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</si>
  <si>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</si>
  <si>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</si>
  <si>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</si>
  <si>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</si>
  <si>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</si>
  <si>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</si>
  <si>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</si>
  <si>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</si>
  <si>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</si>
  <si>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</si>
  <si>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</si>
  <si>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</si>
  <si>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</si>
  <si>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</si>
  <si>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</si>
  <si>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</si>
  <si>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</si>
  <si>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</si>
  <si>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</si>
  <si>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</si>
  <si>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</si>
  <si>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</si>
  <si>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</si>
  <si>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</si>
  <si>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</si>
  <si>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</si>
  <si>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</si>
  <si>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</si>
  <si>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</si>
  <si>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</si>
  <si>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</si>
  <si>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</si>
  <si>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</si>
  <si>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</si>
  <si>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</si>
  <si>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</si>
  <si>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</si>
  <si>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</si>
  <si>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</si>
  <si>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</si>
  <si>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</si>
  <si>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</si>
  <si>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</si>
  <si>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</si>
  <si>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</si>
  <si>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</si>
  <si>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</si>
  <si>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</si>
  <si>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</si>
  <si>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</si>
  <si>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</si>
  <si>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</si>
  <si>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</si>
  <si>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</si>
  <si>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</si>
  <si>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</si>
  <si>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</si>
  <si>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</si>
  <si>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</si>
  <si>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</si>
  <si>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</si>
  <si>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</si>
  <si>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</si>
  <si>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</si>
  <si>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</si>
  <si>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</si>
  <si>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</si>
  <si>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</si>
  <si>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</si>
  <si>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</si>
  <si>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</si>
  <si>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</si>
  <si>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</si>
  <si>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</si>
  <si>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</si>
  <si>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</si>
  <si>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</si>
  <si>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</si>
  <si>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</si>
  <si>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</si>
  <si>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</si>
  <si>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</si>
  <si>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</si>
  <si>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</si>
  <si>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</si>
  <si>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</si>
  <si>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</si>
  <si>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</si>
  <si>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</si>
  <si>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</si>
  <si>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</si>
  <si>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</si>
  <si>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</si>
  <si>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</si>
  <si>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</si>
  <si>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</si>
  <si>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</si>
  <si>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</si>
  <si>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</si>
  <si>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</si>
  <si>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</si>
  <si>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</si>
  <si>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</si>
  <si>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</si>
  <si>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</si>
  <si>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</si>
  <si>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</si>
  <si>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</si>
  <si>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</si>
  <si>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</si>
  <si>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</si>
  <si>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</si>
  <si>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</si>
  <si>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</si>
  <si>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</si>
  <si>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</si>
  <si>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</si>
  <si>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</si>
  <si>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</si>
  <si>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</si>
  <si>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</si>
  <si>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</si>
  <si>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</si>
  <si>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</si>
  <si>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</si>
  <si>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</si>
  <si>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</si>
  <si>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</si>
  <si>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</si>
  <si>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</si>
  <si>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</si>
  <si>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</si>
  <si>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</si>
  <si>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</si>
  <si>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</si>
  <si>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</si>
  <si>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</si>
  <si>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</si>
  <si>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</si>
  <si>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</si>
  <si>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</si>
  <si>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</si>
  <si>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</si>
  <si>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</si>
  <si>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</si>
  <si>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</si>
  <si>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</si>
  <si>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</si>
  <si>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</si>
  <si>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</si>
  <si>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</si>
  <si>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</si>
  <si>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</si>
  <si>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</si>
  <si>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</si>
  <si>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</si>
  <si>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</si>
  <si>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</si>
  <si>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</si>
  <si>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</si>
  <si>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</si>
  <si>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</si>
  <si>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</si>
  <si>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</si>
  <si>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</si>
  <si>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</si>
  <si>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</si>
  <si>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</si>
  <si>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</si>
  <si>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</si>
  <si>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</si>
  <si>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</si>
  <si>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</si>
  <si>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</si>
  <si>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</si>
  <si>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</si>
  <si>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</si>
  <si>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</si>
  <si>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</si>
  <si>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</si>
  <si>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</si>
  <si>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</si>
  <si>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</si>
  <si>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</si>
  <si>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</si>
  <si>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</si>
  <si>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</si>
  <si>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</si>
  <si>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</si>
  <si>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</si>
  <si>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</si>
  <si>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</si>
  <si>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</si>
  <si>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</si>
  <si>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</si>
  <si>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</si>
  <si>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</si>
  <si>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</si>
  <si>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</si>
  <si>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</si>
  <si>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</si>
  <si>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</si>
  <si>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</si>
  <si>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</si>
  <si>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</si>
  <si>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</si>
  <si>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</si>
  <si>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</si>
  <si>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</si>
  <si>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</si>
  <si>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</si>
  <si>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</si>
  <si>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</si>
  <si>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</si>
  <si>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</si>
  <si>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</si>
  <si>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</si>
  <si>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</si>
  <si>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</si>
  <si>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</si>
  <si>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</si>
  <si>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</si>
  <si>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</si>
  <si>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</si>
  <si>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</si>
  <si>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</si>
  <si>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</si>
  <si>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</si>
  <si>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</si>
  <si>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</si>
  <si>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</si>
  <si>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</si>
  <si>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</si>
  <si>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</si>
  <si>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</si>
  <si>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</si>
  <si>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</si>
  <si>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</si>
  <si>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</si>
  <si>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</si>
  <si>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</si>
  <si>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</si>
  <si>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</si>
  <si>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</si>
  <si>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</si>
  <si>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</si>
  <si>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</si>
  <si>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</si>
  <si>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</si>
  <si>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</si>
  <si>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</si>
  <si>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</si>
  <si>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</si>
  <si>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</si>
  <si>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</si>
  <si>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</si>
  <si>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</si>
  <si>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</si>
  <si>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</si>
  <si>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</si>
  <si>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</si>
  <si>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</si>
  <si>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</si>
  <si>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</si>
  <si>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</si>
  <si>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</si>
  <si>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</si>
  <si>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</si>
  <si>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</si>
  <si>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</si>
  <si>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</si>
  <si>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</si>
  <si>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</si>
  <si>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</si>
  <si>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</si>
  <si>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</si>
  <si>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</si>
  <si>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</si>
  <si>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</si>
  <si>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</si>
  <si>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</si>
  <si>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</si>
  <si>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</si>
  <si>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</si>
  <si>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</si>
  <si>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</si>
  <si>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</si>
  <si>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</si>
  <si>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</si>
  <si>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</si>
  <si>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</si>
  <si>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</si>
  <si>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</si>
  <si>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</si>
  <si>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</si>
  <si>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</si>
  <si>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</si>
  <si>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</si>
  <si>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</si>
  <si>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</si>
  <si>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</si>
  <si>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</si>
  <si>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</si>
  <si>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</si>
  <si>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</si>
  <si>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</si>
  <si>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</si>
  <si>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</si>
  <si>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</si>
  <si>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</si>
  <si>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</si>
  <si>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</si>
  <si>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</si>
  <si>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</si>
  <si>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</si>
  <si>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</si>
  <si>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</si>
  <si>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</si>
  <si>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</si>
  <si>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</si>
  <si>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</si>
  <si>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</si>
  <si>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</si>
  <si>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</si>
  <si>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</si>
  <si>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</si>
  <si>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</si>
  <si>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</si>
  <si>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</si>
  <si>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</si>
  <si>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</si>
  <si>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</si>
  <si>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</si>
  <si>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</si>
  <si>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</si>
  <si>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</si>
  <si>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</si>
  <si>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</si>
  <si>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</si>
  <si>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</si>
  <si>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</si>
  <si>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</si>
  <si>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</si>
  <si>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</si>
  <si>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</si>
  <si>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</si>
  <si>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</si>
  <si>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</si>
  <si>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</si>
  <si>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</si>
  <si>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</si>
  <si>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</si>
  <si>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</si>
  <si>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</si>
  <si>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</si>
  <si>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</si>
  <si>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</si>
  <si>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</si>
  <si>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</si>
  <si>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</si>
  <si>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</si>
  <si>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</si>
  <si>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</si>
  <si>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</si>
  <si>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</si>
  <si>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</si>
  <si>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</si>
  <si>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</si>
  <si>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</si>
  <si>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</si>
  <si>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</si>
  <si>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</si>
  <si>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</si>
  <si>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</si>
  <si>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</si>
  <si>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</si>
  <si>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</si>
  <si>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</si>
  <si>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</si>
  <si>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</si>
  <si>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</si>
  <si>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</si>
  <si>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</si>
  <si>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</si>
  <si>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</si>
  <si>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</si>
  <si>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</si>
  <si>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</si>
  <si>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</si>
  <si>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</si>
  <si>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</si>
  <si>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</si>
  <si>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</si>
  <si>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</si>
  <si>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</si>
  <si>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</si>
  <si>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</si>
  <si>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</si>
  <si>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</si>
  <si>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</si>
  <si>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</si>
  <si>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</si>
  <si>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</si>
  <si>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</si>
  <si>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</si>
  <si>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</si>
  <si>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</si>
  <si>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</si>
  <si>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</si>
  <si>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</si>
  <si>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</si>
  <si>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</si>
  <si>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</si>
  <si>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</si>
  <si>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</si>
  <si>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</si>
  <si>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</si>
  <si>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</si>
  <si>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</si>
  <si>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</si>
  <si>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</si>
  <si>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</si>
  <si>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</si>
  <si>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</si>
  <si>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</si>
  <si>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</si>
  <si>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</si>
  <si>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</si>
  <si>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</si>
  <si>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</si>
  <si>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</si>
  <si>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</si>
  <si>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</si>
  <si>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</si>
  <si>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</si>
  <si>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</si>
  <si>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</si>
  <si>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</si>
  <si>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</si>
  <si>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</si>
  <si>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</si>
  <si>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</si>
  <si>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</si>
  <si>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</si>
  <si>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</si>
  <si>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</si>
  <si>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</si>
  <si>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</si>
  <si>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</si>
  <si>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</si>
  <si>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</si>
  <si>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</si>
  <si>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</si>
  <si>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</si>
  <si>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</si>
  <si>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</si>
  <si>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</si>
  <si>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</si>
  <si>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</si>
  <si>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</si>
  <si>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</si>
  <si>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</si>
  <si>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</si>
  <si>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</si>
  <si>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</si>
  <si>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</si>
  <si>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</si>
  <si>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</si>
  <si>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</si>
  <si>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</si>
  <si>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</si>
  <si>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</si>
  <si>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</si>
  <si>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</si>
  <si>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</si>
  <si>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</si>
  <si>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</si>
  <si>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</si>
  <si>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</si>
  <si>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</si>
  <si>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</si>
  <si>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</si>
  <si>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</si>
  <si>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</si>
  <si>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</si>
  <si>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</si>
  <si>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</si>
  <si>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</si>
  <si>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</si>
  <si>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</si>
  <si>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</si>
  <si>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</si>
  <si>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</si>
  <si>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</si>
  <si>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</si>
  <si>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</si>
  <si>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</si>
  <si>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</si>
  <si>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</si>
  <si>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</si>
  <si>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</si>
  <si>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</si>
  <si>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</si>
  <si>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</si>
  <si>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</si>
  <si>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</si>
  <si>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</si>
  <si>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</si>
  <si>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</si>
  <si>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</si>
  <si>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</si>
  <si>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</si>
  <si>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</si>
  <si>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</si>
  <si>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</si>
  <si>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</si>
  <si>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</si>
  <si>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</si>
  <si>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</si>
  <si>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</si>
  <si>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</si>
  <si>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</si>
  <si>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</si>
  <si>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</si>
  <si>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</si>
  <si>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</si>
  <si>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</si>
  <si>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</si>
  <si>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</si>
  <si>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</si>
  <si>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</si>
  <si>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</si>
  <si>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</si>
  <si>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</si>
  <si>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</si>
  <si>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</si>
  <si>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</si>
  <si>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</si>
  <si>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</si>
  <si>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</si>
  <si>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</si>
  <si>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</si>
  <si>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</si>
  <si>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</si>
  <si>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</si>
  <si>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</si>
  <si>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</si>
  <si>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</si>
  <si>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</si>
  <si>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</si>
  <si>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</si>
  <si>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</si>
  <si>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</si>
  <si>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</si>
  <si>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</si>
  <si>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</si>
  <si>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</si>
  <si>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</si>
  <si>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</si>
  <si>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</si>
  <si>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</si>
  <si>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</si>
  <si>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</si>
  <si>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</si>
  <si>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</si>
  <si>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</si>
  <si>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</si>
  <si>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</si>
  <si>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</si>
  <si>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</si>
  <si>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</si>
  <si>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</si>
  <si>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</si>
  <si>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</si>
  <si>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</si>
  <si>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</si>
  <si>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</si>
  <si>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</si>
  <si>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</si>
  <si>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</si>
  <si>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</si>
  <si>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</si>
  <si>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</si>
  <si>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</si>
  <si>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</si>
  <si>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</si>
  <si>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</si>
  <si>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</si>
  <si>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</si>
  <si>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</si>
  <si>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</si>
  <si>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</si>
  <si>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</si>
  <si>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</si>
  <si>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</si>
  <si>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</si>
  <si>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</si>
  <si>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</si>
  <si>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</si>
  <si>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</si>
  <si>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</si>
  <si>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</si>
  <si>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</si>
  <si>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</si>
  <si>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</si>
  <si>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</si>
  <si>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</si>
  <si>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</si>
  <si>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</si>
  <si>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</si>
  <si>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</si>
  <si>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</si>
  <si>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</si>
  <si>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</si>
  <si>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</si>
  <si>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</si>
  <si>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</si>
  <si>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</si>
  <si>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</si>
  <si>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</si>
  <si>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</si>
  <si>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</si>
  <si>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</si>
  <si>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</si>
  <si>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</si>
  <si>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</si>
  <si>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</si>
  <si>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</si>
  <si>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</si>
  <si>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</si>
  <si>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</si>
  <si>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</si>
  <si>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</si>
  <si>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</si>
  <si>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</si>
  <si>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</si>
  <si>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</si>
  <si>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</si>
  <si>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</si>
  <si>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</si>
  <si>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</si>
  <si>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</si>
  <si>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</si>
  <si>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</si>
  <si>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</si>
  <si>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</si>
  <si>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</si>
  <si>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</si>
  <si>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</si>
  <si>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</si>
  <si>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</si>
  <si>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</si>
  <si>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</si>
  <si>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</si>
  <si>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</si>
  <si>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</si>
  <si>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</si>
  <si>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</si>
  <si>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</si>
  <si>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</si>
  <si>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</si>
  <si>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</si>
  <si>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</si>
  <si>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</si>
  <si>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</si>
  <si>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</si>
  <si>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</si>
  <si>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</si>
  <si>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</si>
  <si>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</si>
  <si>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</si>
  <si>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</si>
  <si>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</si>
  <si>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</si>
  <si>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</si>
  <si>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</si>
  <si>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</si>
  <si>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</si>
  <si>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</si>
  <si>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</si>
  <si>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</si>
  <si>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</si>
  <si>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</si>
  <si>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</si>
  <si>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</si>
  <si>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</si>
  <si>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</si>
  <si>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</si>
  <si>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</si>
  <si>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</si>
  <si>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</si>
  <si>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</si>
  <si>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</si>
  <si>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</si>
  <si>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</si>
  <si>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</si>
  <si>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</si>
  <si>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</si>
  <si>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</si>
  <si>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</si>
  <si>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</si>
  <si>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</si>
  <si>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</si>
  <si>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</si>
  <si>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</si>
  <si>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</si>
  <si>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</si>
  <si>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</si>
  <si>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</si>
  <si>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</si>
  <si>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</si>
  <si>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</si>
  <si>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</si>
  <si>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</si>
  <si>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</si>
  <si>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</si>
  <si>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</si>
  <si>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</si>
  <si>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</si>
  <si>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</si>
  <si>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</si>
  <si>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</si>
  <si>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</si>
  <si>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</si>
  <si>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</si>
  <si>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</si>
  <si>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</si>
  <si>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</si>
  <si>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</si>
  <si>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</si>
  <si>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</si>
  <si>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</si>
  <si>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</si>
  <si>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</si>
  <si>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</si>
  <si>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</si>
  <si>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</si>
  <si>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</si>
  <si>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</si>
  <si>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</si>
  <si>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</si>
  <si>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</si>
  <si>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</si>
  <si>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</si>
  <si>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</si>
  <si>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</si>
  <si>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</si>
  <si>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</si>
  <si>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</si>
  <si>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</si>
  <si>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</si>
  <si>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</si>
  <si>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</si>
  <si>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</si>
  <si>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</si>
  <si>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</si>
  <si>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</si>
  <si>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</si>
  <si>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</si>
  <si>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</si>
  <si>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</si>
  <si>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</si>
  <si>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</si>
  <si>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</si>
  <si>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</si>
  <si>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</si>
  <si>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</si>
  <si>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</si>
  <si>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</si>
  <si>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</si>
  <si>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</si>
  <si>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</si>
  <si>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</si>
  <si>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</si>
  <si>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</si>
  <si>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</si>
  <si>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</si>
  <si>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</si>
  <si>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</si>
  <si>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</si>
  <si>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</si>
  <si>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</si>
  <si>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</si>
  <si>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</si>
  <si>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</si>
  <si>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</si>
  <si>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</si>
  <si>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</si>
  <si>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</si>
  <si>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</si>
  <si>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</si>
  <si>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</si>
  <si>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</si>
  <si>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</si>
  <si>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</si>
  <si>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</si>
  <si>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</si>
  <si>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</si>
  <si>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</si>
  <si>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</si>
  <si>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</si>
  <si>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</si>
  <si>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</si>
  <si>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</si>
  <si>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</si>
  <si>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</si>
  <si>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</si>
  <si>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</si>
  <si>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</si>
  <si>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</si>
  <si>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</si>
  <si>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</si>
  <si>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</si>
  <si>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</si>
  <si>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</si>
  <si>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</si>
  <si>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</si>
  <si>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</si>
  <si>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</si>
  <si>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</si>
  <si>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</si>
  <si>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</si>
  <si>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</si>
  <si>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</si>
  <si>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</si>
  <si>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</si>
  <si>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</si>
  <si>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</si>
  <si>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</si>
  <si>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</si>
  <si>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</si>
  <si>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</si>
  <si>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</si>
  <si>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</si>
  <si>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</si>
  <si>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</si>
  <si>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</si>
  <si>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</si>
  <si>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</si>
  <si>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</si>
  <si>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</si>
  <si>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</si>
  <si>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</si>
  <si>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</si>
  <si>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</si>
  <si>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</si>
  <si>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</si>
  <si>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</si>
  <si>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</si>
  <si>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</si>
  <si>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</si>
  <si>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</si>
  <si>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</si>
  <si>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</si>
  <si>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</si>
  <si>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</si>
  <si>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</si>
  <si>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</si>
  <si>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</si>
  <si>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</si>
  <si>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</si>
  <si>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</si>
  <si>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</si>
  <si>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</si>
  <si>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</si>
  <si>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</si>
  <si>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</si>
  <si>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</si>
  <si>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</si>
  <si>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</si>
  <si>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</si>
  <si>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</si>
  <si>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</si>
  <si>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</si>
  <si>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</si>
  <si>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</si>
  <si>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</si>
  <si>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</si>
  <si>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</si>
  <si>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</si>
  <si>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</si>
  <si>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</si>
  <si>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</si>
  <si>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</si>
  <si>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</si>
  <si>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</si>
  <si>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</si>
  <si>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</si>
  <si>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</si>
  <si>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</si>
  <si>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</si>
  <si>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</si>
  <si>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</si>
  <si>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</si>
  <si>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</si>
  <si>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</si>
  <si>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</si>
  <si>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</si>
  <si>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</si>
  <si>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</si>
  <si>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</si>
  <si>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</si>
  <si>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</si>
  <si>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</si>
  <si>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</si>
  <si>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</si>
  <si>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</si>
  <si>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</si>
  <si>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</si>
  <si>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</si>
  <si>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</si>
  <si>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</si>
  <si>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</si>
  <si>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</si>
  <si>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</si>
  <si>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</si>
  <si>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</si>
  <si>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</si>
  <si>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</si>
  <si>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</si>
  <si>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</si>
  <si>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</si>
  <si>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</si>
  <si>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</si>
  <si>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</si>
  <si>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</si>
  <si>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</si>
  <si>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</si>
  <si>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</si>
  <si>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</si>
  <si>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</si>
  <si>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</si>
  <si>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</si>
  <si>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</si>
  <si>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</si>
  <si>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</si>
  <si>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</si>
  <si>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</si>
  <si>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</si>
  <si>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</si>
  <si>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</si>
  <si>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</si>
  <si>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</si>
  <si>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</si>
  <si>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</si>
  <si>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</si>
  <si>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</si>
  <si>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</si>
  <si>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</si>
  <si>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</si>
  <si>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</si>
  <si>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</si>
  <si>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</si>
  <si>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</si>
  <si>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</si>
  <si>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</si>
  <si>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</si>
  <si>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</si>
  <si>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</si>
  <si>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</si>
  <si>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</si>
  <si>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</si>
  <si>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</si>
  <si>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</si>
  <si>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</si>
  <si>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</si>
  <si>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</si>
  <si>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</si>
  <si>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</si>
  <si>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</si>
  <si>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</si>
  <si>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</si>
  <si>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</si>
  <si>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</si>
  <si>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</si>
  <si>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</si>
  <si>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</si>
  <si>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</si>
  <si>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</si>
  <si>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</si>
  <si>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</si>
  <si>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</si>
  <si>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</si>
  <si>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</si>
  <si>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</si>
  <si>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</si>
  <si>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</si>
  <si>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</si>
  <si>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</si>
  <si>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</si>
  <si>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</si>
  <si>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</si>
  <si>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</si>
  <si>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</si>
  <si>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</si>
  <si>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</si>
  <si>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</si>
  <si>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</si>
  <si>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</si>
  <si>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</si>
  <si>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</si>
  <si>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</si>
  <si>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</si>
  <si>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</si>
  <si>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</si>
  <si>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</si>
  <si>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</si>
  <si>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</si>
  <si>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</si>
  <si>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</si>
  <si>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</si>
  <si>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</si>
  <si>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</si>
  <si>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</si>
  <si>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</si>
  <si>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</si>
  <si>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</si>
  <si>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</si>
  <si>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</si>
  <si>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</si>
  <si>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</si>
  <si>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</si>
  <si>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</si>
  <si>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</si>
  <si>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</si>
  <si>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</si>
  <si>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</si>
  <si>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</si>
  <si>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</si>
  <si>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</si>
  <si>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</si>
  <si>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</si>
  <si>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</si>
  <si>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</si>
  <si>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</si>
  <si>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</si>
  <si>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</si>
  <si>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</si>
  <si>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</si>
  <si>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</si>
  <si>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</si>
  <si>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</si>
  <si>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</si>
  <si>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</si>
  <si>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</si>
  <si>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</si>
  <si>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</si>
  <si>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</si>
  <si>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</si>
  <si>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</si>
  <si>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</si>
  <si>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</si>
  <si>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</si>
  <si>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</si>
  <si>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</si>
  <si>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</si>
  <si>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</si>
  <si>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</si>
  <si>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</si>
  <si>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</si>
  <si>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</si>
  <si>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</si>
  <si>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</si>
  <si>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</si>
  <si>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</si>
  <si>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</si>
  <si>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</si>
  <si>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</si>
  <si>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</si>
  <si>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</si>
  <si>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</si>
  <si>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</si>
  <si>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</si>
  <si>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</si>
  <si>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</si>
  <si>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</si>
  <si>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</si>
  <si>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</si>
  <si>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</si>
  <si>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</si>
  <si>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</si>
  <si>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</si>
  <si>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</si>
  <si>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</si>
  <si>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</si>
  <si>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</si>
  <si>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</si>
  <si>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</si>
  <si>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</si>
  <si>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</si>
  <si>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</si>
  <si>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</si>
  <si>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</si>
  <si>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</si>
  <si>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</si>
  <si>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</si>
  <si>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</si>
  <si>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</si>
  <si>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</si>
  <si>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</si>
  <si>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</si>
  <si>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</si>
  <si>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</si>
  <si>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</si>
  <si>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</si>
  <si>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</si>
  <si>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</si>
  <si>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</si>
  <si>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</si>
  <si>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</si>
  <si>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</si>
  <si>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</si>
  <si>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</si>
  <si>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</si>
  <si>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</si>
  <si>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</si>
  <si>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</si>
  <si>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</si>
  <si>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</si>
  <si>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</si>
  <si>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</si>
  <si>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</si>
  <si>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</si>
  <si>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</si>
  <si>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</si>
  <si>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</si>
  <si>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</si>
  <si>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</si>
  <si>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</si>
  <si>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</si>
  <si>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</si>
  <si>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</si>
  <si>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</si>
  <si>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</si>
  <si>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</si>
  <si>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</si>
  <si>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</si>
  <si>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</si>
  <si>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</si>
  <si>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</si>
  <si>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</si>
  <si>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</si>
  <si>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</si>
  <si>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</si>
  <si>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</si>
  <si>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</si>
  <si>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</si>
  <si>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</si>
  <si>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</si>
  <si>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</si>
  <si>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</si>
  <si>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</si>
  <si>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</si>
  <si>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</si>
  <si>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</si>
  <si>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</si>
  <si>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</si>
  <si>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</si>
  <si>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</si>
  <si>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</si>
  <si>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</si>
  <si>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</si>
  <si>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</si>
  <si>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</si>
  <si>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</si>
  <si>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</si>
  <si>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</si>
  <si>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</si>
  <si>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</si>
  <si>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</si>
  <si>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</si>
  <si>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</si>
  <si>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</si>
  <si>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</si>
  <si>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</si>
  <si>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</si>
  <si>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</si>
  <si>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</si>
  <si>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</si>
  <si>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</si>
  <si>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</si>
  <si>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</si>
  <si>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</si>
  <si>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</si>
  <si>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</si>
  <si>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</si>
  <si>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</si>
  <si>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</si>
  <si>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</si>
  <si>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</si>
  <si>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</si>
  <si>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</si>
  <si>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</si>
  <si>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</si>
  <si>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</si>
  <si>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</si>
  <si>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</si>
  <si>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</si>
  <si>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</si>
  <si>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</si>
  <si>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</si>
  <si>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</si>
  <si>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</si>
  <si>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</si>
  <si>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</si>
  <si>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</si>
  <si>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</si>
  <si>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</si>
  <si>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</si>
  <si>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</si>
  <si>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</si>
  <si>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</si>
  <si>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</si>
  <si>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</si>
  <si>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</si>
  <si>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</si>
  <si>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</si>
  <si>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</si>
  <si>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</si>
  <si>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</si>
  <si>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</si>
  <si>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</si>
  <si>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</si>
  <si>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</si>
  <si>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</si>
  <si>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</si>
  <si>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</si>
  <si>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</si>
  <si>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</si>
  <si>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</si>
  <si>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</si>
  <si>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</si>
  <si>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</si>
  <si>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</si>
  <si>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</si>
  <si>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</si>
  <si>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</si>
  <si>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</si>
  <si>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</si>
  <si>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</si>
  <si>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</si>
  <si>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</si>
  <si>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</si>
  <si>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</si>
  <si>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</si>
  <si>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</si>
  <si>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</si>
  <si>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</si>
  <si>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</si>
  <si>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</si>
  <si>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</si>
  <si>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</si>
  <si>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</si>
  <si>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</si>
  <si>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</si>
  <si>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</si>
  <si>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</si>
  <si>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</si>
  <si>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</si>
  <si>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</si>
  <si>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</si>
  <si>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</si>
  <si>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</si>
  <si>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</si>
  <si>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</si>
  <si>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</si>
  <si>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</si>
  <si>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</si>
  <si>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</si>
  <si>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</si>
  <si>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</si>
  <si>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</si>
  <si>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</si>
  <si>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</si>
  <si>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</si>
  <si>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</si>
  <si>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</si>
  <si>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</si>
  <si>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</si>
  <si>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</si>
  <si>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</si>
  <si>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</si>
  <si>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</si>
  <si>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</si>
  <si>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</si>
  <si>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</si>
  <si>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</si>
  <si>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</si>
  <si>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</si>
  <si>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</si>
  <si>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</si>
  <si>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</si>
  <si>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</si>
  <si>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</si>
  <si>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</si>
  <si>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</si>
  <si>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</si>
  <si>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</si>
  <si>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</si>
  <si>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</si>
  <si>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</si>
  <si>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</si>
  <si>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</si>
  <si>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</si>
  <si>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</si>
  <si>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</si>
  <si>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</si>
  <si>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</si>
  <si>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</si>
  <si>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</si>
  <si>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</si>
  <si>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</si>
  <si>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</si>
  <si>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</si>
  <si>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</si>
  <si>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</si>
  <si>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</si>
  <si>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</si>
  <si>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</si>
  <si>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</si>
  <si>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</si>
  <si>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</si>
  <si>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</si>
  <si>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</si>
  <si>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</si>
  <si>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</si>
  <si>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</si>
  <si>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</si>
  <si>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</si>
  <si>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</si>
  <si>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</si>
  <si>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</si>
  <si>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</si>
  <si>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</si>
  <si>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</si>
  <si>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</si>
  <si>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</si>
  <si>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</si>
  <si>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</si>
  <si>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</si>
  <si>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</si>
  <si>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</si>
  <si>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</si>
  <si>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</si>
  <si>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</si>
  <si>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</si>
  <si>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</si>
  <si>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</si>
  <si>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</si>
  <si>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</si>
  <si>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</si>
  <si>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</si>
  <si>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</si>
  <si>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</si>
  <si>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</si>
  <si>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</si>
  <si>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</si>
  <si>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</si>
  <si>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</si>
  <si>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</si>
  <si>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</si>
  <si>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</si>
  <si>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</si>
  <si>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</si>
  <si>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</si>
  <si>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</si>
  <si>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</si>
  <si>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</si>
  <si>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</si>
  <si>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</si>
  <si>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</si>
  <si>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</si>
  <si>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</si>
  <si>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</si>
  <si>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</si>
  <si>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</si>
  <si>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</si>
  <si>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</si>
  <si>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</si>
  <si>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</si>
  <si>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</si>
  <si>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</si>
  <si>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</si>
  <si>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</si>
  <si>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</si>
  <si>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</si>
  <si>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</si>
  <si>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</si>
  <si>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</si>
  <si>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</si>
  <si>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</si>
  <si>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</si>
  <si>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</si>
  <si>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</si>
  <si>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</si>
  <si>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</si>
  <si>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</si>
  <si>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</si>
  <si>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</si>
  <si>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</si>
  <si>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</si>
  <si>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</si>
  <si>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</si>
  <si>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</si>
  <si>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</si>
  <si>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</si>
  <si>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</si>
  <si>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</si>
  <si>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</si>
  <si>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</si>
  <si>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</si>
  <si>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</si>
  <si>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</si>
  <si>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</si>
  <si>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</si>
  <si>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</si>
  <si>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</si>
  <si>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</si>
  <si>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</si>
  <si>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</si>
  <si>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</si>
  <si>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</si>
  <si>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</si>
  <si>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</si>
  <si>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</si>
  <si>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</si>
  <si>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</si>
  <si>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</si>
  <si>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</si>
  <si>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</si>
  <si>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</si>
  <si>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</si>
  <si>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</si>
  <si>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</si>
  <si>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</si>
  <si>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</si>
  <si>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</si>
  <si>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</si>
  <si>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</si>
  <si>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</si>
  <si>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</si>
  <si>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</si>
  <si>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</si>
  <si>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</si>
  <si>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</si>
  <si>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</si>
  <si>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</si>
  <si>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</si>
  <si>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</si>
  <si>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</si>
  <si>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</si>
  <si>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</si>
  <si>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</si>
  <si>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</si>
  <si>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</si>
  <si>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</si>
  <si>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</si>
  <si>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</si>
  <si>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</si>
  <si>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</si>
  <si>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</si>
  <si>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</si>
  <si>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</si>
  <si>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</si>
  <si>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</si>
  <si>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</si>
  <si>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</si>
  <si>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</si>
  <si>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</si>
  <si>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</si>
  <si>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</si>
  <si>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</si>
  <si>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</si>
  <si>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</si>
  <si>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</si>
  <si>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</si>
  <si>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</si>
  <si>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</si>
  <si>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</si>
  <si>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</si>
  <si>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</si>
  <si>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</si>
  <si>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</si>
  <si>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</si>
  <si>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</si>
  <si>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</si>
  <si>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</si>
  <si>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</si>
  <si>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</si>
  <si>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</si>
  <si>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</si>
  <si>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</si>
  <si>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</si>
  <si>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</si>
  <si>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</si>
  <si>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</si>
  <si>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</si>
  <si>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</si>
  <si>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</si>
  <si>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</si>
  <si>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</si>
  <si>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</si>
  <si>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</si>
  <si>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</si>
  <si>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</si>
  <si>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</si>
  <si>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</si>
  <si>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</si>
  <si>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</si>
  <si>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</si>
  <si>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</si>
  <si>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</si>
  <si>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</si>
  <si>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</si>
  <si>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</si>
  <si>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</si>
  <si>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</si>
  <si>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</si>
  <si>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</si>
  <si>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</si>
  <si>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</si>
  <si>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</si>
  <si>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</si>
  <si>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</si>
  <si>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</si>
  <si>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</si>
  <si>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</si>
  <si>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</si>
  <si>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</si>
  <si>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</si>
  <si>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</si>
  <si>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</si>
  <si>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</si>
  <si>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</si>
  <si>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</si>
  <si>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</si>
  <si>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</si>
  <si>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</si>
  <si>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</si>
  <si>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</si>
  <si>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</si>
  <si>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</si>
  <si>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</si>
  <si>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</si>
  <si>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</si>
  <si>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</si>
  <si>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</si>
  <si>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</si>
  <si>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</si>
  <si>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</si>
  <si>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</si>
  <si>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</si>
  <si>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</si>
  <si>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</si>
  <si>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</si>
  <si>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</si>
  <si>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</si>
  <si>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</si>
  <si>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</si>
  <si>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</si>
  <si>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</si>
  <si>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</si>
  <si>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</si>
  <si>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</si>
  <si>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</si>
  <si>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</si>
  <si>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</si>
  <si>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</si>
  <si>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</si>
  <si>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</si>
  <si>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</si>
  <si>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</si>
  <si>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</si>
  <si>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</si>
  <si>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</si>
  <si>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</si>
  <si>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</si>
  <si>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</si>
  <si>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</si>
  <si>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</si>
  <si>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</si>
  <si>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</si>
  <si>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</si>
  <si>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</si>
  <si>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</si>
  <si>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</si>
  <si>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</si>
  <si>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</si>
  <si>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</si>
  <si>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</si>
  <si>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</si>
  <si>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</si>
  <si>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</si>
  <si>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</si>
  <si>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</si>
  <si>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</si>
  <si>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</si>
  <si>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</si>
  <si>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</si>
  <si>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</si>
  <si>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</si>
  <si>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</si>
  <si>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</si>
  <si>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</si>
  <si>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</si>
  <si>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</si>
  <si>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</si>
  <si>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</si>
  <si>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</si>
  <si>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</si>
  <si>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</si>
  <si>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</si>
  <si>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</si>
  <si>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</si>
  <si>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</si>
  <si>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</si>
  <si>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</si>
  <si>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</si>
  <si>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</si>
  <si>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</si>
  <si>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</si>
  <si>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</si>
  <si>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</si>
  <si>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</si>
  <si>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</si>
  <si>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</si>
  <si>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</si>
  <si>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</si>
  <si>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</si>
  <si>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</si>
  <si>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</si>
  <si>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</si>
  <si>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</si>
  <si>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</si>
  <si>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</si>
  <si>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</si>
  <si>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</si>
  <si>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</si>
  <si>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</si>
  <si>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</si>
  <si>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</si>
  <si>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</si>
  <si>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</si>
  <si>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</si>
  <si>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</si>
  <si>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</si>
  <si>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</si>
  <si>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</si>
  <si>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</si>
  <si>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</si>
  <si>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</si>
  <si>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</si>
  <si>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</si>
  <si>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</si>
  <si>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</si>
  <si>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</si>
  <si>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</si>
  <si>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</si>
  <si>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</si>
  <si>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</si>
  <si>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</si>
  <si>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</si>
  <si>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</si>
  <si>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</si>
  <si>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</si>
  <si>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</si>
  <si>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</si>
  <si>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</si>
  <si>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</si>
  <si>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</si>
  <si>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</si>
  <si>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</si>
  <si>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</si>
  <si>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</si>
  <si>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</si>
  <si>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</si>
  <si>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</si>
  <si>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</si>
  <si>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</si>
  <si>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</si>
  <si>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</si>
  <si>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</si>
  <si>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</si>
  <si>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</si>
  <si>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</si>
  <si>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</si>
  <si>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</si>
  <si>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</si>
  <si>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</si>
  <si>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</si>
  <si>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</si>
  <si>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</si>
  <si>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</si>
  <si>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</si>
  <si>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</si>
  <si>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</si>
  <si>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</si>
  <si>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</si>
  <si>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</si>
  <si>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</si>
  <si>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</si>
  <si>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</si>
  <si>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</si>
  <si>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</si>
  <si>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</si>
  <si>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</si>
  <si>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</si>
  <si>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</si>
  <si>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</si>
  <si>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</si>
  <si>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</si>
  <si>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</si>
  <si>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</si>
  <si>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</si>
  <si>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</si>
  <si>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</si>
  <si>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</si>
  <si>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</si>
  <si>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</si>
  <si>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</si>
  <si>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</si>
  <si>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</si>
  <si>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</si>
  <si>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</si>
  <si>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</si>
  <si>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</si>
  <si>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</si>
  <si>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</si>
  <si>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</si>
  <si>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</si>
  <si>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</si>
  <si>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</si>
  <si>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</si>
  <si>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</si>
  <si>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</si>
  <si>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</si>
  <si>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</si>
  <si>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</si>
  <si>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</si>
  <si>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</si>
  <si>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</si>
  <si>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</si>
  <si>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</si>
  <si>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</si>
  <si>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</si>
  <si>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</si>
  <si>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</si>
  <si>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</si>
  <si>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</si>
  <si>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</si>
  <si>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</si>
  <si>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</si>
  <si>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</si>
  <si>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</si>
  <si>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</si>
  <si>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</si>
  <si>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</si>
  <si>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</si>
  <si>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</si>
  <si>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</si>
  <si>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</si>
  <si>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</si>
  <si>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</si>
  <si>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</si>
  <si>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</si>
  <si>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</si>
  <si>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</si>
  <si>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</si>
  <si>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</si>
  <si>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</si>
  <si>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</si>
  <si>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</si>
  <si>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</si>
  <si>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</si>
  <si>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</si>
  <si>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</si>
  <si>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</si>
  <si>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</si>
  <si>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</si>
  <si>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</si>
  <si>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</si>
  <si>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</si>
  <si>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</si>
  <si>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</si>
  <si>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</si>
  <si>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</si>
  <si>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</si>
  <si>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</si>
  <si>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</si>
  <si>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</si>
  <si>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</si>
  <si>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</si>
  <si>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</si>
  <si>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</si>
  <si>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</si>
  <si>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</si>
  <si>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</si>
  <si>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</si>
  <si>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</si>
  <si>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</si>
  <si>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</si>
  <si>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</si>
  <si>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</si>
  <si>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</si>
  <si>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</si>
  <si>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</si>
  <si>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</si>
  <si>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</si>
  <si>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</si>
  <si>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</si>
  <si>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</si>
  <si>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</si>
  <si>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</si>
  <si>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</si>
  <si>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</si>
  <si>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</si>
  <si>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</si>
  <si>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</si>
  <si>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</si>
  <si>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</si>
  <si>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</si>
  <si>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</si>
  <si>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</si>
  <si>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</si>
  <si>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</si>
  <si>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</si>
  <si>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</si>
  <si>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</si>
  <si>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</si>
  <si>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</si>
  <si>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</si>
  <si>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</si>
  <si>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</si>
  <si>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</si>
  <si>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</si>
  <si>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</si>
  <si>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</si>
  <si>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</si>
  <si>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</si>
  <si>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</si>
  <si>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</si>
  <si>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</si>
  <si>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</si>
  <si>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</si>
  <si>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</si>
  <si>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</si>
  <si>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</si>
  <si>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</si>
  <si>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</si>
  <si>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</si>
  <si>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</si>
  <si>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</si>
  <si>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</si>
  <si>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</si>
  <si>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</si>
  <si>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</si>
  <si>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</si>
  <si>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</si>
  <si>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</si>
  <si>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</si>
  <si>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</si>
  <si>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</si>
  <si>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</si>
  <si>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</si>
  <si>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</si>
  <si>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</si>
  <si>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</si>
  <si>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</si>
  <si>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</si>
  <si>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</si>
  <si>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</si>
  <si>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</si>
  <si>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</si>
  <si>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</si>
  <si>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</si>
  <si>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</si>
  <si>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</si>
  <si>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</si>
  <si>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</si>
  <si>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</si>
  <si>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</si>
  <si>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</si>
  <si>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</si>
  <si>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</si>
  <si>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</si>
  <si>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</si>
  <si>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</si>
  <si>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</si>
  <si>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</si>
  <si>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</si>
  <si>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</si>
  <si>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</si>
  <si>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</si>
  <si>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</si>
  <si>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</si>
  <si>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</si>
  <si>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</si>
  <si>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</si>
  <si>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</si>
  <si>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</si>
  <si>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</si>
  <si>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</si>
  <si>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</si>
  <si>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</si>
  <si>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</si>
  <si>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</si>
  <si>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</si>
  <si>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</si>
  <si>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</si>
  <si>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</si>
  <si>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</si>
  <si>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</si>
  <si>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</si>
  <si>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</si>
  <si>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</si>
  <si>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</si>
  <si>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</si>
  <si>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</si>
  <si>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</si>
  <si>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</si>
  <si>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</si>
  <si>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</si>
  <si>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</si>
  <si>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</si>
  <si>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</si>
  <si>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</si>
  <si>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</si>
  <si>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</si>
  <si>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</si>
  <si>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</si>
  <si>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</si>
  <si>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</si>
  <si>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</si>
  <si>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</si>
  <si>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</si>
  <si>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</si>
  <si>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</si>
  <si>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</si>
  <si>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</si>
  <si>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</si>
  <si>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</si>
  <si>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</si>
  <si>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</si>
  <si>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</si>
  <si>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</si>
  <si>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</si>
  <si>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</si>
  <si>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</si>
  <si>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</si>
  <si>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</si>
  <si>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</si>
  <si>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</si>
  <si>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</si>
  <si>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</si>
  <si>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</si>
  <si>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</si>
  <si>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</si>
  <si>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</si>
  <si>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</si>
  <si>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</si>
  <si>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</si>
  <si>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</si>
  <si>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</si>
  <si>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</si>
  <si>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</si>
  <si>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</si>
  <si>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</si>
  <si>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</si>
  <si>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</si>
  <si>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</si>
  <si>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</si>
  <si>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</si>
  <si>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</si>
  <si>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</si>
  <si>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</si>
  <si>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</si>
  <si>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</si>
  <si>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</si>
  <si>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</si>
  <si>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</si>
  <si>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</si>
  <si>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</si>
  <si>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</si>
  <si>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</si>
  <si>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</si>
  <si>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</si>
  <si>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</si>
  <si>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</si>
  <si>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</si>
  <si>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</si>
  <si>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</si>
  <si>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</si>
  <si>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</si>
  <si>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</si>
  <si>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</si>
  <si>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</si>
  <si>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</si>
  <si>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</si>
  <si>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</si>
  <si>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</si>
  <si>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</si>
  <si>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</si>
  <si>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</si>
  <si>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</si>
  <si>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</si>
  <si>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</si>
  <si>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</si>
  <si>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</si>
  <si>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</si>
  <si>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</si>
  <si>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</si>
  <si>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</si>
  <si>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</si>
  <si>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</si>
  <si>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</si>
  <si>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</si>
  <si>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</si>
  <si>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</si>
  <si>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</si>
  <si>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</si>
  <si>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</si>
  <si>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</si>
  <si>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</si>
  <si>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</si>
  <si>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</si>
  <si>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</si>
  <si>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</si>
  <si>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</si>
  <si>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</si>
  <si>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</si>
  <si>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</si>
  <si>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</si>
  <si>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</si>
  <si>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</si>
  <si>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</si>
  <si>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</si>
  <si>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</si>
  <si>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</si>
  <si>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</si>
  <si>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</si>
  <si>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</si>
  <si>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</si>
  <si>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</si>
  <si>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</si>
  <si>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</si>
  <si>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</si>
  <si>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</si>
  <si>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</si>
  <si>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</si>
  <si>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</si>
  <si>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</si>
  <si>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</si>
  <si>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</si>
  <si>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</si>
  <si>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</si>
  <si>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</si>
  <si>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</si>
  <si>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</si>
  <si>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</si>
  <si>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</si>
  <si>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</si>
  <si>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</si>
  <si>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</si>
  <si>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</si>
  <si>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</si>
  <si>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</si>
  <si>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</si>
  <si>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</si>
  <si>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</si>
  <si>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</si>
  <si>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</si>
  <si>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</si>
  <si>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</si>
  <si>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</si>
  <si>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</si>
  <si>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</si>
  <si>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</si>
  <si>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</si>
  <si>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</si>
  <si>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</si>
  <si>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</si>
  <si>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</si>
  <si>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</si>
  <si>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</si>
  <si>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</si>
  <si>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</si>
  <si>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</si>
  <si>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</si>
  <si>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</si>
  <si>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</si>
  <si>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</si>
  <si>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</si>
  <si>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</si>
  <si>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</si>
  <si>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</si>
  <si>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</si>
  <si>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</si>
  <si>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</si>
  <si>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</si>
  <si>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</si>
  <si>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</si>
  <si>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</si>
  <si>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</si>
  <si>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</si>
  <si>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</si>
  <si>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</si>
  <si>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</si>
  <si>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</si>
  <si>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</si>
  <si>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</si>
  <si>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</si>
  <si>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</si>
  <si>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</si>
  <si>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</si>
  <si>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</si>
  <si>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</si>
  <si>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</si>
  <si>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</si>
  <si>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</si>
  <si>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</si>
  <si>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</si>
  <si>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</si>
  <si>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</si>
  <si>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</si>
  <si>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</si>
  <si>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</si>
  <si>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</si>
  <si>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</si>
  <si>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</si>
  <si>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</si>
  <si>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</si>
  <si>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</si>
  <si>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</si>
  <si>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</si>
  <si>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</si>
  <si>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</si>
  <si>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</si>
  <si>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</si>
  <si>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</si>
  <si>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</si>
  <si>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</si>
  <si>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</si>
  <si>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</si>
  <si>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</si>
  <si>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</si>
  <si>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</si>
  <si>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</si>
  <si>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</si>
  <si>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</si>
  <si>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</si>
  <si>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</si>
  <si>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</si>
  <si>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</si>
  <si>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</si>
  <si>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</si>
  <si>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</si>
  <si>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</si>
  <si>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</si>
  <si>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</si>
  <si>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</si>
  <si>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</si>
  <si>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</si>
  <si>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</si>
  <si>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</si>
  <si>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</si>
  <si>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</si>
  <si>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</si>
  <si>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</si>
  <si>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</si>
  <si>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</si>
  <si>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</si>
  <si>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</si>
  <si>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</si>
  <si>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</si>
  <si>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</si>
  <si>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</si>
  <si>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</si>
  <si>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</si>
  <si>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</si>
  <si>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</si>
  <si>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</si>
  <si>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</si>
  <si>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</si>
  <si>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</si>
  <si>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</si>
  <si>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</si>
  <si>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</si>
  <si>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</si>
  <si>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</si>
  <si>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</si>
  <si>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</si>
  <si>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</si>
  <si>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</si>
  <si>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</si>
  <si>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</si>
  <si>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</si>
  <si>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</si>
  <si>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</si>
  <si>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</si>
  <si>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</si>
  <si>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</si>
  <si>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</si>
  <si>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</si>
  <si>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</si>
  <si>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</si>
  <si>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</si>
  <si>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</si>
  <si>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</si>
  <si>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</si>
  <si>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</si>
  <si>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</si>
  <si>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</si>
  <si>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</si>
  <si>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</si>
  <si>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</si>
  <si>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</si>
  <si>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</si>
  <si>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</si>
  <si>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</si>
  <si>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</si>
  <si>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</si>
  <si>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</si>
  <si>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</si>
  <si>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</si>
  <si>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</si>
  <si>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</si>
  <si>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</si>
  <si>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</si>
  <si>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</si>
  <si>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</si>
  <si>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</si>
  <si>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</si>
  <si>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</si>
  <si>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</si>
  <si>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</si>
  <si>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</si>
  <si>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</si>
  <si>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</si>
  <si>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</si>
  <si>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</si>
  <si>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</si>
  <si>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</si>
  <si>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</si>
  <si>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</si>
  <si>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</si>
  <si>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</si>
  <si>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</si>
  <si>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</si>
  <si>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</si>
  <si>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</si>
  <si>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</si>
  <si>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</si>
  <si>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</si>
  <si>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</si>
  <si>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</si>
  <si>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</si>
  <si>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</si>
  <si>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</si>
  <si>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</si>
  <si>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</si>
  <si>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</si>
  <si>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</si>
  <si>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</si>
  <si>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</si>
  <si>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</si>
  <si>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</si>
  <si>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</si>
  <si>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</si>
  <si>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</si>
  <si>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</si>
  <si>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</si>
  <si>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</si>
  <si>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</si>
  <si>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</si>
  <si>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</si>
  <si>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</si>
  <si>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</si>
  <si>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</si>
  <si>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</si>
  <si>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</si>
  <si>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</si>
  <si>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</si>
  <si>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</si>
  <si>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</si>
  <si>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</si>
  <si>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</si>
  <si>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</si>
  <si>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</si>
  <si>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</si>
  <si>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</si>
  <si>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</si>
  <si>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</si>
  <si>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</si>
  <si>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</si>
  <si>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</si>
  <si>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</si>
  <si>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</si>
  <si>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</si>
  <si>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</si>
  <si>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</si>
  <si>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</si>
  <si>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</si>
  <si>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</si>
  <si>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</si>
  <si>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</si>
  <si>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</si>
  <si>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</si>
  <si>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</si>
  <si>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</si>
  <si>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</si>
  <si>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</si>
  <si>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</si>
  <si>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</si>
  <si>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</si>
  <si>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</si>
  <si>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</si>
  <si>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</si>
  <si>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</si>
  <si>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</si>
  <si>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</si>
  <si>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</si>
  <si>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</si>
  <si>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</si>
  <si>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</si>
  <si>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</si>
  <si>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</si>
  <si>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</si>
  <si>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</si>
  <si>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</si>
  <si>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</si>
  <si>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</si>
  <si>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</si>
  <si>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</si>
  <si>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</si>
  <si>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</si>
  <si>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</si>
  <si>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</si>
  <si>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</si>
  <si>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</si>
  <si>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</si>
  <si>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</si>
  <si>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</si>
  <si>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</si>
  <si>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</si>
  <si>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</si>
  <si>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</si>
  <si>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</si>
  <si>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</si>
  <si>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</si>
  <si>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</si>
  <si>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</si>
  <si>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</si>
  <si>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</si>
  <si>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</si>
  <si>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</si>
  <si>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</si>
  <si>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</si>
  <si>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</si>
  <si>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</si>
  <si>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</si>
  <si>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</si>
  <si>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</si>
  <si>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</si>
  <si>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</si>
  <si>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</si>
  <si>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</si>
  <si>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</si>
  <si>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</si>
  <si>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</si>
  <si>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</si>
  <si>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</si>
  <si>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</si>
  <si>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</si>
  <si>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</si>
  <si>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</si>
  <si>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</si>
  <si>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</si>
  <si>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</si>
  <si>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</si>
  <si>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</si>
  <si>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</si>
  <si>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</si>
  <si>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</si>
  <si>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</si>
  <si>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</si>
  <si>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</si>
  <si>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</si>
  <si>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</si>
  <si>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</si>
  <si>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</si>
  <si>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</si>
  <si>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</si>
  <si>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</si>
  <si>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</si>
  <si>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</si>
  <si>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</si>
  <si>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</si>
  <si>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</si>
  <si>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</si>
  <si>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</si>
  <si>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</si>
  <si>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</si>
  <si>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</si>
  <si>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</si>
  <si>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</si>
  <si>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</si>
  <si>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</si>
  <si>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</si>
  <si>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</si>
  <si>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</si>
  <si>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</si>
  <si>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</si>
  <si>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</si>
  <si>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</si>
  <si>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</si>
  <si>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</si>
  <si>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</si>
  <si>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</si>
  <si>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</si>
  <si>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</si>
  <si>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</si>
  <si>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</si>
  <si>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</si>
  <si>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</si>
  <si>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</si>
  <si>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</si>
  <si>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</si>
  <si>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</si>
  <si>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</si>
  <si>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</si>
  <si>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</si>
  <si>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</si>
  <si>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</si>
  <si>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</si>
  <si>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</si>
  <si>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</si>
  <si>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</si>
  <si>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</si>
  <si>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</si>
  <si>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</si>
  <si>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</si>
  <si>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</si>
  <si>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</si>
  <si>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</si>
  <si>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</si>
  <si>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</si>
  <si>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</si>
  <si>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</si>
  <si>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</si>
  <si>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</si>
  <si>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</si>
  <si>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</si>
  <si>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</si>
  <si>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</si>
  <si>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</si>
  <si>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</si>
  <si>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</si>
  <si>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</si>
  <si>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</si>
  <si>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</si>
  <si>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</si>
  <si>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</si>
  <si>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</si>
  <si>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</si>
  <si>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</si>
  <si>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</si>
  <si>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</si>
  <si>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</si>
  <si>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</si>
  <si>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</si>
  <si>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</si>
  <si>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</si>
  <si>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</si>
  <si>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</si>
  <si>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</si>
  <si>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</si>
  <si>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</si>
  <si>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</si>
  <si>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</si>
  <si>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</si>
  <si>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</si>
  <si>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</si>
  <si>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</si>
  <si>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</si>
  <si>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</si>
  <si>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</si>
  <si>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</si>
  <si>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</si>
  <si>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</si>
  <si>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</si>
  <si>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</si>
  <si>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</si>
  <si>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</si>
  <si>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</si>
  <si>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</si>
  <si>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</si>
  <si>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</si>
  <si>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</si>
  <si>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</si>
  <si>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</si>
  <si>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</si>
  <si>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</si>
  <si>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</si>
  <si>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</si>
  <si>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</si>
  <si>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</si>
  <si>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</si>
  <si>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</si>
  <si>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</si>
  <si>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</si>
  <si>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</si>
  <si>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</si>
  <si>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</si>
  <si>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</si>
  <si>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</si>
  <si>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</si>
  <si>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</si>
  <si>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</si>
  <si>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</si>
  <si>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</si>
  <si>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</si>
  <si>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</si>
  <si>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</si>
  <si>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</si>
  <si>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</si>
  <si>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</si>
  <si>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</si>
  <si>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</si>
  <si>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</si>
  <si>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</si>
  <si>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</si>
  <si>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</si>
  <si>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</si>
  <si>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</si>
  <si>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</si>
  <si>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</si>
  <si>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</si>
  <si>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</si>
  <si>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</si>
  <si>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</si>
  <si>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</si>
  <si>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</si>
  <si>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</si>
  <si>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</si>
  <si>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</si>
  <si>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</si>
  <si>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</si>
  <si>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</si>
  <si>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</si>
  <si>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</si>
  <si>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</si>
  <si>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</si>
  <si>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</si>
  <si>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</si>
  <si>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</si>
  <si>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</si>
  <si>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</si>
  <si>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</si>
  <si>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</si>
  <si>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</si>
  <si>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</si>
  <si>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</si>
  <si>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</si>
  <si>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</si>
  <si>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</si>
  <si>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</si>
  <si>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</si>
  <si>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</si>
  <si>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</si>
  <si>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</si>
  <si>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</si>
  <si>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</si>
  <si>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</si>
  <si>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</si>
  <si>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</si>
  <si>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</si>
  <si>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</si>
  <si>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</si>
  <si>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</si>
  <si>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</si>
  <si>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</si>
  <si>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</si>
  <si>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</si>
  <si>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</si>
  <si>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</si>
  <si>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</si>
  <si>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</si>
  <si>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</si>
  <si>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</si>
  <si>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</si>
  <si>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</si>
  <si>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</si>
  <si>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</si>
  <si>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</si>
  <si>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</si>
  <si>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</si>
  <si>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</si>
  <si>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</si>
  <si>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</si>
  <si>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</si>
  <si>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</si>
  <si>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</si>
  <si>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</si>
  <si>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</si>
  <si>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</si>
  <si>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</si>
  <si>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</si>
  <si>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</si>
  <si>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</si>
  <si>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</si>
  <si>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</si>
  <si>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</si>
  <si>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</si>
  <si>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</si>
  <si>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</si>
  <si>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</si>
  <si>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</si>
  <si>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</si>
  <si>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</si>
  <si>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</si>
  <si>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</si>
  <si>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</si>
  <si>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</si>
  <si>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</si>
  <si>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</si>
  <si>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</si>
  <si>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</si>
  <si>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</si>
  <si>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</si>
  <si>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</si>
  <si>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</si>
  <si>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</si>
  <si>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</si>
  <si>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</si>
  <si>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</si>
  <si>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</si>
  <si>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</si>
  <si>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</si>
  <si>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</si>
  <si>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</si>
  <si>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</si>
  <si>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</si>
  <si>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</si>
  <si>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</si>
  <si>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</si>
  <si>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</si>
  <si>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</si>
  <si>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</si>
  <si>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</si>
  <si>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</si>
  <si>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</si>
  <si>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</si>
  <si>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</si>
  <si>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</si>
  <si>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</si>
  <si>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</si>
  <si>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</si>
  <si>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</si>
  <si>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</si>
  <si>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</si>
  <si>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</si>
  <si>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</si>
  <si>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</si>
  <si>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</si>
  <si>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</si>
  <si>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</si>
  <si>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</si>
  <si>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</si>
  <si>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</si>
  <si>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</si>
  <si>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</si>
  <si>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</si>
  <si>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</si>
  <si>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</si>
  <si>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</si>
  <si>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</si>
  <si>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</si>
  <si>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</si>
  <si>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</si>
  <si>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</si>
  <si>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</si>
  <si>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</si>
  <si>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</si>
  <si>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</si>
  <si>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</si>
  <si>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</si>
  <si>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</si>
  <si>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</si>
  <si>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</si>
  <si>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</si>
  <si>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</si>
  <si>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</si>
  <si>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</si>
  <si>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</si>
  <si>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</si>
  <si>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</si>
  <si>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</si>
  <si>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</si>
  <si>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</si>
  <si>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</si>
  <si>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</si>
  <si>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</si>
  <si>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</si>
  <si>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</si>
  <si>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</si>
  <si>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</si>
  <si>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</si>
  <si>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</si>
  <si>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</si>
  <si>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</si>
  <si>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</si>
  <si>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</si>
  <si>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</si>
  <si>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</si>
  <si>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</si>
  <si>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</si>
  <si>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</si>
  <si>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</si>
  <si>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</si>
  <si>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</si>
  <si>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</si>
  <si>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</si>
  <si>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</si>
  <si>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</si>
  <si>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</si>
  <si>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</si>
  <si>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</si>
  <si>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</si>
  <si>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</si>
  <si>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</si>
  <si>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</si>
  <si>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</si>
  <si>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</si>
  <si>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</si>
  <si>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</si>
  <si>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</si>
  <si>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</si>
  <si>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</si>
  <si>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</si>
  <si>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</si>
  <si>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</si>
  <si>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</si>
  <si>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</si>
  <si>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</si>
  <si>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</si>
  <si>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</si>
  <si>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</si>
  <si>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</si>
  <si>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</si>
  <si>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</si>
  <si>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</si>
  <si>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</si>
  <si>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</si>
  <si>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</si>
  <si>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</si>
  <si>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</si>
  <si>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</si>
  <si>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</si>
  <si>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</si>
  <si>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</si>
  <si>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</si>
  <si>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</si>
  <si>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</si>
  <si>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</si>
  <si>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</si>
  <si>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</si>
  <si>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</si>
  <si>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</si>
  <si>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</si>
  <si>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</si>
  <si>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</si>
  <si>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</si>
  <si>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</si>
  <si>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</si>
  <si>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</si>
  <si>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</si>
  <si>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</si>
  <si>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</si>
  <si>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</si>
  <si>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</si>
  <si>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</si>
  <si>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</si>
  <si>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</si>
  <si>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</si>
  <si>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</si>
  <si>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</si>
  <si>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</si>
  <si>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</si>
  <si>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</si>
  <si>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</si>
  <si>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</si>
  <si>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</si>
  <si>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</si>
  <si>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</si>
  <si>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</si>
  <si>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</si>
  <si>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</si>
  <si>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</si>
  <si>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</si>
  <si>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</si>
  <si>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</si>
  <si>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</si>
  <si>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</si>
  <si>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</si>
  <si>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</si>
  <si>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</si>
  <si>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</si>
  <si>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</si>
  <si>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</si>
  <si>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</si>
  <si>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</si>
  <si>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</si>
  <si>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</si>
  <si>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</si>
  <si>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</si>
  <si>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</si>
  <si>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</si>
  <si>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</si>
  <si>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</si>
  <si>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</si>
  <si>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</si>
  <si>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</si>
  <si>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</si>
  <si>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</si>
  <si>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</si>
  <si>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</si>
  <si>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</si>
  <si>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</si>
  <si>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</si>
  <si>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</si>
  <si>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</si>
  <si>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</si>
  <si>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</si>
  <si>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</si>
  <si>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</si>
  <si>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</si>
  <si>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</si>
  <si>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</si>
  <si>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</si>
  <si>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</si>
  <si>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</si>
  <si>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</si>
  <si>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</si>
  <si>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</si>
  <si>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</si>
  <si>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</si>
  <si>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</si>
  <si>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</si>
  <si>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</si>
  <si>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</si>
  <si>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</si>
  <si>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</si>
  <si>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</si>
  <si>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</si>
  <si>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</si>
  <si>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</si>
  <si>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</si>
  <si>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</si>
  <si>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</si>
  <si>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</si>
  <si>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</si>
  <si>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</si>
  <si>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</si>
  <si>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</si>
  <si>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</si>
  <si>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</si>
  <si>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</si>
  <si>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</si>
  <si>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</si>
  <si>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</si>
  <si>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</si>
  <si>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</si>
  <si>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</si>
  <si>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</si>
  <si>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</si>
  <si>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</si>
  <si>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</si>
  <si>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</si>
  <si>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</si>
  <si>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</si>
  <si>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</si>
  <si>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</si>
  <si>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</si>
  <si>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</si>
  <si>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</si>
  <si>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</si>
  <si>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</si>
  <si>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</si>
  <si>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</si>
  <si>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</si>
  <si>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</si>
  <si>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</si>
  <si>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</si>
  <si>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</si>
  <si>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</si>
  <si>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</si>
  <si>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</si>
  <si>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</si>
  <si>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</si>
  <si>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</si>
  <si>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</si>
  <si>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</si>
  <si>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</si>
  <si>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</si>
  <si>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</si>
  <si>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</si>
  <si>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</si>
  <si>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</si>
  <si>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</si>
  <si>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</si>
  <si>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</si>
  <si>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</si>
  <si>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</si>
  <si>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</si>
  <si>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</si>
  <si>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</si>
  <si>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</si>
  <si>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</si>
  <si>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</si>
  <si>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</si>
  <si>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</si>
  <si>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</si>
  <si>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</si>
  <si>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</si>
  <si>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</si>
  <si>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</si>
  <si>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</si>
  <si>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</si>
  <si>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</si>
  <si>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</si>
  <si>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</si>
  <si>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</si>
  <si>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</si>
  <si>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</si>
  <si>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</si>
  <si>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</si>
  <si>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</si>
  <si>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</si>
  <si>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</si>
  <si>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</si>
  <si>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</si>
  <si>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</si>
  <si>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</si>
  <si>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</si>
  <si>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</si>
  <si>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</si>
  <si>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</si>
  <si>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</si>
  <si>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</si>
  <si>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</si>
  <si>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</si>
  <si>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</si>
  <si>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</si>
  <si>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</si>
  <si>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</si>
  <si>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</si>
  <si>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</si>
  <si>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</si>
  <si>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</si>
  <si>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</si>
  <si>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</si>
  <si>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</si>
  <si>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</si>
  <si>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</si>
  <si>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</si>
  <si>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</si>
  <si>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</si>
  <si>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</si>
  <si>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</si>
  <si>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</si>
  <si>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</si>
  <si>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</si>
  <si>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</si>
  <si>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</si>
  <si>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</si>
  <si>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</si>
  <si>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</si>
  <si>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</si>
  <si>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</si>
  <si>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</si>
  <si>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</si>
  <si>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</si>
  <si>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</si>
  <si>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</si>
  <si>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</si>
  <si>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</si>
  <si>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</si>
  <si>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</si>
  <si>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</si>
  <si>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</si>
  <si>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</si>
  <si>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</si>
  <si>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</si>
  <si>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</si>
  <si>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</si>
  <si>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</si>
  <si>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</si>
  <si>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</si>
  <si>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</si>
  <si>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</si>
  <si>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</si>
  <si>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</si>
  <si>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</si>
  <si>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</si>
  <si>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</si>
  <si>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</si>
  <si>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</si>
  <si>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</si>
  <si>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</si>
  <si>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</si>
  <si>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</si>
  <si>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</si>
  <si>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</si>
  <si>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</si>
  <si>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</si>
  <si>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</si>
  <si>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</si>
  <si>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</si>
  <si>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</si>
  <si>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</si>
  <si>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</si>
  <si>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</si>
  <si>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</si>
  <si>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</si>
  <si>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</si>
  <si>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</si>
  <si>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</si>
  <si>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</si>
  <si>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</si>
  <si>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</si>
  <si>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</si>
  <si>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</si>
  <si>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</si>
  <si>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</si>
  <si>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</si>
  <si>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</si>
  <si>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</si>
  <si>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</si>
  <si>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</si>
  <si>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</si>
  <si>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</si>
  <si>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</si>
  <si>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</si>
  <si>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</si>
  <si>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</si>
  <si>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</si>
  <si>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</si>
  <si>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</si>
  <si>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</si>
  <si>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</si>
  <si>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</si>
  <si>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</si>
  <si>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</si>
  <si>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</si>
  <si>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</si>
  <si>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</si>
  <si>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</si>
  <si>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</si>
  <si>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</si>
  <si>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</si>
  <si>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</si>
  <si>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</si>
  <si>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</si>
  <si>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</si>
  <si>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</si>
  <si>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</si>
  <si>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</si>
  <si>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</si>
  <si>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</si>
  <si>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</si>
  <si>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</si>
  <si>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</si>
  <si>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</si>
  <si>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</si>
  <si>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</si>
  <si>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</si>
  <si>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</si>
  <si>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</si>
  <si>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</si>
  <si>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</si>
  <si>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</si>
  <si>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</si>
  <si>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</si>
  <si>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</si>
  <si>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</si>
  <si>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</si>
  <si>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</si>
  <si>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</si>
  <si>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</si>
  <si>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</si>
  <si>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</si>
  <si>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</si>
  <si>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</si>
  <si>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</si>
  <si>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</si>
  <si>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</si>
  <si>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</si>
  <si>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</si>
  <si>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</si>
  <si>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</si>
  <si>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</si>
  <si>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</si>
  <si>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</si>
  <si>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</si>
  <si>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</si>
  <si>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</si>
  <si>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</si>
  <si>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</si>
  <si>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</si>
  <si>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</si>
  <si>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</si>
  <si>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</si>
  <si>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</si>
  <si>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</si>
  <si>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</si>
  <si>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</si>
  <si>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</si>
  <si>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</si>
  <si>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</si>
  <si>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</si>
  <si>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</si>
  <si>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</si>
  <si>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</si>
  <si>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</si>
  <si>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</si>
  <si>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</si>
  <si>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</si>
  <si>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</si>
  <si>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</si>
  <si>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</si>
  <si>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</si>
  <si>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</si>
  <si>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</si>
  <si>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</si>
  <si>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</si>
  <si>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</si>
  <si>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</si>
  <si>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</si>
  <si>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</si>
  <si>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</si>
  <si>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</si>
  <si>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</si>
  <si>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</si>
  <si>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</si>
  <si>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</si>
  <si>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</si>
  <si>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</si>
  <si>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</si>
  <si>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</si>
  <si>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</si>
  <si>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</si>
  <si>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</si>
  <si>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</si>
  <si>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</si>
  <si>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</si>
  <si>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</si>
  <si>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</si>
  <si>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</si>
  <si>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</si>
  <si>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</si>
  <si>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</si>
  <si>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</si>
  <si>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</si>
  <si>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</si>
  <si>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</si>
  <si>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</si>
  <si>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</si>
  <si>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</si>
  <si>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</si>
  <si>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</si>
  <si>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</si>
  <si>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</si>
  <si>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</si>
  <si>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</si>
  <si>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</si>
  <si>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</si>
  <si>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</si>
  <si>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</si>
  <si>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</si>
  <si>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</si>
  <si>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</si>
  <si>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</si>
  <si>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</si>
  <si>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</si>
  <si>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</si>
  <si>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</si>
  <si>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</si>
  <si>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</si>
  <si>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</si>
  <si>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</si>
  <si>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</si>
  <si>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</si>
  <si>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</si>
  <si>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</si>
  <si>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</si>
  <si>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</si>
  <si>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</si>
  <si>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</si>
  <si>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</si>
  <si>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</si>
  <si>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</si>
  <si>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</si>
  <si>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</si>
  <si>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</si>
  <si>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</si>
  <si>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</si>
  <si>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</si>
  <si>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</si>
  <si>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</si>
  <si>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</si>
  <si>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</si>
  <si>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</si>
  <si>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</si>
  <si>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</si>
  <si>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</si>
  <si>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</si>
  <si>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</si>
  <si>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</si>
  <si>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</si>
  <si>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</si>
  <si>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</si>
  <si>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</si>
  <si>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</si>
  <si>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</si>
  <si>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</si>
  <si>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</si>
  <si>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</si>
  <si>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</si>
  <si>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</si>
  <si>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</si>
  <si>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</si>
  <si>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</si>
  <si>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</si>
  <si>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</si>
  <si>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</si>
  <si>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</si>
  <si>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</si>
  <si>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</si>
  <si>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</si>
  <si>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</si>
  <si>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</si>
  <si>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</si>
  <si>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</si>
  <si>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</si>
  <si>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</si>
  <si>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</si>
  <si>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</si>
  <si>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</si>
  <si>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</si>
  <si>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</si>
  <si>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</si>
  <si>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</si>
  <si>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</si>
  <si>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</si>
  <si>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</si>
  <si>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</si>
  <si>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</si>
  <si>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</si>
  <si>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</si>
  <si>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</si>
  <si>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</si>
  <si>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</si>
  <si>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</si>
  <si>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</si>
  <si>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</si>
  <si>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</si>
  <si>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</si>
  <si>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</si>
  <si>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</si>
  <si>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</si>
  <si>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</si>
  <si>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</si>
  <si>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</si>
  <si>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</si>
  <si>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</si>
  <si>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</si>
  <si>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</si>
  <si>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</si>
  <si>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</si>
  <si>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</si>
  <si>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</si>
  <si>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</si>
  <si>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</si>
  <si>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</si>
  <si>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</si>
  <si>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</si>
  <si>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</si>
  <si>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</si>
  <si>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</si>
  <si>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</si>
  <si>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</si>
  <si>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</si>
  <si>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</si>
  <si>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</si>
  <si>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</si>
  <si>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</si>
  <si>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</si>
  <si>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</si>
  <si>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</si>
  <si>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</si>
  <si>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</si>
  <si>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</si>
  <si>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</si>
  <si>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</si>
  <si>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</si>
  <si>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</si>
  <si>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</si>
  <si>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</si>
  <si>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</si>
  <si>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</si>
  <si>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</si>
  <si>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</si>
  <si>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</si>
  <si>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</si>
  <si>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</si>
  <si>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</si>
  <si>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</si>
  <si>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</si>
  <si>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</si>
  <si>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</si>
  <si>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</si>
  <si>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</si>
  <si>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</si>
  <si>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</si>
  <si>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</si>
  <si>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</si>
  <si>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</si>
  <si>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</si>
  <si>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</si>
  <si>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</si>
  <si>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</si>
  <si>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</si>
  <si>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</si>
  <si>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</si>
  <si>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</si>
  <si>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</si>
  <si>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</si>
  <si>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</si>
  <si>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</si>
  <si>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</si>
  <si>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</si>
  <si>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</si>
  <si>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</si>
  <si>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</si>
  <si>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</si>
  <si>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</si>
  <si>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</si>
  <si>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</si>
  <si>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</si>
  <si>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</si>
  <si>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</si>
  <si>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</si>
  <si>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</si>
  <si>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</si>
  <si>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</si>
  <si>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</si>
  <si>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</si>
  <si>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</si>
  <si>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</si>
  <si>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</si>
  <si>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</si>
  <si>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</si>
  <si>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</si>
  <si>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</si>
  <si>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</si>
  <si>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</si>
  <si>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</si>
  <si>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</si>
  <si>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</si>
  <si>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</si>
  <si>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</si>
  <si>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</si>
  <si>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</si>
  <si>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</si>
  <si>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</si>
  <si>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</si>
  <si>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</si>
  <si>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</si>
  <si>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</si>
  <si>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</si>
  <si>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</si>
  <si>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</si>
  <si>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</si>
  <si>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</si>
  <si>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</si>
  <si>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</si>
  <si>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</si>
  <si>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</si>
  <si>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</si>
  <si>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</si>
  <si>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</si>
  <si>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</si>
  <si>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</si>
  <si>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</si>
  <si>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</si>
  <si>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</si>
  <si>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</si>
  <si>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</si>
  <si>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</si>
  <si>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</si>
  <si>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</si>
  <si>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</si>
  <si>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</si>
  <si>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</si>
  <si>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</si>
  <si>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</si>
  <si>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</si>
  <si>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</si>
  <si>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</si>
  <si>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</si>
  <si>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</si>
  <si>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</si>
  <si>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</si>
  <si>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</si>
  <si>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</si>
  <si>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</si>
  <si>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</si>
  <si>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</si>
  <si>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</si>
  <si>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</si>
  <si>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</si>
  <si>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</si>
  <si>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</si>
  <si>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</si>
  <si>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</si>
  <si>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</si>
  <si>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</si>
  <si>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</si>
  <si>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</si>
  <si>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</si>
  <si>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</si>
  <si>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</si>
  <si>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</si>
  <si>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</si>
  <si>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</si>
  <si>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</si>
  <si>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</si>
  <si>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</si>
  <si>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</si>
  <si>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</si>
  <si>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</si>
  <si>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</si>
  <si>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</si>
  <si>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</si>
  <si>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</si>
  <si>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</si>
  <si>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</si>
  <si>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</si>
  <si>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</si>
  <si>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</si>
  <si>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</si>
  <si>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</si>
  <si>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</si>
  <si>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</si>
  <si>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</si>
  <si>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</si>
  <si>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</si>
  <si>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</si>
  <si>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</si>
  <si>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</si>
  <si>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</si>
  <si>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</si>
  <si>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</si>
  <si>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</si>
  <si>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</si>
  <si>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</si>
  <si>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</si>
  <si>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</si>
  <si>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</si>
  <si>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</si>
  <si>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</si>
  <si>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</si>
  <si>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</si>
  <si>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</si>
  <si>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</si>
  <si>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</si>
  <si>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</si>
  <si>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</si>
  <si>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</si>
  <si>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</si>
  <si>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</si>
  <si>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</si>
  <si>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</si>
  <si>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</si>
  <si>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</si>
  <si>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</si>
  <si>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</si>
  <si>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</si>
  <si>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</si>
  <si>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</si>
  <si>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</si>
  <si>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</si>
  <si>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</si>
  <si>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</si>
  <si>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</si>
  <si>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</si>
  <si>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</si>
  <si>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</si>
  <si>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</si>
  <si>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</si>
  <si>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</si>
  <si>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</si>
  <si>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</si>
  <si>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</si>
  <si>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</si>
  <si>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</si>
  <si>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</si>
  <si>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</si>
  <si>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</si>
  <si>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</si>
  <si>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</si>
  <si>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</si>
  <si>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</si>
  <si>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</si>
  <si>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</si>
  <si>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</si>
  <si>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</si>
  <si>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</si>
  <si>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</si>
  <si>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</si>
  <si>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</si>
  <si>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</si>
  <si>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</si>
  <si>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</si>
  <si>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</si>
  <si>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</si>
  <si>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</si>
  <si>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</si>
  <si>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</si>
  <si>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</si>
  <si>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</si>
  <si>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</si>
  <si>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</si>
  <si>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</si>
  <si>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</si>
  <si>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</si>
  <si>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</si>
  <si>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</si>
  <si>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</si>
  <si>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</si>
  <si>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</si>
  <si>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</si>
  <si>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</si>
  <si>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</si>
  <si>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</si>
  <si>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</si>
  <si>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</si>
  <si>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</si>
  <si>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</si>
  <si>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</si>
  <si>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</si>
  <si>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</si>
  <si>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</si>
  <si>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</si>
  <si>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</si>
  <si>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</si>
  <si>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</si>
  <si>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</si>
  <si>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</si>
  <si>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</si>
  <si>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</si>
  <si>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</si>
  <si>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</si>
  <si>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</si>
  <si>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</si>
  <si>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</si>
  <si>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</si>
  <si>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</si>
  <si>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</si>
  <si>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</si>
  <si>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</si>
  <si>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</si>
  <si>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</si>
  <si>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</si>
  <si>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</si>
  <si>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</si>
  <si>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</si>
  <si>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</si>
  <si>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</si>
  <si>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</si>
  <si>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</si>
  <si>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</si>
  <si>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</si>
  <si>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</si>
  <si>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</si>
  <si>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</si>
  <si>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</si>
  <si>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</si>
  <si>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</si>
  <si>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</si>
  <si>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</si>
  <si>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</si>
  <si>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</si>
  <si>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</si>
  <si>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</si>
  <si>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</si>
  <si>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</si>
  <si>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</si>
  <si>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</si>
  <si>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</si>
  <si>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</si>
  <si>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</si>
  <si>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</si>
  <si>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</si>
  <si>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</si>
  <si>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</si>
  <si>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</si>
  <si>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</si>
  <si>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</si>
  <si>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</si>
  <si>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</si>
  <si>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</si>
  <si>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</si>
  <si>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</si>
  <si>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</si>
  <si>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</si>
  <si>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</si>
  <si>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</si>
  <si>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</si>
  <si>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</si>
  <si>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</si>
  <si>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</si>
  <si>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</si>
  <si>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</si>
  <si>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</si>
  <si>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</si>
  <si>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</si>
  <si>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</si>
  <si>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</si>
  <si>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</si>
  <si>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</si>
  <si>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</si>
  <si>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</si>
  <si>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</si>
  <si>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</si>
  <si>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</si>
  <si>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</si>
  <si>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</si>
  <si>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</si>
  <si>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</si>
  <si>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</si>
  <si>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</si>
  <si>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</si>
  <si>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</si>
  <si>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</si>
  <si>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</si>
  <si>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</si>
  <si>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</si>
  <si>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</si>
  <si>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</si>
  <si>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</si>
  <si>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</si>
  <si>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</si>
  <si>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</si>
  <si>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</si>
  <si>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</si>
  <si>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</si>
  <si>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</si>
  <si>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</si>
  <si>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</si>
  <si>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</si>
  <si>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</si>
  <si>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</si>
  <si>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</si>
  <si>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</si>
  <si>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</si>
  <si>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</si>
  <si>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</si>
  <si>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</si>
  <si>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</si>
  <si>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</si>
  <si>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</si>
  <si>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</si>
  <si>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</si>
  <si>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</si>
  <si>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</si>
  <si>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</si>
  <si>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</si>
  <si>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</si>
  <si>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</si>
  <si>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</si>
  <si>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</si>
  <si>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</si>
  <si>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</si>
  <si>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</si>
  <si>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</si>
  <si>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</si>
  <si>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</si>
  <si>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</si>
  <si>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</si>
  <si>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</si>
  <si>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</si>
  <si>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</si>
  <si>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</si>
  <si>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</si>
  <si>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</si>
  <si>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</si>
  <si>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</si>
  <si>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</si>
  <si>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</si>
  <si>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</si>
  <si>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</si>
  <si>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</si>
  <si>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</si>
  <si>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</si>
  <si>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</si>
  <si>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</si>
  <si>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</si>
  <si>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</si>
  <si>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</si>
  <si>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</si>
  <si>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</si>
  <si>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</si>
  <si>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</si>
  <si>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</si>
  <si>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</si>
  <si>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</si>
  <si>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</si>
  <si>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</si>
  <si>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</si>
  <si>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</si>
  <si>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</si>
  <si>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</si>
  <si>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</si>
  <si>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</si>
  <si>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</si>
  <si>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</si>
  <si>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</si>
  <si>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</si>
  <si>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</si>
  <si>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</si>
  <si>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</si>
  <si>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</si>
  <si>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</si>
  <si>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</si>
  <si>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</si>
  <si>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</si>
  <si>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</si>
  <si>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</si>
  <si>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</si>
  <si>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</si>
  <si>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</si>
  <si>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</si>
  <si>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</si>
  <si>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</si>
  <si>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</si>
  <si>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</si>
  <si>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</si>
  <si>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</si>
  <si>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</si>
  <si>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</si>
  <si>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</si>
  <si>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</si>
  <si>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</si>
  <si>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</si>
  <si>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</si>
  <si>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</si>
  <si>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</si>
  <si>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</si>
  <si>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</si>
  <si>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</si>
  <si>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</si>
  <si>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</si>
  <si>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</si>
  <si>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</si>
  <si>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</si>
  <si>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</si>
  <si>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</si>
  <si>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</si>
  <si>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</si>
  <si>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</si>
  <si>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</si>
  <si>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</si>
  <si>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</si>
  <si>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</si>
  <si>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</si>
  <si>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</si>
  <si>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</si>
  <si>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</si>
  <si>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</si>
  <si>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</si>
  <si>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</si>
  <si>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</si>
  <si>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</si>
  <si>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</si>
  <si>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</si>
  <si>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</si>
  <si>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</si>
  <si>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</si>
  <si>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</si>
  <si>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</si>
  <si>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</si>
  <si>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</si>
  <si>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</si>
  <si>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</si>
  <si>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</si>
  <si>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</si>
  <si>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</si>
  <si>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</si>
  <si>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</si>
  <si>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</si>
  <si>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</si>
  <si>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</si>
  <si>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</si>
  <si>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</si>
  <si>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</si>
  <si>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</si>
  <si>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</si>
  <si>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</si>
  <si>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</si>
  <si>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</si>
  <si>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</si>
  <si>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</si>
  <si>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</si>
  <si>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</si>
  <si>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</si>
  <si>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</si>
  <si>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</si>
  <si>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</si>
  <si>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</si>
  <si>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</si>
  <si>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</si>
  <si>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</si>
  <si>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</si>
  <si>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</si>
  <si>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</si>
  <si>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</si>
  <si>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</si>
  <si>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</si>
  <si>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</si>
  <si>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</si>
  <si>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</si>
  <si>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</si>
  <si>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</si>
  <si>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</si>
  <si>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</si>
  <si>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</si>
  <si>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</si>
  <si>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</si>
  <si>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</si>
  <si>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</si>
  <si>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</si>
  <si>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</si>
  <si>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</si>
  <si>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</si>
  <si>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</si>
  <si>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</si>
  <si>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</si>
  <si>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</si>
  <si>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</si>
  <si>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</si>
  <si>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</si>
  <si>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</si>
  <si>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</si>
  <si>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</si>
  <si>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</si>
  <si>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</si>
  <si>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</si>
  <si>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</si>
  <si>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</si>
  <si>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</si>
  <si>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</si>
  <si>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</si>
  <si>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</si>
  <si>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</si>
  <si>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</si>
  <si>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</si>
  <si>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</si>
  <si>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</si>
  <si>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</si>
  <si>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</si>
  <si>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</si>
  <si>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</si>
  <si>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</si>
  <si>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</si>
  <si>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</si>
  <si>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</si>
  <si>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</si>
  <si>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</si>
  <si>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</si>
  <si>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</si>
  <si>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</si>
  <si>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</si>
  <si>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</si>
  <si>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</si>
  <si>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</si>
  <si>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</si>
  <si>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</si>
  <si>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</si>
  <si>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</si>
  <si>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</si>
  <si>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</si>
  <si>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</si>
  <si>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</si>
  <si>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</si>
  <si>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</si>
  <si>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</si>
  <si>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</si>
  <si>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</si>
  <si>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</si>
  <si>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</si>
  <si>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</si>
  <si>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</si>
  <si>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</si>
  <si>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</si>
  <si>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</si>
  <si>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</si>
  <si>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</si>
  <si>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</si>
  <si>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</si>
  <si>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</si>
  <si>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</si>
  <si>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</si>
  <si>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</si>
  <si>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</si>
  <si>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</si>
  <si>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</si>
  <si>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</si>
  <si>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</si>
  <si>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</si>
  <si>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</si>
  <si>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</si>
  <si>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</si>
  <si>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</si>
  <si>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</si>
  <si>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</si>
  <si>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</si>
  <si>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</si>
  <si>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</si>
  <si>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</si>
  <si>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</si>
  <si>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</si>
  <si>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</si>
  <si>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</si>
  <si>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</si>
  <si>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</si>
  <si>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</si>
  <si>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</si>
  <si>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</si>
  <si>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</si>
  <si>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</si>
  <si>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</si>
  <si>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</si>
  <si>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</si>
  <si>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</si>
  <si>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</si>
  <si>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</si>
  <si>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</si>
  <si>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</si>
  <si>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</si>
  <si>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</si>
  <si>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</si>
  <si>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</si>
  <si>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</si>
  <si>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</si>
  <si>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</si>
  <si>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</si>
  <si>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</si>
  <si>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</si>
  <si>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</si>
  <si>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</si>
  <si>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</si>
  <si>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</si>
  <si>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</si>
  <si>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</si>
  <si>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</si>
  <si>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</si>
  <si>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</si>
  <si>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</si>
  <si>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</si>
  <si>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</si>
  <si>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</si>
  <si>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</si>
  <si>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</si>
  <si>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</si>
  <si>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</si>
  <si>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</si>
  <si>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</si>
  <si>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</si>
  <si>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</si>
  <si>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</si>
  <si>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</si>
  <si>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</si>
  <si>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</si>
  <si>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</si>
  <si>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</si>
  <si>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</si>
  <si>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</si>
  <si>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</si>
  <si>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</si>
  <si>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</si>
  <si>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</si>
  <si>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</si>
  <si>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</si>
  <si>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</si>
  <si>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</si>
  <si>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</si>
  <si>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</si>
  <si>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</si>
  <si>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</si>
  <si>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</si>
  <si>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</si>
  <si>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</si>
  <si>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</si>
  <si>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</si>
  <si>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</si>
  <si>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</si>
  <si>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</si>
  <si>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</si>
  <si>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</si>
  <si>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</si>
  <si>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</si>
  <si>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</si>
  <si>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</si>
  <si>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</si>
  <si>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</si>
  <si>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</si>
  <si>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</si>
  <si>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</si>
  <si>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</si>
  <si>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</si>
  <si>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</si>
  <si>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</si>
  <si>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</si>
  <si>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</si>
  <si>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</si>
  <si>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</si>
  <si>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</si>
  <si>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</si>
  <si>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</si>
  <si>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</si>
  <si>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</si>
  <si>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</si>
  <si>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</si>
  <si>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</si>
  <si>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</si>
  <si>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</si>
  <si>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</si>
  <si>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</si>
  <si>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</si>
  <si>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</si>
  <si>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</si>
  <si>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</si>
  <si>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</si>
  <si>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</si>
  <si>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</si>
  <si>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</si>
  <si>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</si>
  <si>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</si>
  <si>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</si>
  <si>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</si>
  <si>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</si>
  <si>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</si>
  <si>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</si>
  <si>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</si>
  <si>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</si>
  <si>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</si>
  <si>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</si>
  <si>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</si>
  <si>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</si>
  <si>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</si>
  <si>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</si>
  <si>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</si>
  <si>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</si>
  <si>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</si>
  <si>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</si>
  <si>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</si>
  <si>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</si>
  <si>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</si>
  <si>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</si>
  <si>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</si>
  <si>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</si>
  <si>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</si>
  <si>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</si>
  <si>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</si>
  <si>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</si>
  <si>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</si>
  <si>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</si>
  <si>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</si>
  <si>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</si>
  <si>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</si>
  <si>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</si>
  <si>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</si>
  <si>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</si>
  <si>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</si>
  <si>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</si>
  <si>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</si>
  <si>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</si>
  <si>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</si>
  <si>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</si>
  <si>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</si>
  <si>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</si>
  <si>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</si>
  <si>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</si>
  <si>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</si>
  <si>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</si>
  <si>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</si>
  <si>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</si>
  <si>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</si>
  <si>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</si>
  <si>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</si>
  <si>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</si>
  <si>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</si>
  <si>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</si>
  <si>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</si>
  <si>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</si>
  <si>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</si>
  <si>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</si>
  <si>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</si>
  <si>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</si>
  <si>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</si>
  <si>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</si>
  <si>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</si>
  <si>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</si>
  <si>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</si>
  <si>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</si>
  <si>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</si>
  <si>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</si>
  <si>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</si>
  <si>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</si>
  <si>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</si>
  <si>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</si>
  <si>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</si>
  <si>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</si>
  <si>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</si>
  <si>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</si>
  <si>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</si>
  <si>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</si>
  <si>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</si>
  <si>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</si>
  <si>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</si>
  <si>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</si>
  <si>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</si>
  <si>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</si>
  <si>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</si>
  <si>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</si>
  <si>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</si>
  <si>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</si>
  <si>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</si>
  <si>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</si>
  <si>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</si>
  <si>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</si>
  <si>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</si>
  <si>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</si>
  <si>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</si>
  <si>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</si>
  <si>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</si>
  <si>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</si>
  <si>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</si>
  <si>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</si>
  <si>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</si>
  <si>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</si>
  <si>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</si>
  <si>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</si>
  <si>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</si>
  <si>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</si>
  <si>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</si>
  <si>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</si>
  <si>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</si>
  <si>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</si>
  <si>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</si>
  <si>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</si>
  <si>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</si>
  <si>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</si>
  <si>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</si>
  <si>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</si>
  <si>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</si>
  <si>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</si>
  <si>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</si>
  <si>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</si>
  <si>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</si>
  <si>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</si>
  <si>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</si>
  <si>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</si>
  <si>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</si>
  <si>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</si>
  <si>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</si>
  <si>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</si>
  <si>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</si>
  <si>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</si>
  <si>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</si>
  <si>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</si>
  <si>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</si>
  <si>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</si>
  <si>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</si>
  <si>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</si>
  <si>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</si>
  <si>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</si>
  <si>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</si>
  <si>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</si>
  <si>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</si>
  <si>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</si>
  <si>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</si>
  <si>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</si>
  <si>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</si>
  <si>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</si>
  <si>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</si>
  <si>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</si>
  <si>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</si>
  <si>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</si>
  <si>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</si>
  <si>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</si>
  <si>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</si>
  <si>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</si>
  <si>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</si>
  <si>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</si>
  <si>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</si>
  <si>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</si>
  <si>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</si>
  <si>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</si>
  <si>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</si>
  <si>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</si>
  <si>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</si>
  <si>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</si>
  <si>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</si>
  <si>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</si>
  <si>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</si>
  <si>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</si>
  <si>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</si>
  <si>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</si>
  <si>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</si>
  <si>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</si>
  <si>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</si>
  <si>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</si>
  <si>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</si>
  <si>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</si>
  <si>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</si>
  <si>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</si>
  <si>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</si>
  <si>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</si>
  <si>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</si>
  <si>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</si>
  <si>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</si>
  <si>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</si>
  <si>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</si>
  <si>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</si>
  <si>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</si>
  <si>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</si>
  <si>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</si>
  <si>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</si>
  <si>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</si>
  <si>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</si>
  <si>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</si>
  <si>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</si>
  <si>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</si>
  <si>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</si>
  <si>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</si>
  <si>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</si>
  <si>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</si>
  <si>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</si>
  <si>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</si>
  <si>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</si>
  <si>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</si>
  <si>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</si>
  <si>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</si>
  <si>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</si>
  <si>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</si>
  <si>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</si>
  <si>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</si>
  <si>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</si>
  <si>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</si>
  <si>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</si>
  <si>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</si>
  <si>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</si>
  <si>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</si>
  <si>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</si>
  <si>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</si>
  <si>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</si>
  <si>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</si>
  <si>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</si>
  <si>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</si>
  <si>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</si>
  <si>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</si>
  <si>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</si>
  <si>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</si>
  <si>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</si>
  <si>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</si>
  <si>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</si>
  <si>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</si>
  <si>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</si>
  <si>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</si>
  <si>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</si>
  <si>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</si>
  <si>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</si>
  <si>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</si>
  <si>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</si>
  <si>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</si>
  <si>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</si>
  <si>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</si>
  <si>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</si>
  <si>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</si>
  <si>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</si>
  <si>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</si>
  <si>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</si>
  <si>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</si>
  <si>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</si>
  <si>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</si>
  <si>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</si>
  <si>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</si>
  <si>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</si>
  <si>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</si>
  <si>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</si>
  <si>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</si>
  <si>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</si>
  <si>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</si>
  <si>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</si>
  <si>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</si>
  <si>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</si>
  <si>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</si>
  <si>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</si>
  <si>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</si>
  <si>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</si>
  <si>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</si>
  <si>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</si>
  <si>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</si>
  <si>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</si>
  <si>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</si>
  <si>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</si>
  <si>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</si>
  <si>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</si>
  <si>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</si>
  <si>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</si>
  <si>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</si>
  <si>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</si>
  <si>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</si>
  <si>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</si>
  <si>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</si>
  <si>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</si>
  <si>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</si>
  <si>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</si>
  <si>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</si>
  <si>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</si>
  <si>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</si>
  <si>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</si>
  <si>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</si>
  <si>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</si>
  <si>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</si>
  <si>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</si>
  <si>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</si>
  <si>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</si>
  <si>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</si>
  <si>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</si>
  <si>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</si>
  <si>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</si>
  <si>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</si>
  <si>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</si>
  <si>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</si>
  <si>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</si>
  <si>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</si>
  <si>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</si>
  <si>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</si>
  <si>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</si>
  <si>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</si>
  <si>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</si>
  <si>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</si>
  <si>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</si>
  <si>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</si>
  <si>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</si>
  <si>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</si>
  <si>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</si>
  <si>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</si>
  <si>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</si>
  <si>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</si>
  <si>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</si>
  <si>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</si>
  <si>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</si>
  <si>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</si>
  <si>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</si>
  <si>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</si>
  <si>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</si>
  <si>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</si>
  <si>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</si>
  <si>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</si>
  <si>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</si>
  <si>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</si>
  <si>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</si>
  <si>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</si>
  <si>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</si>
  <si>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</si>
  <si>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</si>
  <si>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</si>
  <si>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</si>
  <si>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</si>
  <si>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</si>
  <si>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</si>
  <si>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</si>
  <si>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</si>
  <si>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</si>
  <si>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</si>
  <si>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</si>
  <si>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</si>
  <si>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</si>
  <si>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</si>
  <si>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</si>
  <si>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</si>
  <si>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</si>
  <si>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</si>
  <si>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</si>
  <si>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</si>
  <si>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</si>
  <si>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</si>
  <si>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</si>
  <si>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</si>
  <si>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</si>
  <si>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</si>
  <si>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</si>
  <si>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</si>
  <si>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</si>
  <si>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</si>
  <si>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</si>
  <si>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</si>
  <si>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</si>
  <si>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</si>
  <si>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</si>
  <si>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</si>
  <si>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</si>
  <si>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</si>
  <si>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</si>
  <si>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</si>
  <si>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</si>
  <si>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</si>
  <si>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</si>
  <si>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</si>
  <si>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</si>
  <si>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</si>
  <si>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</si>
  <si>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</si>
  <si>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</si>
  <si>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</si>
  <si>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</si>
  <si>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</si>
  <si>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</si>
  <si>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</si>
  <si>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</si>
  <si>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</si>
  <si>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</si>
  <si>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</si>
  <si>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</si>
  <si>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</si>
  <si>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</si>
  <si>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</si>
  <si>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</si>
  <si>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</si>
  <si>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</si>
  <si>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</si>
  <si>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</si>
  <si>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</si>
  <si>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</si>
  <si>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</si>
  <si>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</si>
  <si>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</si>
  <si>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</si>
  <si>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</si>
  <si>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</si>
  <si>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</si>
  <si>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</si>
  <si>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</si>
  <si>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</si>
  <si>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</si>
  <si>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</si>
  <si>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</si>
  <si>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</si>
  <si>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</si>
  <si>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</si>
  <si>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</si>
  <si>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</si>
  <si>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</si>
  <si>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</si>
  <si>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</si>
  <si>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</si>
  <si>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</si>
  <si>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</si>
  <si>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</si>
  <si>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</si>
  <si>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</si>
  <si>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</si>
  <si>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</si>
  <si>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</si>
  <si>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</si>
  <si>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</si>
  <si>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</si>
  <si>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</si>
  <si>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</si>
  <si>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</si>
  <si>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</si>
  <si>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</si>
  <si>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</si>
  <si>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</si>
  <si>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</si>
  <si>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</si>
  <si>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</si>
  <si>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</si>
  <si>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</si>
  <si>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</si>
  <si>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</si>
  <si>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</si>
  <si>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</si>
  <si>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</si>
  <si>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</si>
  <si>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</si>
  <si>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</si>
  <si>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</si>
  <si>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</si>
  <si>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</si>
  <si>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</si>
  <si>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</si>
  <si>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</si>
  <si>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</si>
  <si>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</si>
  <si>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</si>
  <si>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</si>
  <si>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</si>
  <si>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</si>
  <si>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</si>
  <si>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</si>
  <si>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</si>
  <si>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</si>
  <si>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</si>
  <si>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</si>
  <si>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</si>
  <si>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</si>
  <si>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</si>
  <si>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</si>
  <si>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</si>
  <si>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</si>
  <si>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</si>
  <si>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</si>
  <si>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</si>
  <si>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</si>
  <si>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</si>
  <si>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</si>
  <si>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</si>
  <si>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</si>
  <si>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</si>
  <si>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</si>
  <si>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</si>
  <si>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</si>
  <si>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</si>
  <si>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</si>
  <si>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</si>
  <si>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</si>
  <si>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</si>
  <si>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</si>
  <si>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</si>
  <si>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</si>
  <si>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</si>
  <si>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</si>
  <si>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</si>
  <si>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</si>
  <si>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</si>
  <si>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</si>
  <si>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</si>
  <si>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</si>
  <si>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</si>
  <si>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</si>
  <si>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</si>
  <si>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</si>
  <si>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</si>
  <si>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</si>
  <si>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</si>
  <si>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</si>
  <si>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</si>
  <si>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</si>
  <si>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</si>
  <si>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</si>
  <si>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</si>
  <si>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</si>
  <si>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</si>
  <si>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</si>
  <si>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</si>
  <si>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</si>
  <si>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</si>
  <si>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</si>
  <si>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</si>
  <si>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</si>
  <si>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</si>
  <si>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</si>
  <si>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</si>
  <si>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</si>
  <si>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</si>
  <si>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</si>
  <si>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</si>
  <si>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</si>
  <si>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</si>
  <si>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</si>
  <si>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</si>
  <si>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</si>
  <si>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</si>
  <si>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</si>
  <si>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</si>
  <si>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</si>
  <si>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</si>
  <si>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</si>
  <si>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</si>
  <si>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</si>
  <si>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</si>
  <si>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</si>
  <si>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</si>
  <si>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</si>
  <si>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</si>
  <si>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</si>
  <si>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</si>
  <si>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</si>
  <si>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</si>
  <si>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</si>
  <si>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</si>
  <si>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</si>
  <si>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</si>
  <si>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</si>
  <si>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</si>
  <si>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</si>
  <si>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</si>
  <si>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</si>
  <si>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</si>
  <si>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</si>
  <si>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</si>
  <si>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</si>
  <si>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</si>
  <si>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</si>
  <si>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</si>
  <si>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</si>
  <si>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</si>
  <si>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</si>
  <si>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</si>
  <si>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</si>
  <si>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</si>
  <si>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</si>
  <si>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</si>
  <si>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</si>
  <si>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</si>
  <si>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</si>
  <si>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</si>
  <si>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</si>
  <si>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</si>
  <si>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</si>
  <si>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</si>
  <si>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</si>
  <si>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</si>
  <si>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</si>
  <si>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</si>
  <si>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</si>
  <si>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</si>
  <si>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</si>
  <si>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</si>
  <si>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</si>
  <si>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</si>
  <si>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</si>
  <si>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</si>
  <si>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</si>
  <si>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</si>
  <si>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</si>
  <si>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</si>
  <si>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</si>
  <si>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</si>
  <si>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</si>
  <si>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</si>
  <si>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</si>
  <si>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</si>
  <si>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</si>
  <si>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</si>
  <si>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</si>
  <si>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</si>
  <si>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</si>
  <si>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</si>
  <si>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</si>
  <si>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</si>
  <si>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</si>
  <si>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</si>
  <si>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</si>
  <si>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</si>
  <si>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</si>
  <si>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</si>
  <si>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</si>
  <si>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</si>
  <si>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</si>
  <si>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</si>
  <si>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</si>
  <si>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</si>
  <si>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</si>
  <si>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</si>
  <si>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</si>
  <si>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</si>
  <si>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</si>
  <si>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</si>
  <si>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</si>
  <si>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</si>
  <si>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</si>
  <si>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</si>
  <si>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</si>
  <si>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</si>
  <si>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</si>
  <si>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</si>
  <si>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</si>
  <si>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</si>
  <si>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</si>
  <si>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</si>
  <si>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</si>
  <si>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</si>
  <si>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</si>
  <si>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</si>
  <si>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</si>
  <si>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</si>
  <si>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</si>
  <si>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</si>
  <si>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</si>
  <si>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</si>
  <si>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</si>
  <si>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</si>
  <si>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</si>
  <si>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</si>
  <si>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</si>
  <si>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</si>
  <si>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</si>
  <si>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</si>
  <si>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</si>
  <si>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</si>
  <si>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</si>
  <si>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</si>
  <si>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</si>
  <si>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</si>
  <si>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</si>
  <si>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</si>
  <si>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</si>
  <si>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</si>
  <si>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</si>
  <si>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</si>
  <si>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</si>
  <si>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</si>
  <si>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</si>
  <si>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</si>
  <si>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</si>
  <si>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</si>
  <si>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</si>
  <si>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</si>
  <si>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</si>
  <si>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</si>
  <si>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</si>
  <si>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</si>
  <si>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</si>
  <si>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</si>
  <si>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</si>
  <si>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</si>
  <si>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</si>
  <si>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</si>
  <si>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</si>
  <si>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</si>
  <si>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</si>
  <si>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</si>
  <si>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</si>
  <si>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</si>
  <si>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</si>
  <si>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</si>
  <si>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</si>
  <si>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</si>
  <si>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</si>
  <si>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</si>
  <si>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</si>
  <si>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</si>
  <si>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</si>
  <si>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</si>
  <si>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</si>
  <si>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</si>
  <si>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</si>
  <si>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</si>
  <si>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</si>
  <si>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</si>
  <si>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</si>
  <si>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</si>
  <si>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</si>
  <si>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</si>
  <si>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</si>
  <si>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</si>
  <si>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</si>
  <si>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</si>
  <si>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</si>
  <si>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</si>
  <si>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</si>
  <si>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</si>
  <si>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</si>
  <si>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</si>
  <si>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</si>
  <si>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</si>
  <si>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</si>
  <si>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</si>
  <si>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</si>
  <si>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</si>
  <si>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</si>
  <si>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</si>
  <si>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</si>
  <si>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</si>
  <si>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</si>
  <si>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</si>
  <si>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</si>
  <si>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</si>
  <si>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</si>
  <si>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</si>
  <si>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</si>
  <si>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</si>
  <si>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</si>
  <si>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</si>
  <si>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</si>
  <si>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</si>
  <si>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</si>
  <si>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</si>
  <si>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</si>
  <si>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</si>
  <si>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</si>
  <si>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</si>
  <si>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</si>
  <si>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</si>
  <si>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</si>
  <si>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</si>
  <si>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</si>
  <si>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</si>
  <si>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</si>
  <si>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</si>
  <si>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</si>
  <si>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</si>
  <si>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</si>
  <si>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</si>
  <si>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</si>
  <si>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</si>
  <si>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</si>
  <si>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</si>
  <si>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</si>
  <si>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</si>
  <si>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</si>
  <si>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</si>
  <si>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</si>
  <si>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</si>
  <si>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</si>
  <si>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</si>
  <si>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</si>
  <si>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</si>
  <si>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</si>
  <si>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</si>
  <si>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</si>
  <si>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</si>
  <si>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</si>
  <si>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</si>
  <si>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</si>
  <si>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</si>
  <si>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</si>
  <si>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</si>
  <si>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</si>
  <si>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</si>
  <si>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</si>
  <si>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</si>
  <si>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</si>
  <si>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</si>
  <si>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</si>
  <si>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</si>
  <si>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</si>
  <si>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</si>
  <si>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</si>
  <si>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</si>
  <si>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</si>
  <si>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</si>
  <si>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</si>
  <si>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</si>
  <si>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</si>
  <si>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</si>
  <si>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</si>
  <si>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</si>
  <si>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</si>
  <si>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</si>
  <si>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</si>
  <si>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</si>
  <si>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</si>
  <si>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</si>
  <si>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</si>
  <si>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</si>
  <si>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</si>
  <si>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</si>
  <si>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</si>
  <si>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</si>
  <si>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</si>
  <si>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</si>
  <si>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</si>
  <si>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</si>
  <si>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</si>
  <si>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</si>
  <si>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</si>
  <si>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</si>
  <si>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</si>
  <si>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</si>
  <si>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</si>
  <si>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</si>
  <si>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</si>
  <si>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</si>
  <si>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</si>
  <si>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</si>
  <si>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</si>
  <si>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</si>
  <si>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</si>
  <si>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</si>
  <si>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</si>
  <si>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</si>
  <si>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</si>
  <si>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</si>
  <si>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</si>
  <si>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</si>
  <si>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</si>
  <si>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</si>
  <si>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</si>
  <si>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</si>
  <si>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</si>
  <si>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</si>
  <si>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</si>
  <si>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</si>
  <si>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</si>
  <si>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</si>
  <si>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</si>
  <si>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</si>
  <si>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</si>
  <si>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</si>
  <si>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</si>
  <si>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</si>
  <si>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</si>
  <si>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</si>
  <si>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</si>
  <si>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</si>
  <si>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</si>
  <si>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</si>
  <si>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</si>
  <si>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</si>
  <si>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</si>
  <si>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</si>
  <si>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</si>
  <si>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</si>
  <si>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</si>
  <si>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</si>
  <si>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</si>
  <si>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</si>
  <si>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</si>
  <si>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</si>
  <si>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</si>
  <si>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</si>
  <si>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</si>
  <si>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</si>
  <si>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</si>
  <si>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</si>
  <si>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</si>
  <si>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</si>
  <si>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</si>
  <si>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</si>
  <si>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</si>
  <si>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</si>
  <si>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</si>
  <si>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</si>
  <si>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</si>
  <si>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</si>
  <si>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</si>
  <si>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</si>
  <si>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</si>
  <si>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</si>
  <si>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</si>
  <si>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</si>
  <si>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</si>
  <si>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</si>
  <si>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</si>
  <si>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</si>
  <si>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</si>
  <si>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</si>
  <si>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</si>
  <si>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</si>
  <si>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</si>
  <si>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</si>
  <si>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</si>
  <si>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</si>
  <si>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</si>
  <si>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</si>
  <si>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</si>
  <si>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</si>
  <si>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</si>
  <si>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</si>
  <si>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</si>
  <si>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</si>
  <si>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</si>
  <si>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</si>
  <si>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</si>
  <si>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</si>
  <si>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</si>
  <si>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</si>
  <si>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</si>
  <si>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</si>
  <si>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</si>
  <si>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</si>
  <si>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</si>
  <si>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</si>
  <si>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</si>
  <si>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</si>
  <si>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</si>
  <si>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</si>
  <si>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</si>
  <si>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</si>
  <si>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</si>
  <si>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</si>
  <si>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</si>
  <si>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</si>
  <si>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</si>
  <si>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</si>
  <si>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</si>
  <si>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</si>
  <si>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</si>
  <si>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</si>
  <si>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</si>
  <si>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</si>
  <si>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</si>
  <si>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</si>
  <si>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</si>
  <si>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</si>
  <si>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</si>
  <si>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</si>
  <si>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</si>
  <si>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</si>
  <si>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</si>
  <si>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</si>
  <si>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</si>
  <si>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</si>
  <si>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</si>
  <si>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</si>
  <si>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</si>
  <si>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</si>
  <si>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</si>
  <si>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</si>
  <si>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</si>
  <si>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</si>
  <si>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</si>
  <si>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</si>
  <si>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</si>
  <si>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</si>
  <si>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</si>
  <si>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</si>
  <si>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</si>
  <si>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</si>
  <si>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</si>
  <si>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</si>
  <si>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</si>
  <si>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</si>
  <si>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</si>
  <si>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</si>
  <si>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</si>
  <si>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</si>
  <si>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</si>
  <si>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</si>
  <si>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</si>
  <si>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</si>
  <si>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</si>
  <si>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</si>
  <si>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</si>
  <si>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</si>
  <si>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</si>
  <si>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</si>
  <si>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</si>
  <si>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</si>
  <si>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</si>
  <si>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</si>
  <si>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</si>
  <si>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</si>
  <si>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</si>
  <si>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</si>
  <si>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</si>
  <si>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</si>
  <si>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</si>
  <si>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</si>
  <si>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</si>
  <si>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</si>
  <si>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</si>
  <si>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</si>
  <si>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</si>
  <si>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</si>
  <si>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</si>
  <si>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</si>
  <si>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</si>
  <si>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</si>
  <si>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</si>
  <si>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</si>
  <si>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</si>
  <si>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</si>
  <si>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</si>
  <si>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</si>
  <si>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</si>
  <si>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</si>
  <si>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</si>
  <si>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</si>
  <si>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</si>
  <si>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</si>
  <si>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</si>
  <si>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</si>
  <si>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</si>
  <si>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</si>
  <si>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</si>
  <si>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</si>
  <si>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</si>
  <si>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</si>
  <si>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</si>
  <si>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</si>
  <si>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</si>
  <si>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</si>
  <si>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</si>
  <si>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</si>
  <si>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</si>
  <si>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</si>
  <si>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</si>
  <si>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</si>
  <si>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</si>
  <si>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</si>
  <si>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</si>
  <si>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</si>
  <si>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</si>
  <si>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</si>
  <si>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</si>
  <si>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</si>
  <si>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</si>
  <si>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</si>
  <si>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</si>
  <si>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</si>
  <si>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</si>
  <si>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</si>
  <si>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</si>
  <si>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</si>
  <si>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</si>
  <si>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</si>
  <si>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</si>
  <si>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</si>
  <si>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</si>
  <si>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</si>
  <si>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</si>
  <si>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</si>
  <si>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</si>
  <si>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</si>
  <si>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</si>
  <si>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</si>
  <si>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</si>
  <si>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</si>
  <si>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</si>
  <si>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</si>
  <si>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</si>
  <si>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</si>
  <si>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</si>
  <si>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</si>
  <si>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</si>
  <si>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</si>
  <si>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</si>
  <si>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</si>
  <si>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</si>
  <si>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</si>
  <si>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</si>
  <si>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</si>
  <si>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</si>
  <si>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</si>
  <si>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</si>
  <si>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</si>
  <si>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</si>
  <si>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</si>
  <si>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</si>
  <si>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</si>
  <si>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</si>
  <si>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</si>
  <si>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</si>
  <si>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</si>
  <si>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</si>
  <si>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</si>
  <si>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</si>
  <si>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</si>
  <si>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</si>
  <si>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</si>
  <si>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</si>
  <si>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</si>
  <si>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</si>
  <si>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</si>
  <si>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</si>
  <si>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</si>
  <si>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</si>
  <si>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</si>
  <si>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</si>
  <si>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</si>
  <si>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</si>
  <si>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</si>
  <si>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</si>
  <si>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</si>
  <si>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</si>
  <si>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</si>
  <si>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</si>
  <si>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</si>
  <si>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</si>
  <si>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</si>
  <si>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</si>
  <si>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</si>
  <si>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</si>
  <si>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</si>
  <si>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</si>
  <si>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</si>
  <si>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</si>
  <si>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</si>
  <si>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</si>
  <si>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</si>
  <si>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</si>
  <si>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</si>
  <si>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</si>
  <si>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</si>
  <si>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</si>
  <si>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</si>
  <si>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</si>
  <si>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</si>
  <si>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</si>
  <si>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</si>
  <si>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</si>
  <si>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</si>
  <si>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</si>
  <si>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</si>
  <si>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</si>
  <si>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</si>
  <si>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</si>
  <si>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</si>
  <si>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</si>
  <si>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</si>
  <si>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</si>
  <si>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</si>
  <si>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</si>
  <si>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</si>
  <si>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</si>
  <si>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</si>
  <si>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</si>
  <si>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</si>
  <si>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</si>
  <si>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</si>
  <si>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</si>
  <si>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</si>
  <si>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</si>
  <si>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</si>
  <si>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</si>
  <si>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</si>
  <si>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</si>
  <si>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</si>
  <si>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</si>
  <si>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</si>
  <si>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</si>
  <si>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</si>
  <si>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</si>
  <si>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</si>
  <si>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</si>
  <si>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</si>
  <si>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</si>
  <si>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</si>
  <si>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</si>
  <si>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</si>
  <si>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</si>
  <si>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</si>
  <si>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</si>
  <si>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</si>
  <si>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</si>
  <si>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</si>
  <si>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</si>
  <si>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</si>
  <si>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</si>
  <si>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</si>
  <si>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</si>
  <si>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</si>
  <si>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</si>
  <si>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</si>
  <si>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</si>
  <si>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</si>
  <si>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</si>
  <si>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</si>
  <si>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</si>
  <si>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</si>
  <si>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</si>
  <si>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</si>
  <si>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</si>
  <si>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</si>
  <si>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</si>
  <si>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</si>
  <si>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</si>
  <si>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</si>
  <si>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</si>
  <si>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</si>
  <si>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</si>
  <si>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</si>
  <si>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</si>
  <si>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</si>
  <si>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</si>
  <si>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</si>
  <si>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</si>
  <si>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</si>
  <si>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</si>
  <si>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</si>
  <si>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</si>
  <si>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</si>
  <si>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</si>
  <si>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</si>
  <si>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</si>
  <si>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</si>
  <si>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</si>
  <si>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</si>
  <si>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</si>
  <si>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</si>
  <si>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</si>
  <si>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</si>
  <si>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</si>
  <si>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</si>
  <si>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</si>
  <si>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</si>
  <si>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</si>
  <si>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</si>
  <si>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</si>
  <si>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</si>
  <si>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</si>
  <si>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</si>
  <si>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</si>
  <si>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</si>
  <si>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</si>
  <si>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</si>
  <si>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</si>
  <si>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</si>
  <si>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</si>
  <si>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</si>
  <si>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</si>
  <si>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</si>
  <si>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</si>
  <si>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</si>
  <si>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</si>
  <si>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</si>
  <si>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</si>
  <si>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</si>
  <si>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</si>
  <si>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</si>
  <si>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</si>
  <si>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</si>
  <si>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</si>
  <si>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</si>
  <si>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</si>
  <si>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</si>
  <si>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</si>
  <si>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</si>
  <si>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</si>
  <si>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</si>
  <si>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</si>
  <si>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</si>
  <si>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</si>
  <si>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</si>
  <si>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</si>
  <si>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</si>
  <si>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</si>
  <si>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</si>
  <si>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</si>
  <si>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</si>
  <si>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</si>
  <si>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</si>
  <si>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</si>
  <si>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</si>
  <si>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</si>
  <si>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</si>
  <si>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</si>
  <si>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</si>
  <si>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</si>
  <si>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</si>
  <si>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</si>
  <si>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</si>
  <si>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</si>
  <si>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</si>
  <si>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</si>
  <si>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</si>
  <si>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</si>
  <si>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</si>
  <si>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</si>
  <si>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</si>
  <si>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</si>
  <si>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</si>
  <si>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</si>
  <si>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</si>
  <si>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</si>
  <si>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</si>
  <si>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</si>
  <si>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</si>
  <si>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</si>
  <si>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</si>
  <si>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</si>
  <si>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</si>
  <si>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</si>
  <si>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</si>
  <si>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</si>
  <si>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</si>
  <si>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</si>
  <si>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</si>
  <si>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</si>
  <si>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</si>
  <si>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</si>
  <si>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</si>
  <si>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</si>
  <si>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</si>
  <si>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</si>
  <si>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</si>
  <si>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</si>
  <si>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</si>
  <si>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</si>
  <si>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</si>
  <si>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</si>
  <si>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</si>
  <si>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</si>
  <si>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</si>
  <si>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</si>
  <si>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</si>
  <si>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</si>
  <si>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</si>
  <si>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</si>
  <si>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</si>
  <si>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</si>
  <si>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</si>
  <si>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</si>
  <si>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</si>
  <si>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</si>
  <si>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</si>
  <si>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</si>
  <si>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</si>
  <si>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</si>
  <si>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</si>
  <si>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</si>
  <si>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</si>
  <si>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</si>
  <si>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</si>
  <si>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</si>
  <si>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</si>
  <si>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</si>
  <si>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</si>
  <si>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</si>
  <si>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</si>
  <si>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</si>
  <si>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</si>
  <si>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</si>
  <si>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</si>
  <si>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</si>
  <si>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</si>
  <si>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</si>
  <si>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</si>
  <si>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</si>
  <si>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</si>
  <si>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</si>
  <si>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</si>
  <si>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</si>
  <si>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</si>
  <si>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</si>
  <si>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</si>
  <si>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</si>
  <si>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</si>
  <si>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</si>
  <si>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</si>
  <si>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</si>
  <si>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</si>
  <si>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</si>
  <si>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</si>
  <si>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</si>
  <si>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</si>
  <si>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</si>
  <si>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</si>
  <si>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</si>
  <si>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</si>
  <si>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</si>
  <si>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</si>
  <si>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</si>
  <si>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</si>
  <si>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</si>
  <si>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</si>
  <si>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</si>
  <si>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</si>
  <si>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</si>
  <si>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</si>
  <si>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</si>
  <si>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</si>
  <si>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</si>
  <si>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</si>
  <si>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</si>
  <si>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</si>
  <si>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</si>
  <si>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</si>
  <si>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</si>
  <si>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</si>
  <si>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</si>
  <si>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</si>
  <si>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</si>
  <si>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</si>
  <si>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</si>
  <si>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</si>
  <si>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</si>
  <si>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</si>
  <si>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</si>
  <si>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</si>
  <si>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</si>
  <si>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</si>
  <si>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</si>
  <si>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</si>
  <si>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</si>
  <si>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</si>
  <si>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</si>
  <si>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</si>
  <si>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</si>
  <si>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</si>
  <si>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</si>
  <si>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</si>
  <si>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</si>
  <si>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</si>
  <si>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</si>
  <si>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</si>
  <si>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</si>
  <si>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</si>
  <si>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</si>
  <si>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</si>
  <si>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</si>
  <si>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</si>
  <si>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</si>
  <si>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</si>
  <si>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</si>
  <si>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</si>
  <si>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</si>
  <si>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</si>
  <si>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</si>
  <si>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</si>
  <si>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</si>
  <si>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</si>
  <si>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</si>
  <si>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</si>
  <si>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</si>
  <si>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</si>
  <si>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</si>
  <si>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</si>
  <si>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</si>
  <si>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</si>
  <si>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</si>
  <si>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</si>
  <si>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</si>
  <si>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</si>
  <si>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</si>
  <si>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</si>
  <si>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</si>
  <si>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</si>
  <si>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</si>
  <si>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</si>
  <si>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</si>
  <si>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</si>
  <si>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</si>
  <si>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</si>
  <si>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</si>
  <si>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</si>
  <si>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</si>
  <si>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</si>
  <si>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</si>
  <si>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</si>
  <si>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</si>
  <si>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</si>
  <si>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</si>
  <si>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</si>
  <si>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</si>
  <si>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</si>
  <si>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</si>
  <si>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</si>
  <si>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</si>
  <si>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</si>
  <si>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</si>
  <si>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</si>
  <si>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</si>
  <si>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</si>
  <si>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</si>
  <si>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</si>
  <si>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</si>
  <si>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</si>
  <si>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</si>
  <si>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</si>
  <si>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</si>
  <si>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</si>
  <si>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</si>
  <si>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</si>
  <si>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</si>
  <si>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</si>
  <si>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</si>
  <si>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</si>
  <si>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</si>
  <si>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</si>
  <si>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</si>
  <si>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</si>
  <si>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</si>
  <si>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</si>
  <si>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</si>
  <si>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</si>
  <si>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</si>
  <si>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</si>
  <si>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</si>
  <si>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</si>
  <si>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</si>
  <si>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</si>
  <si>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</si>
  <si>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</si>
  <si>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</si>
  <si>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</si>
  <si>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</si>
  <si>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</si>
  <si>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</si>
  <si>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</si>
  <si>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</si>
  <si>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</si>
  <si>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</si>
  <si>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</si>
  <si>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</si>
  <si>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</si>
  <si>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</si>
  <si>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</si>
  <si>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</si>
  <si>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</si>
  <si>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</si>
  <si>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</si>
  <si>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</si>
  <si>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</si>
  <si>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</si>
  <si>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</si>
  <si>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</si>
  <si>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</si>
  <si>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</si>
  <si>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</si>
  <si>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</si>
  <si>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</si>
  <si>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</si>
  <si>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</si>
  <si>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</si>
  <si>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</si>
  <si>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</si>
  <si>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</si>
  <si>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</si>
  <si>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</si>
  <si>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</si>
  <si>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</si>
  <si>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</si>
  <si>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</si>
  <si>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</si>
  <si>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</si>
  <si>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</si>
  <si>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</si>
  <si>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</si>
  <si>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</si>
  <si>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</si>
  <si>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</si>
  <si>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</si>
  <si>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</si>
  <si>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</si>
  <si>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</si>
  <si>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</si>
  <si>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</si>
  <si>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</si>
  <si>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</si>
  <si>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</si>
  <si>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</si>
  <si>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</si>
  <si>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</si>
  <si>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</si>
  <si>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</si>
  <si>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</si>
  <si>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</si>
  <si>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</si>
  <si>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</si>
  <si>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</si>
  <si>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</si>
  <si>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</si>
  <si>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</si>
  <si>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</si>
  <si>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</si>
  <si>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</si>
  <si>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</si>
  <si>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</si>
  <si>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</si>
  <si>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</si>
  <si>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</si>
  <si>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</si>
  <si>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</si>
  <si>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</si>
  <si>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</si>
  <si>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</si>
  <si>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</si>
  <si>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</si>
  <si>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</si>
  <si>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</si>
  <si>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</si>
  <si>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</si>
  <si>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</si>
  <si>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</si>
  <si>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</si>
  <si>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</si>
  <si>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</si>
  <si>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</si>
  <si>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</si>
  <si>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</si>
  <si>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</si>
  <si>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</si>
  <si>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</si>
  <si>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</si>
  <si>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</si>
  <si>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</si>
  <si>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</si>
  <si>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</si>
  <si>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</si>
  <si>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</si>
  <si>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</si>
  <si>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</si>
  <si>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</si>
  <si>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</si>
  <si>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</si>
  <si>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</si>
  <si>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</si>
  <si>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</si>
  <si>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</si>
  <si>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</si>
  <si>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</si>
  <si>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</si>
  <si>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</si>
  <si>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</si>
  <si>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</si>
  <si>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</si>
  <si>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</si>
  <si>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</si>
  <si>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</si>
  <si>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</si>
  <si>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</si>
  <si>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</si>
  <si>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</si>
  <si>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</si>
  <si>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</si>
  <si>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</si>
  <si>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</si>
  <si>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</si>
  <si>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</si>
  <si>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</si>
  <si>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</si>
  <si>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</si>
  <si>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</si>
  <si>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</si>
  <si>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</si>
  <si>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</si>
  <si>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</si>
  <si>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</si>
  <si>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</si>
  <si>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</si>
  <si>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</si>
  <si>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</si>
  <si>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</si>
  <si>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</si>
  <si>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</si>
  <si>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</si>
  <si>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</si>
  <si>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</si>
  <si>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</si>
  <si>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</si>
  <si>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</si>
  <si>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</si>
  <si>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</si>
  <si>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</si>
  <si>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</si>
  <si>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</si>
  <si>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</si>
  <si>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</si>
  <si>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</si>
  <si>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</si>
  <si>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</si>
  <si>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</si>
  <si>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</si>
  <si>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</si>
  <si>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</si>
  <si>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</si>
  <si>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</si>
  <si>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</si>
  <si>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</si>
  <si>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</si>
  <si>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</si>
  <si>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</si>
  <si>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</si>
  <si>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</si>
  <si>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</si>
  <si>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</si>
  <si>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</si>
  <si>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</si>
  <si>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</si>
  <si>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</si>
  <si>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</si>
  <si>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</si>
  <si>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</si>
  <si>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</si>
  <si>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</si>
  <si>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</si>
  <si>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</si>
  <si>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</si>
  <si>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</si>
  <si>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</si>
  <si>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</si>
  <si>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</si>
  <si>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</si>
  <si>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</si>
  <si>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</si>
  <si>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</si>
  <si>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</si>
  <si>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</si>
  <si>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</si>
  <si>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</si>
  <si>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</si>
  <si>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</si>
  <si>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</si>
  <si>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</si>
  <si>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</si>
  <si>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</si>
  <si>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</si>
  <si>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</si>
  <si>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</si>
  <si>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</si>
  <si>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</si>
  <si>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</si>
  <si>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</si>
  <si>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</si>
  <si>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</si>
  <si>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</si>
  <si>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</si>
  <si>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</si>
  <si>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</si>
  <si>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</si>
  <si>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</si>
  <si>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</si>
  <si>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</si>
  <si>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</si>
  <si>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</si>
  <si>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</si>
  <si>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</si>
  <si>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</si>
  <si>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</si>
  <si>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</si>
  <si>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</si>
  <si>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</si>
  <si>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</si>
  <si>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</si>
  <si>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</si>
  <si>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</si>
  <si>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</si>
  <si>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</si>
  <si>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</si>
  <si>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</si>
  <si>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</si>
  <si>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</si>
  <si>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</si>
  <si>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</si>
  <si>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</si>
  <si>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</si>
  <si>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</si>
  <si>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</si>
  <si>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</si>
  <si>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</si>
  <si>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</si>
  <si>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</si>
  <si>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</si>
  <si>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</si>
  <si>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</si>
  <si>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</si>
  <si>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</si>
  <si>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</si>
  <si>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</si>
  <si>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</si>
  <si>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</si>
  <si>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</si>
  <si>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</si>
  <si>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</si>
  <si>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</si>
  <si>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</si>
  <si>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</si>
  <si>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</si>
  <si>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</si>
  <si>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</si>
  <si>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</si>
  <si>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</si>
  <si>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</si>
  <si>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</si>
  <si>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</si>
  <si>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</si>
  <si>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</si>
  <si>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</si>
  <si>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</si>
  <si>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</si>
  <si>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</si>
  <si>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</si>
  <si>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</si>
  <si>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</si>
  <si>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</si>
  <si>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</si>
  <si>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</si>
  <si>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</si>
  <si>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</si>
  <si>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</si>
  <si>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</si>
  <si>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</si>
  <si>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</si>
  <si>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</si>
  <si>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</si>
  <si>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</si>
  <si>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</si>
  <si>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</si>
  <si>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</si>
  <si>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</si>
  <si>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</si>
  <si>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</si>
  <si>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</si>
  <si>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</si>
  <si>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</si>
  <si>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</si>
  <si>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</si>
  <si>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</si>
  <si>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</si>
  <si>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</si>
  <si>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</si>
  <si>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</si>
  <si>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</si>
  <si>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</si>
  <si>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</si>
  <si>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</si>
  <si>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</si>
  <si>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</si>
  <si>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</si>
  <si>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</si>
  <si>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</si>
  <si>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</si>
  <si>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</si>
  <si>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</si>
  <si>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</si>
  <si>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</si>
  <si>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</si>
  <si>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</si>
  <si>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</si>
  <si>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</si>
  <si>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</si>
  <si>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</si>
  <si>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</si>
  <si>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</si>
  <si>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</si>
  <si>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</si>
  <si>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</si>
  <si>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</si>
  <si>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</si>
  <si>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</si>
  <si>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</si>
  <si>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</si>
  <si>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</si>
  <si>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</si>
  <si>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</si>
  <si>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</si>
  <si>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</si>
  <si>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</si>
  <si>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</si>
  <si>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</si>
  <si>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</si>
  <si>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</si>
  <si>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</si>
  <si>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</si>
  <si>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</si>
  <si>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</si>
  <si>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</si>
  <si>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</si>
  <si>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</si>
  <si>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</si>
  <si>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</si>
  <si>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</si>
  <si>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</si>
  <si>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</si>
  <si>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</si>
  <si>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</si>
  <si>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</si>
  <si>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</si>
  <si>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</si>
  <si>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</si>
  <si>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</si>
  <si>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</si>
  <si>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</si>
  <si>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</si>
  <si>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</si>
  <si>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</si>
  <si>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</si>
  <si>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</si>
  <si>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</si>
  <si>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</si>
  <si>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</si>
  <si>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</si>
  <si>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</si>
  <si>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</si>
  <si>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</si>
  <si>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</si>
  <si>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</si>
  <si>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</si>
  <si>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</si>
  <si>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</si>
  <si>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</si>
  <si>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</si>
  <si>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</si>
  <si>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</si>
  <si>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</si>
  <si>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</si>
  <si>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</si>
  <si>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</si>
  <si>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</si>
  <si>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</si>
  <si>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</si>
  <si>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</si>
  <si>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</si>
  <si>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</si>
  <si>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</si>
  <si>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</si>
  <si>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</si>
  <si>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</si>
  <si>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</si>
  <si>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</si>
  <si>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</si>
  <si>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</si>
  <si>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</si>
  <si>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</si>
  <si>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</si>
  <si>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</si>
  <si>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</si>
  <si>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</si>
  <si>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</si>
  <si>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</si>
  <si>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</si>
  <si>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</si>
  <si>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</si>
  <si>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</si>
  <si>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</si>
  <si>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</si>
  <si>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</si>
  <si>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</si>
  <si>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</si>
  <si>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</si>
  <si>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</si>
  <si>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</si>
  <si>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</si>
  <si>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</si>
  <si>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</si>
  <si>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</si>
  <si>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</si>
  <si>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</si>
  <si>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</si>
  <si>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</si>
  <si>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</si>
  <si>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</si>
  <si>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</si>
  <si>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</si>
  <si>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</si>
  <si>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</si>
  <si>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</si>
  <si>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</si>
  <si>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</si>
  <si>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</si>
  <si>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</si>
  <si>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</si>
  <si>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</si>
  <si>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</si>
  <si>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</si>
  <si>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</si>
  <si>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</si>
  <si>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</si>
  <si>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</si>
  <si>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</si>
  <si>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</si>
  <si>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</si>
  <si>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</si>
  <si>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</si>
  <si>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</si>
  <si>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</si>
  <si>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</si>
  <si>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</si>
  <si>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</si>
  <si>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</si>
  <si>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</si>
  <si>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</si>
  <si>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</si>
  <si>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</si>
  <si>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</si>
  <si>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</si>
  <si>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</si>
  <si>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</si>
  <si>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</si>
  <si>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</si>
  <si>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</si>
  <si>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</si>
  <si>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</si>
  <si>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</si>
  <si>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</si>
  <si>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</si>
  <si>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</si>
  <si>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</si>
  <si>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</si>
  <si>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</si>
  <si>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</si>
  <si>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</si>
  <si>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</si>
  <si>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</si>
  <si>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</si>
  <si>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</si>
  <si>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</si>
  <si>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</si>
  <si>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</si>
  <si>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</si>
  <si>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</si>
  <si>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</si>
  <si>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</si>
  <si>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</si>
  <si>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</si>
  <si>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</si>
  <si>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</si>
  <si>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</si>
  <si>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</si>
  <si>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</si>
  <si>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</si>
  <si>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</si>
  <si>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</si>
  <si>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</si>
  <si>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</si>
  <si>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</si>
  <si>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</si>
  <si>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</si>
  <si>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</si>
  <si>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</si>
  <si>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</si>
  <si>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</si>
  <si>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</si>
  <si>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</si>
  <si>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</si>
  <si>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</si>
  <si>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</si>
  <si>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</si>
  <si>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</si>
  <si>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</si>
  <si>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</si>
  <si>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</si>
  <si>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</si>
  <si>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</si>
  <si>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</si>
  <si>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</si>
  <si>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</si>
  <si>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</si>
  <si>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</si>
  <si>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</si>
  <si>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</si>
  <si>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</si>
  <si>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</si>
  <si>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</si>
  <si>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</si>
  <si>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</si>
  <si>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</si>
  <si>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</si>
  <si>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</si>
  <si>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</si>
  <si>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</si>
  <si>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</si>
  <si>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</si>
  <si>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</si>
  <si>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</si>
  <si>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</si>
  <si>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</si>
  <si>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</si>
  <si>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</si>
  <si>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</si>
  <si>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</si>
  <si>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</si>
  <si>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</si>
  <si>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</si>
  <si>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</si>
  <si>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</si>
  <si>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</si>
  <si>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</si>
  <si>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</si>
  <si>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</si>
  <si>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</si>
  <si>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</si>
  <si>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</si>
  <si>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</si>
  <si>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</si>
  <si>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</si>
  <si>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</si>
  <si>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</si>
  <si>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</si>
  <si>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</si>
  <si>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</si>
  <si>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</si>
  <si>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</si>
  <si>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</si>
  <si>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</si>
  <si>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</si>
  <si>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</si>
  <si>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</si>
  <si>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</si>
  <si>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</si>
  <si>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</si>
  <si>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</si>
  <si>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</si>
  <si>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</si>
  <si>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</si>
  <si>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</si>
  <si>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</si>
  <si>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</si>
  <si>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</si>
  <si>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</si>
  <si>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</si>
  <si>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</si>
  <si>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</si>
  <si>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</si>
  <si>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</si>
  <si>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</si>
  <si>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</si>
  <si>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</si>
  <si>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</si>
  <si>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</si>
  <si>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</si>
  <si>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</si>
  <si>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</si>
  <si>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</si>
  <si>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</si>
  <si>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</si>
  <si>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</si>
  <si>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</si>
  <si>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</si>
  <si>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</si>
  <si>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</si>
  <si>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</si>
  <si>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</si>
  <si>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</si>
  <si>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</si>
  <si>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</si>
  <si>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</si>
  <si>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</si>
  <si>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</si>
  <si>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</si>
  <si>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</si>
  <si>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</si>
  <si>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</si>
  <si>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</si>
  <si>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</si>
  <si>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</si>
  <si>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</si>
  <si>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</si>
  <si>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</si>
  <si>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</si>
  <si>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</si>
  <si>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</si>
  <si>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</si>
  <si>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</si>
  <si>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</si>
  <si>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</si>
  <si>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</si>
  <si>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</si>
  <si>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</si>
  <si>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</si>
  <si>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</si>
  <si>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</si>
  <si>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</si>
  <si>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</si>
  <si>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</si>
  <si>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</si>
  <si>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</si>
  <si>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</si>
  <si>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</si>
  <si>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</si>
  <si>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</si>
  <si>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</si>
  <si>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</si>
  <si>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</si>
  <si>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</si>
  <si>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</si>
  <si>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</si>
  <si>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</si>
  <si>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</si>
  <si>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</si>
  <si>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</si>
  <si>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</si>
  <si>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</si>
  <si>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</si>
  <si>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</si>
  <si>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</si>
  <si>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</si>
  <si>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</si>
  <si>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</si>
  <si>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</si>
  <si>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</si>
  <si>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</si>
  <si>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</si>
  <si>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</si>
  <si>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</si>
  <si>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</si>
  <si>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</si>
  <si>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</si>
  <si>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</si>
  <si>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</si>
  <si>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</si>
  <si>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</si>
  <si>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</si>
  <si>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</si>
  <si>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</si>
  <si>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</si>
  <si>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</si>
  <si>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</si>
  <si>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</si>
  <si>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</si>
  <si>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</si>
  <si>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</si>
  <si>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</si>
  <si>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</si>
  <si>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</si>
  <si>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</si>
  <si>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</si>
  <si>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</si>
  <si>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</si>
  <si>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</si>
  <si>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</si>
  <si>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</si>
  <si>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</si>
  <si>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</si>
  <si>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</si>
  <si>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</si>
  <si>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</si>
  <si>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</si>
  <si>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</si>
  <si>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</si>
  <si>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</si>
  <si>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</si>
  <si>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</si>
  <si>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</si>
  <si>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</si>
  <si>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</si>
  <si>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</si>
  <si>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</si>
  <si>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</si>
  <si>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</si>
  <si>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</si>
  <si>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</si>
  <si>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</si>
  <si>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</si>
  <si>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</si>
  <si>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</si>
  <si>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</si>
  <si>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</si>
  <si>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</si>
  <si>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</si>
  <si>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</si>
  <si>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</si>
  <si>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</si>
  <si>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</si>
  <si>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</si>
  <si>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</si>
  <si>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</si>
  <si>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</si>
  <si>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</si>
  <si>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</si>
  <si>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</si>
  <si>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</si>
  <si>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</si>
  <si>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</si>
  <si>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</si>
  <si>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</si>
  <si>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</si>
  <si>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</si>
  <si>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</si>
  <si>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</si>
  <si>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</si>
  <si>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</si>
  <si>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</si>
  <si>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</si>
  <si>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</si>
  <si>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</si>
  <si>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</si>
  <si>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</si>
  <si>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</si>
  <si>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</si>
  <si>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</si>
  <si>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</si>
  <si>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</si>
  <si>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</si>
  <si>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</si>
  <si>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</si>
  <si>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</si>
  <si>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</si>
  <si>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</si>
  <si>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</si>
  <si>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</si>
  <si>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</si>
  <si>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</si>
  <si>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</si>
  <si>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</si>
  <si>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</si>
  <si>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</si>
  <si>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</si>
  <si>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</si>
  <si>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</si>
  <si>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</si>
  <si>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</si>
  <si>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</si>
  <si>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</si>
  <si>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</si>
  <si>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</si>
  <si>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</si>
  <si>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</si>
  <si>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</si>
  <si>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</si>
  <si>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</si>
  <si>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</si>
  <si>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</si>
  <si>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</si>
  <si>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</si>
  <si>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</si>
  <si>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</si>
  <si>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</si>
  <si>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</si>
  <si>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</si>
  <si>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</si>
  <si>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</si>
  <si>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</si>
  <si>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</si>
  <si>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</si>
  <si>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</si>
  <si>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</si>
  <si>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</si>
  <si>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</si>
  <si>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</si>
  <si>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</si>
  <si>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</si>
  <si>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</si>
  <si>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</si>
  <si>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</si>
  <si>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</si>
  <si>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</si>
  <si>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</si>
  <si>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</si>
  <si>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</si>
  <si>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</si>
  <si>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</si>
  <si>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</si>
  <si>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</si>
  <si>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</si>
  <si>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</si>
  <si>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</si>
  <si>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</si>
  <si>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</si>
  <si>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</si>
  <si>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</si>
  <si>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</si>
  <si>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</si>
  <si>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</si>
  <si>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</si>
  <si>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</si>
  <si>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</si>
  <si>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</si>
  <si>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</si>
  <si>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</si>
  <si>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</si>
  <si>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</si>
  <si>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</si>
  <si>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</si>
  <si>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</si>
  <si>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</si>
  <si>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</si>
  <si>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</si>
  <si>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</si>
  <si>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</si>
  <si>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</si>
  <si>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</si>
  <si>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</si>
  <si>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</si>
  <si>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</si>
  <si>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</si>
  <si>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</si>
  <si>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</si>
  <si>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</si>
  <si>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</si>
  <si>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</si>
  <si>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</si>
  <si>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</si>
  <si>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</si>
  <si>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</si>
  <si>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</si>
  <si>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</si>
  <si>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</si>
  <si>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</si>
  <si>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</si>
  <si>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</si>
  <si>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</si>
  <si>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</si>
  <si>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</si>
  <si>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</si>
  <si>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</si>
  <si>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</si>
  <si>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</si>
  <si>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</si>
  <si>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</si>
  <si>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</si>
  <si>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</si>
  <si>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</si>
  <si>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</si>
  <si>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</si>
  <si>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</si>
  <si>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</si>
  <si>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</si>
  <si>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</si>
  <si>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</si>
  <si>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</si>
  <si>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</si>
  <si>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</si>
  <si>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</si>
  <si>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</si>
  <si>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</si>
  <si>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</si>
  <si>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</si>
  <si>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</si>
  <si>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</si>
  <si>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</si>
  <si>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</si>
  <si>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</si>
  <si>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</si>
  <si>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</si>
  <si>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</si>
  <si>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</si>
  <si>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</si>
  <si>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</si>
  <si>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</si>
  <si>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</si>
  <si>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</si>
  <si>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</si>
  <si>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</si>
  <si>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</si>
  <si>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</si>
  <si>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</si>
  <si>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</si>
  <si>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</si>
  <si>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</si>
  <si>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</si>
  <si>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</si>
  <si>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</si>
  <si>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</si>
  <si>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</si>
  <si>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</si>
  <si>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</si>
  <si>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</si>
  <si>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</si>
  <si>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</si>
  <si>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</si>
  <si>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</si>
  <si>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</si>
  <si>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</si>
  <si>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</si>
  <si>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</si>
  <si>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</si>
  <si>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</si>
  <si>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</si>
  <si>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</si>
  <si>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</si>
  <si>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</si>
  <si>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</si>
  <si>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</si>
  <si>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</si>
  <si>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</si>
  <si>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</si>
  <si>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</si>
  <si>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</si>
  <si>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</si>
  <si>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</si>
  <si>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</si>
  <si>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</si>
  <si>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</si>
  <si>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</si>
  <si>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</si>
  <si>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</si>
  <si>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</si>
  <si>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</si>
  <si>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</si>
  <si>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</si>
  <si>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</si>
  <si>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</si>
  <si>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</si>
  <si>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</si>
  <si>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</si>
  <si>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</si>
  <si>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</si>
  <si>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</si>
  <si>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</si>
  <si>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</si>
  <si>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</si>
  <si>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</si>
  <si>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</si>
  <si>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</si>
  <si>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</si>
  <si>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</si>
  <si>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</si>
  <si>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</si>
  <si>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</si>
  <si>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</si>
  <si>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</si>
  <si>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</si>
  <si>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</si>
  <si>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</si>
  <si>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</si>
  <si>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</si>
  <si>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</si>
  <si>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</si>
  <si>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</si>
  <si>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</si>
  <si>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</si>
  <si>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</si>
  <si>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</si>
  <si>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</si>
  <si>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</si>
  <si>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</si>
  <si>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</si>
  <si>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</si>
  <si>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</si>
  <si>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</si>
  <si>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</si>
  <si>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</si>
  <si>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</si>
  <si>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</si>
  <si>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</si>
  <si>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</si>
  <si>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</si>
  <si>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</si>
  <si>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</si>
  <si>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</si>
  <si>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</si>
  <si>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</si>
  <si>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</si>
  <si>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</si>
  <si>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</si>
  <si>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</si>
  <si>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</si>
  <si>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</si>
  <si>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</si>
  <si>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</si>
  <si>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</si>
  <si>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</si>
  <si>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</si>
  <si>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</si>
  <si>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</si>
  <si>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</si>
  <si>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</si>
  <si>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</si>
  <si>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</si>
  <si>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</si>
  <si>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</si>
  <si>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</si>
  <si>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</si>
  <si>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</si>
  <si>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</si>
  <si>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</si>
  <si>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</si>
  <si>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</si>
  <si>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</si>
  <si>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</si>
  <si>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</si>
  <si>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</si>
  <si>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</si>
  <si>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</si>
  <si>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</si>
  <si>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</si>
  <si>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</si>
  <si>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</si>
  <si>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</si>
  <si>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</si>
  <si>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</si>
  <si>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</si>
  <si>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</si>
  <si>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</si>
  <si>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</si>
  <si>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</si>
  <si>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</si>
  <si>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</si>
  <si>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</si>
  <si>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</si>
  <si>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</si>
  <si>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</si>
  <si>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</si>
  <si>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</si>
  <si>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</si>
  <si>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</si>
  <si>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</si>
  <si>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</si>
  <si>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</si>
  <si>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</si>
  <si>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</si>
  <si>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</si>
  <si>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</si>
  <si>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</si>
  <si>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</si>
  <si>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</si>
  <si>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</si>
  <si>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</si>
  <si>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</si>
  <si>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</si>
  <si>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</si>
  <si>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</si>
  <si>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</si>
  <si>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</si>
  <si>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</si>
  <si>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</si>
  <si>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</si>
  <si>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</si>
  <si>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</si>
  <si>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</si>
  <si>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</si>
  <si>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</si>
  <si>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</si>
  <si>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</si>
  <si>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</si>
  <si>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</si>
  <si>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</si>
  <si>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</si>
  <si>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</si>
  <si>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</si>
  <si>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</si>
  <si>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</si>
  <si>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</si>
  <si>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</si>
  <si>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</si>
  <si>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</si>
  <si>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</si>
  <si>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</si>
  <si>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</si>
  <si>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</si>
  <si>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</si>
  <si>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</si>
  <si>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</si>
  <si>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</si>
  <si>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</si>
  <si>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</si>
  <si>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</si>
  <si>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</si>
  <si>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</si>
  <si>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</si>
  <si>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</si>
  <si>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</si>
  <si>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</si>
  <si>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</si>
  <si>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</si>
  <si>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</si>
  <si>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</si>
  <si>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</si>
  <si>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</si>
  <si>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</si>
  <si>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</si>
  <si>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</si>
  <si>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</si>
  <si>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</si>
  <si>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</si>
  <si>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</si>
  <si>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</si>
  <si>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</si>
  <si>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</si>
  <si>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</si>
  <si>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</si>
  <si>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</si>
  <si>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</si>
  <si>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</si>
  <si>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</si>
  <si>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</si>
  <si>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</si>
  <si>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</si>
  <si>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</si>
  <si>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</si>
  <si>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</si>
  <si>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</si>
  <si>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</si>
  <si>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</si>
  <si>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</si>
  <si>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</si>
  <si>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</si>
  <si>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</si>
  <si>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</si>
  <si>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</si>
  <si>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</si>
  <si>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</si>
  <si>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</si>
  <si>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</si>
  <si>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</si>
  <si>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</si>
  <si>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</si>
  <si>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</si>
  <si>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</si>
  <si>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</si>
  <si>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</si>
  <si>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</si>
  <si>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</si>
  <si>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</si>
  <si>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</si>
  <si>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</si>
  <si>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</si>
  <si>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</si>
  <si>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</si>
  <si>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</si>
  <si>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</si>
  <si>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</si>
  <si>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</si>
  <si>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</si>
  <si>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</si>
  <si>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</si>
  <si>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</si>
  <si>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</si>
  <si>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</si>
  <si>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</si>
  <si>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</si>
  <si>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</si>
  <si>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</si>
  <si>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</si>
  <si>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</si>
  <si>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</si>
  <si>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</si>
  <si>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</si>
  <si>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</si>
  <si>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</si>
  <si>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</si>
  <si>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</si>
  <si>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</si>
  <si>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</si>
  <si>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</si>
  <si>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</si>
  <si>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</si>
  <si>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</si>
  <si>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</si>
  <si>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</si>
  <si>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</si>
  <si>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</si>
  <si>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</si>
  <si>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</si>
  <si>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</si>
  <si>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</si>
  <si>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</si>
  <si>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</si>
  <si>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</si>
  <si>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</si>
  <si>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</si>
  <si>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</si>
  <si>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</si>
  <si>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</si>
  <si>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</si>
  <si>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</si>
  <si>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</si>
  <si>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</si>
  <si>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</si>
  <si>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</si>
  <si>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</si>
  <si>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</si>
  <si>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</si>
  <si>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</si>
  <si>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</si>
  <si>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</si>
  <si>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</si>
  <si>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</si>
  <si>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</si>
  <si>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</si>
  <si>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</si>
  <si>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</si>
  <si>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</si>
  <si>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</si>
  <si>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</si>
  <si>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</si>
  <si>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</si>
  <si>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</si>
  <si>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</si>
  <si>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</si>
  <si>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</si>
  <si>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</si>
  <si>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</si>
  <si>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</si>
  <si>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</si>
  <si>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</si>
  <si>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</si>
  <si>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</si>
  <si>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</si>
  <si>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</si>
  <si>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</si>
  <si>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</si>
  <si>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</si>
  <si>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</si>
  <si>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</si>
  <si>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</si>
  <si>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</si>
  <si>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</si>
  <si>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</si>
  <si>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</si>
  <si>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</si>
  <si>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</si>
  <si>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</si>
  <si>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</si>
  <si>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</si>
  <si>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</si>
  <si>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</si>
  <si>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</si>
  <si>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</si>
  <si>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</si>
  <si>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</si>
  <si>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</si>
  <si>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</si>
  <si>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</si>
  <si>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</si>
  <si>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</si>
  <si>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</si>
  <si>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</si>
  <si>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</si>
  <si>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</si>
  <si>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</si>
  <si>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</si>
  <si>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</si>
  <si>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</si>
  <si>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</si>
  <si>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</si>
  <si>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</si>
  <si>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</si>
  <si>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</si>
  <si>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</si>
  <si>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</si>
  <si>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</si>
  <si>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</si>
  <si>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</si>
  <si>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</si>
  <si>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</si>
  <si>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</si>
  <si>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</si>
  <si>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</si>
  <si>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</si>
  <si>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</si>
  <si>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</si>
  <si>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</si>
  <si>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</si>
  <si>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</si>
  <si>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</si>
  <si>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</si>
  <si>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</si>
  <si>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</si>
  <si>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</si>
  <si>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</si>
  <si>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</si>
  <si>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</si>
  <si>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</si>
  <si>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</si>
  <si>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</si>
  <si>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</si>
  <si>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</si>
  <si>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</si>
  <si>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</si>
  <si>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</si>
  <si>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</si>
  <si>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</si>
  <si>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</si>
  <si>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</si>
  <si>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</si>
  <si>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</si>
  <si>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</si>
  <si>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</si>
  <si>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</si>
  <si>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</si>
  <si>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</si>
  <si>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</si>
  <si>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</si>
  <si>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</si>
  <si>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</si>
  <si>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</si>
  <si>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</si>
  <si>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</si>
  <si>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</si>
  <si>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</si>
  <si>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</si>
  <si>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</si>
  <si>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</si>
  <si>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</si>
  <si>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</si>
  <si>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</si>
  <si>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</si>
  <si>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</si>
  <si>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</si>
  <si>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</si>
  <si>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</si>
  <si>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</si>
  <si>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</si>
  <si>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</si>
  <si>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</si>
  <si>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</si>
  <si>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</si>
  <si>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</si>
  <si>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</si>
  <si>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</si>
  <si>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</si>
  <si>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</si>
  <si>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</si>
  <si>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</si>
  <si>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</si>
  <si>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</si>
  <si>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</si>
  <si>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</si>
  <si>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</si>
  <si>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</si>
  <si>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</si>
  <si>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</si>
  <si>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</si>
  <si>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</si>
  <si>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</si>
  <si>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</si>
  <si>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</si>
  <si>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</si>
  <si>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</si>
  <si>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</si>
  <si>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</si>
  <si>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</si>
  <si>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</si>
  <si>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</si>
  <si>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</si>
  <si>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</si>
  <si>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</si>
  <si>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</si>
  <si>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</si>
  <si>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</si>
  <si>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</si>
  <si>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</si>
  <si>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</si>
  <si>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</si>
  <si>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</si>
  <si>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</si>
  <si>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</si>
  <si>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</si>
  <si>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</si>
  <si>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</si>
  <si>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</si>
  <si>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</si>
  <si>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</si>
  <si>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</si>
  <si>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</si>
  <si>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</si>
  <si>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</si>
  <si>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</si>
  <si>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</si>
  <si>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</si>
  <si>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</si>
  <si>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</si>
  <si>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</si>
  <si>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</si>
  <si>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</si>
  <si>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</si>
  <si>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</si>
  <si>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</si>
  <si>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</si>
  <si>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</si>
  <si>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</si>
  <si>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</si>
  <si>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</si>
  <si>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</si>
  <si>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</si>
  <si>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</si>
  <si>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</si>
  <si>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</si>
  <si>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</si>
  <si>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</si>
  <si>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</si>
  <si>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</si>
  <si>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</si>
  <si>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</si>
  <si>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</si>
  <si>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</si>
  <si>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</si>
  <si>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</si>
  <si>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</si>
  <si>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</si>
  <si>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</si>
  <si>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</si>
  <si>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</si>
  <si>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</si>
  <si>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</si>
  <si>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</si>
  <si>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</si>
  <si>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</si>
  <si>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</si>
  <si>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</si>
  <si>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</si>
  <si>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</si>
  <si>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</si>
  <si>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</si>
  <si>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</si>
  <si>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</si>
  <si>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</si>
  <si>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</si>
  <si>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</si>
  <si>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</si>
  <si>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</si>
  <si>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</si>
  <si>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</si>
  <si>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</si>
  <si>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</si>
  <si>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</si>
  <si>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</si>
  <si>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</si>
  <si>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</si>
  <si>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</si>
  <si>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</si>
  <si>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</si>
  <si>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</si>
  <si>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</si>
  <si>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</si>
  <si>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</si>
  <si>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</si>
  <si>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</si>
  <si>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</si>
  <si>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</si>
  <si>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</si>
  <si>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</si>
  <si>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</si>
  <si>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</si>
  <si>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</si>
  <si>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</si>
  <si>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</si>
  <si>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</si>
  <si>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</si>
  <si>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</si>
  <si>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</si>
  <si>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</si>
  <si>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</si>
  <si>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</si>
  <si>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</si>
  <si>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</si>
  <si>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</si>
  <si>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</si>
  <si>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</si>
  <si>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</si>
  <si>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</si>
  <si>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</si>
  <si>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</si>
  <si>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</si>
  <si>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</si>
  <si>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</si>
  <si>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</si>
  <si>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</si>
  <si>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</si>
  <si>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</si>
  <si>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</si>
  <si>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</si>
  <si>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</si>
  <si>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</si>
  <si>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</si>
  <si>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</si>
  <si>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</si>
  <si>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</si>
  <si>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</si>
  <si>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</si>
  <si>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</si>
  <si>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</si>
  <si>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</si>
  <si>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</si>
  <si>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</si>
  <si>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</si>
  <si>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</si>
  <si>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</si>
  <si>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</si>
  <si>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</si>
  <si>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</si>
  <si>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</si>
  <si>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</si>
  <si>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</si>
  <si>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</si>
  <si>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</si>
  <si>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</si>
  <si>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</si>
  <si>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</si>
  <si>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</si>
  <si>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</si>
  <si>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</si>
  <si>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</si>
  <si>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</si>
  <si>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</si>
  <si>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</si>
  <si>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</si>
  <si>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</si>
  <si>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</si>
  <si>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</si>
  <si>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</si>
  <si>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</si>
  <si>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</si>
  <si>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</si>
  <si>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</si>
  <si>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</si>
  <si>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</si>
  <si>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</si>
  <si>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</si>
  <si>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</si>
  <si>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</si>
  <si>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</si>
  <si>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</si>
  <si>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</si>
  <si>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</si>
  <si>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</si>
  <si>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</si>
  <si>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</si>
  <si>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</si>
  <si>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</si>
  <si>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</si>
  <si>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</si>
  <si>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</si>
  <si>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</si>
  <si>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</si>
  <si>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</si>
  <si>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</si>
  <si>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</si>
  <si>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</si>
  <si>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</si>
  <si>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</si>
  <si>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</si>
  <si>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</si>
  <si>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</si>
  <si>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</si>
  <si>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</si>
  <si>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</si>
  <si>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</si>
  <si>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</si>
  <si>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</si>
  <si>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</si>
  <si>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</si>
  <si>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</si>
  <si>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</si>
  <si>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</si>
  <si>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</si>
  <si>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</si>
  <si>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</si>
  <si>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</si>
  <si>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</si>
  <si>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</si>
  <si>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</si>
  <si>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</si>
  <si>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</si>
  <si>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</si>
  <si>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</si>
  <si>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</si>
  <si>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</si>
  <si>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</si>
  <si>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</si>
  <si>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</si>
  <si>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</si>
  <si>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</si>
  <si>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</si>
  <si>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</si>
  <si>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</si>
  <si>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</si>
  <si>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</si>
  <si>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</si>
  <si>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</si>
  <si>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</si>
  <si>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</si>
  <si>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</si>
  <si>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</si>
  <si>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</si>
  <si>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</si>
  <si>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</si>
  <si>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</si>
  <si>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</si>
  <si>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</si>
  <si>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</si>
  <si>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</si>
  <si>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</si>
  <si>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</si>
  <si>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</si>
  <si>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</si>
  <si>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</si>
  <si>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</si>
  <si>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</si>
  <si>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</si>
  <si>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</si>
  <si>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</si>
  <si>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</si>
  <si>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</si>
  <si>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</si>
  <si>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</si>
  <si>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</si>
  <si>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</si>
  <si>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</si>
  <si>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</si>
  <si>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</si>
  <si>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</si>
  <si>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</si>
  <si>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</si>
  <si>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</si>
  <si>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</si>
  <si>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</si>
  <si>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</si>
  <si>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</si>
  <si>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</si>
  <si>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</si>
  <si>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</si>
  <si>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</si>
  <si>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</si>
  <si>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</si>
  <si>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</si>
  <si>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</si>
  <si>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</si>
  <si>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</si>
  <si>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</si>
  <si>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</si>
  <si>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</si>
  <si>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</si>
  <si>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</si>
  <si>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</si>
  <si>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</si>
  <si>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</si>
  <si>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</si>
  <si>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</si>
  <si>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</si>
  <si>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</si>
  <si>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</si>
  <si>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</si>
  <si>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</si>
  <si>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</si>
  <si>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</si>
  <si>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</si>
  <si>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</si>
  <si>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</si>
  <si>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</si>
  <si>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</si>
  <si>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</si>
  <si>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</si>
  <si>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</si>
  <si>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</si>
  <si>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</si>
  <si>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</si>
  <si>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</si>
  <si>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</si>
  <si>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</si>
  <si>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</si>
  <si>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</si>
  <si>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</si>
  <si>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</si>
  <si>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</si>
  <si>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</si>
  <si>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</si>
  <si>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</si>
  <si>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</si>
  <si>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</si>
  <si>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</si>
  <si>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</si>
  <si>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</si>
  <si>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</si>
  <si>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</si>
  <si>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</si>
  <si>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</si>
  <si>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</si>
  <si>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</si>
  <si>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</si>
  <si>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</si>
  <si>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</si>
  <si>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</si>
  <si>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</si>
  <si>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</si>
  <si>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</si>
  <si>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</si>
  <si>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</si>
  <si>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</si>
  <si>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</si>
  <si>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</si>
  <si>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</si>
  <si>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</si>
  <si>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</si>
  <si>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</si>
  <si>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</si>
  <si>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</si>
  <si>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</si>
  <si>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</si>
  <si>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</si>
  <si>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</si>
  <si>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</si>
  <si>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</si>
  <si>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</si>
  <si>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</si>
  <si>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</si>
  <si>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</si>
  <si>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</si>
  <si>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</si>
  <si>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</si>
  <si>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</si>
  <si>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</si>
  <si>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</si>
  <si>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</si>
  <si>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</si>
  <si>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</si>
  <si>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</si>
  <si>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</si>
  <si>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</si>
  <si>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</si>
  <si>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</si>
  <si>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</si>
  <si>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</si>
  <si>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</si>
  <si>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</si>
  <si>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</si>
  <si>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</si>
  <si>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</si>
  <si>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</si>
  <si>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</si>
  <si>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</si>
  <si>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</si>
  <si>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</si>
  <si>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</si>
  <si>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</si>
  <si>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</si>
  <si>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</si>
  <si>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</si>
  <si>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</si>
  <si>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</si>
  <si>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</si>
  <si>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</si>
  <si>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</si>
  <si>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</si>
  <si>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</si>
  <si>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</si>
  <si>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</si>
  <si>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</si>
  <si>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</si>
  <si>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</si>
  <si>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</si>
  <si>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</si>
  <si>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</si>
  <si>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</si>
  <si>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</si>
  <si>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</si>
  <si>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</si>
  <si>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</si>
  <si>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</si>
  <si>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</si>
  <si>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</si>
  <si>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</si>
  <si>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</si>
  <si>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</si>
  <si>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</si>
  <si>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</si>
  <si>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</si>
  <si>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</si>
  <si>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</si>
  <si>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</si>
  <si>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</si>
  <si>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</si>
  <si>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</si>
  <si>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</si>
  <si>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</si>
  <si>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</si>
  <si>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</si>
  <si>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</si>
  <si>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</si>
  <si>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</si>
  <si>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</si>
  <si>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</si>
  <si>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</si>
  <si>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</si>
  <si>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</si>
  <si>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</si>
  <si>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</si>
  <si>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</si>
  <si>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</si>
  <si>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</si>
  <si>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</si>
  <si>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</si>
  <si>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</si>
  <si>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</si>
  <si>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</si>
  <si>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</si>
  <si>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</si>
  <si>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</si>
  <si>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</si>
  <si>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</si>
  <si>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</si>
  <si>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</si>
  <si>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</si>
  <si>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</si>
  <si>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</si>
  <si>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</si>
  <si>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</si>
  <si>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</si>
  <si>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</si>
  <si>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</si>
  <si>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</si>
  <si>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</si>
  <si>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</si>
  <si>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</si>
  <si>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</si>
  <si>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</si>
  <si>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</si>
  <si>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</si>
  <si>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</si>
  <si>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</si>
  <si>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</si>
  <si>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</si>
  <si>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</si>
  <si>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</si>
  <si>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</si>
  <si>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</si>
  <si>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</si>
  <si>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</si>
  <si>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</si>
  <si>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</si>
  <si>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</si>
  <si>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</si>
  <si>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</si>
  <si>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</si>
  <si>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</si>
  <si>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</si>
  <si>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</si>
  <si>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</si>
  <si>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</si>
  <si>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</si>
  <si>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</si>
  <si>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</si>
  <si>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</si>
  <si>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</si>
  <si>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</si>
  <si>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</si>
  <si>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</si>
  <si>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</si>
  <si>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</si>
  <si>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</si>
  <si>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</si>
  <si>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</si>
  <si>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</si>
  <si>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</si>
  <si>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</si>
  <si>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</si>
  <si>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</si>
  <si>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</si>
  <si>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</si>
  <si>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</si>
  <si>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</si>
  <si>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</si>
  <si>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</si>
  <si>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</si>
  <si>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</si>
  <si>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</si>
  <si>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</si>
  <si>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</si>
  <si>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</si>
  <si>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</si>
  <si>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</si>
  <si>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</si>
  <si>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</si>
  <si>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</si>
  <si>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</si>
  <si>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</si>
  <si>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</si>
  <si>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</si>
  <si>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</si>
  <si>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</si>
  <si>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</si>
  <si>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</si>
  <si>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</si>
  <si>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</si>
  <si>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</si>
  <si>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</si>
  <si>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</si>
  <si>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</si>
  <si>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</si>
  <si>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</si>
  <si>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</si>
  <si>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</si>
  <si>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</si>
  <si>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</si>
  <si>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</si>
  <si>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</si>
  <si>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</si>
  <si>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</si>
  <si>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</si>
  <si>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</si>
  <si>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</si>
  <si>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</si>
  <si>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</si>
  <si>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</si>
  <si>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</si>
  <si>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</si>
  <si>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</si>
  <si>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</si>
  <si>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</si>
  <si>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</si>
  <si>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</si>
  <si>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</si>
  <si>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</si>
  <si>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</si>
  <si>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</si>
  <si>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</si>
  <si>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</si>
  <si>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</si>
  <si>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</si>
  <si>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</si>
  <si>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</si>
  <si>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</si>
  <si>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</si>
  <si>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</si>
  <si>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</si>
  <si>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</si>
  <si>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</si>
  <si>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</si>
  <si>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</si>
  <si>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</si>
  <si>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</si>
  <si>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</si>
  <si>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</si>
  <si>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</si>
  <si>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</si>
  <si>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</si>
  <si>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</si>
  <si>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</si>
  <si>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</si>
  <si>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</si>
  <si>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</si>
  <si>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</si>
  <si>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</si>
  <si>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</si>
  <si>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</si>
  <si>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</si>
  <si>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</si>
  <si>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</si>
  <si>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</si>
  <si>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</si>
  <si>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</si>
  <si>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</si>
  <si>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</si>
  <si>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</si>
  <si>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</si>
  <si>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</si>
  <si>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</si>
  <si>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</si>
  <si>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</si>
  <si>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</si>
  <si>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</si>
  <si>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</si>
  <si>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</si>
  <si>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</si>
  <si>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</si>
  <si>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</si>
  <si>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</si>
  <si>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</si>
  <si>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</si>
  <si>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</si>
  <si>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</si>
  <si>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</si>
  <si>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</si>
  <si>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</si>
  <si>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</si>
  <si>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</si>
  <si>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</si>
  <si>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</si>
  <si>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</si>
  <si>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</si>
  <si>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</si>
  <si>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</si>
  <si>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</si>
  <si>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</si>
  <si>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</si>
  <si>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</si>
  <si>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</si>
  <si>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</si>
  <si>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</si>
  <si>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</si>
  <si>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</si>
  <si>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</si>
  <si>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</si>
  <si>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</si>
  <si>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</si>
  <si>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</si>
  <si>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</si>
  <si>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</si>
  <si>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</si>
  <si>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</si>
  <si>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</si>
  <si>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</si>
  <si>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</si>
  <si>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</si>
  <si>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</si>
  <si>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</si>
  <si>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</si>
  <si>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</si>
  <si>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</si>
  <si>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</si>
  <si>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</si>
  <si>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</si>
  <si>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</si>
  <si>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</si>
  <si>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</si>
  <si>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</si>
  <si>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</si>
  <si>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</si>
  <si>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</si>
  <si>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</si>
  <si>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</si>
  <si>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</si>
  <si>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</si>
  <si>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</si>
  <si>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</si>
  <si>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</si>
  <si>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</si>
  <si>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</si>
  <si>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</si>
  <si>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</si>
  <si>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</si>
  <si>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</si>
  <si>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</si>
  <si>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</si>
  <si>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</si>
  <si>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</si>
  <si>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</si>
  <si>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</si>
  <si>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</si>
  <si>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</si>
  <si>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</si>
  <si>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</si>
  <si>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</si>
  <si>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</si>
  <si>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</si>
  <si>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</si>
  <si>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</si>
  <si>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</si>
  <si>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</si>
  <si>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</si>
  <si>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</si>
  <si>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</si>
  <si>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</si>
  <si>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</si>
  <si>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</si>
  <si>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</si>
  <si>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</si>
  <si>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</si>
  <si>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</si>
  <si>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</si>
  <si>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</si>
  <si>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</si>
  <si>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</si>
  <si>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</si>
  <si>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</si>
  <si>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</si>
  <si>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</si>
  <si>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</si>
  <si>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</si>
  <si>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</si>
  <si>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</si>
  <si>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</si>
  <si>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</si>
  <si>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</si>
  <si>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</si>
  <si>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</si>
  <si>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</si>
  <si>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</si>
  <si>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</si>
  <si>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</si>
  <si>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</si>
  <si>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</si>
  <si>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</si>
  <si>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</si>
  <si>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</si>
  <si>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</si>
  <si>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</si>
  <si>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</si>
  <si>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</si>
  <si>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</si>
  <si>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</si>
  <si>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</si>
  <si>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</si>
  <si>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</si>
  <si>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</si>
  <si>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</si>
  <si>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</si>
  <si>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</si>
  <si>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</si>
  <si>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</si>
  <si>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</si>
  <si>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</si>
  <si>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</si>
  <si>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</si>
  <si>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</si>
  <si>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</si>
  <si>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</si>
  <si>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</si>
  <si>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</si>
  <si>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</si>
  <si>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</si>
  <si>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</si>
  <si>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</si>
  <si>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</si>
  <si>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</si>
  <si>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</si>
  <si>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</si>
  <si>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</si>
  <si>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</si>
  <si>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</si>
  <si>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</si>
  <si>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</si>
  <si>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</si>
  <si>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</si>
  <si>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</si>
  <si>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</si>
  <si>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</si>
  <si>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</si>
  <si>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</si>
  <si>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</si>
  <si>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</si>
  <si>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</si>
  <si>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</si>
  <si>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</si>
  <si>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</si>
  <si>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</si>
  <si>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</si>
  <si>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</si>
  <si>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</si>
  <si>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</si>
  <si>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</si>
  <si>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</si>
  <si>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</si>
  <si>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</si>
  <si>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</si>
  <si>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</si>
  <si>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</si>
  <si>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</si>
  <si>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</si>
  <si>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</si>
  <si>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</si>
  <si>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</si>
  <si>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</si>
  <si>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</si>
  <si>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</si>
  <si>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</si>
  <si>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</si>
  <si>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</si>
  <si>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</si>
  <si>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</si>
  <si>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</si>
  <si>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</si>
  <si>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</si>
  <si>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</si>
  <si>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</si>
  <si>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</si>
  <si>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</si>
  <si>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</si>
  <si>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</si>
  <si>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</si>
  <si>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</si>
  <si>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</si>
  <si>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</si>
  <si>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</si>
  <si>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</si>
  <si>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</si>
  <si>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</si>
  <si>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</si>
  <si>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</si>
  <si>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</si>
  <si>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</si>
  <si>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</si>
  <si>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</si>
  <si>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</si>
  <si>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</si>
  <si>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</si>
  <si>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</si>
  <si>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</si>
  <si>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</si>
  <si>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</si>
  <si>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</si>
  <si>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</si>
  <si>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</si>
  <si>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</si>
  <si>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</si>
  <si>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</si>
  <si>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</si>
  <si>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</si>
  <si>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</si>
  <si>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</si>
  <si>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</si>
  <si>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</si>
  <si>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</si>
  <si>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</si>
  <si>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</si>
  <si>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</si>
  <si>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</si>
  <si>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</si>
  <si>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</si>
  <si>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</si>
  <si>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</si>
  <si>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</si>
  <si>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</si>
  <si>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</si>
  <si>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</si>
  <si>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</si>
  <si>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</si>
  <si>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</si>
  <si>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</si>
  <si>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</si>
  <si>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</si>
  <si>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</si>
  <si>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</si>
  <si>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</si>
  <si>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</si>
  <si>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</si>
  <si>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</si>
  <si>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</si>
  <si>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</si>
  <si>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</si>
  <si>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</si>
  <si>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</si>
  <si>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</si>
  <si>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</si>
  <si>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</si>
  <si>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</si>
  <si>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</si>
  <si>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</si>
  <si>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</si>
  <si>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</si>
  <si>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</si>
  <si>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</si>
  <si>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</si>
  <si>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</si>
  <si>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</si>
  <si>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</si>
  <si>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</si>
  <si>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</si>
  <si>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</si>
  <si>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</si>
  <si>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</si>
  <si>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</si>
  <si>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</si>
  <si>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</si>
  <si>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</si>
  <si>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</si>
  <si>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</si>
  <si>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</si>
  <si>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</si>
  <si>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</si>
  <si>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</si>
  <si>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</si>
  <si>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</si>
  <si>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</si>
  <si>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</si>
  <si>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</si>
  <si>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</si>
  <si>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</si>
  <si>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</si>
  <si>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</si>
  <si>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</si>
  <si>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</si>
  <si>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</si>
  <si>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</si>
  <si>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</si>
  <si>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</si>
  <si>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</si>
  <si>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</si>
  <si>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</si>
  <si>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</si>
  <si>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</si>
  <si>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</si>
  <si>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</si>
  <si>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</si>
  <si>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</si>
  <si>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</si>
  <si>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</si>
  <si>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</si>
  <si>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</si>
  <si>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</si>
  <si>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</si>
  <si>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</si>
  <si>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</si>
  <si>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</si>
  <si>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</si>
  <si>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</si>
  <si>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</si>
  <si>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</si>
  <si>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</si>
  <si>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</si>
  <si>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</si>
  <si>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</si>
  <si>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</si>
  <si>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</si>
  <si>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</si>
  <si>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</si>
  <si>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</si>
  <si>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</si>
  <si>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</si>
  <si>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</si>
  <si>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</si>
  <si>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</si>
  <si>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</si>
  <si>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</si>
  <si>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</si>
  <si>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</si>
  <si>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</si>
  <si>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</si>
  <si>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</si>
  <si>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</si>
  <si>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</si>
  <si>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</si>
  <si>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</si>
  <si>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</si>
  <si>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</si>
  <si>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</si>
  <si>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</si>
  <si>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</si>
  <si>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</si>
  <si>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</si>
  <si>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</si>
  <si>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</si>
  <si>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</si>
  <si>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</si>
  <si>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</si>
  <si>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</si>
  <si>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</si>
  <si>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</si>
  <si>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</si>
  <si>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</si>
  <si>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</si>
  <si>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</si>
  <si>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</si>
  <si>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</si>
  <si>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</si>
  <si>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</si>
  <si>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</si>
  <si>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</si>
  <si>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</si>
  <si>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</si>
  <si>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</si>
  <si>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</si>
  <si>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</si>
  <si>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</si>
  <si>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</si>
  <si>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</si>
  <si>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</si>
  <si>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</si>
  <si>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</si>
  <si>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</si>
  <si>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</si>
  <si>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</si>
  <si>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</si>
  <si>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</si>
  <si>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</si>
  <si>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</si>
  <si>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</si>
  <si>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</si>
  <si>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</si>
  <si>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</si>
  <si>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</si>
  <si>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</si>
  <si>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</si>
  <si>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</si>
  <si>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</si>
  <si>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</si>
  <si>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</si>
  <si>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</si>
  <si>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</si>
  <si>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</si>
  <si>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</si>
  <si>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</si>
  <si>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</si>
  <si>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</si>
  <si>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</si>
  <si>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</si>
  <si>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</si>
  <si>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</si>
  <si>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</si>
  <si>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</si>
  <si>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</si>
  <si>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</si>
  <si>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</si>
  <si>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</si>
  <si>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</si>
  <si>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</si>
  <si>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</si>
  <si>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</si>
  <si>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</si>
  <si>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</si>
  <si>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</si>
  <si>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</si>
  <si>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</si>
  <si>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</si>
  <si>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</si>
  <si>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</si>
  <si>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</si>
  <si>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</si>
  <si>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</si>
  <si>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</si>
  <si>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</si>
  <si>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</si>
  <si>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</si>
  <si>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</si>
  <si>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</si>
  <si>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</si>
  <si>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</si>
  <si>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</si>
  <si>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</si>
  <si>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</si>
  <si>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</si>
  <si>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</si>
  <si>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</si>
  <si>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</si>
  <si>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</si>
  <si>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</si>
  <si>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</si>
  <si>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</si>
  <si>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</si>
  <si>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</si>
  <si>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</si>
  <si>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</si>
  <si>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</si>
  <si>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</si>
  <si>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</si>
  <si>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</si>
  <si>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</si>
  <si>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</si>
  <si>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</si>
  <si>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</si>
  <si>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</si>
  <si>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</si>
  <si>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</si>
  <si>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</si>
  <si>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</si>
  <si>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</si>
  <si>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</si>
  <si>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</si>
  <si>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</si>
  <si>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</si>
  <si>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</si>
  <si>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</si>
  <si>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</si>
  <si>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</si>
  <si>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</si>
  <si>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</si>
  <si>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</si>
  <si>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</si>
  <si>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</si>
  <si>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</si>
  <si>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</si>
  <si>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</si>
  <si>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</si>
  <si>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</si>
  <si>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</si>
  <si>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</si>
  <si>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</si>
  <si>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</si>
  <si>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</si>
  <si>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</si>
  <si>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</si>
  <si>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</si>
  <si>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</si>
  <si>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</si>
  <si>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</si>
  <si>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</si>
  <si>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</si>
  <si>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</si>
  <si>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</si>
  <si>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</si>
  <si>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</si>
  <si>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</si>
  <si>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</si>
  <si>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</si>
  <si>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</si>
  <si>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</si>
  <si>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</si>
  <si>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</si>
  <si>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</si>
  <si>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</si>
  <si>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</si>
  <si>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</si>
  <si>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</si>
  <si>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</si>
  <si>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</si>
  <si>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</si>
  <si>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</si>
  <si>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</si>
  <si>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</si>
  <si>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</si>
  <si>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</si>
  <si>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</si>
  <si>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</si>
  <si>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</si>
  <si>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</si>
  <si>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</si>
  <si>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</si>
  <si>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</si>
  <si>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</si>
  <si>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</si>
  <si>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</si>
  <si>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</si>
  <si>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</si>
  <si>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</si>
  <si>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</si>
  <si>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</si>
  <si>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</si>
  <si>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</si>
  <si>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</si>
  <si>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</si>
  <si>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</si>
  <si>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</si>
  <si>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</si>
  <si>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</si>
  <si>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</si>
  <si>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</si>
  <si>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</si>
  <si>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</si>
  <si>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</si>
  <si>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</si>
  <si>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</si>
  <si>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</si>
  <si>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</si>
  <si>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</si>
  <si>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</si>
  <si>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</si>
  <si>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</si>
  <si>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</si>
  <si>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</si>
  <si>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</si>
  <si>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</si>
  <si>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</si>
  <si>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</si>
  <si>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</si>
  <si>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</si>
  <si>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</si>
  <si>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</si>
  <si>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</si>
  <si>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</si>
  <si>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</si>
  <si>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</si>
  <si>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</si>
  <si>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</si>
  <si>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</si>
  <si>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</si>
  <si>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</si>
  <si>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</si>
  <si>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</si>
  <si>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</si>
  <si>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</si>
  <si>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</si>
  <si>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</si>
  <si>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</si>
  <si>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</si>
  <si>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</si>
  <si>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</si>
  <si>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</si>
  <si>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</si>
  <si>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</si>
  <si>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</si>
  <si>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</si>
  <si>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</si>
  <si>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</si>
  <si>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</si>
  <si>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</si>
  <si>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</si>
  <si>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</si>
  <si>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</si>
  <si>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</si>
  <si>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</si>
  <si>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</si>
  <si>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</si>
  <si>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</si>
  <si>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</si>
  <si>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</si>
  <si>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</si>
  <si>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</si>
  <si>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</si>
  <si>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</si>
  <si>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</si>
  <si>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</si>
  <si>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</si>
  <si>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</si>
  <si>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</si>
  <si>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</si>
  <si>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</si>
  <si>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</si>
  <si>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</si>
  <si>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</si>
  <si>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</si>
  <si>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</si>
  <si>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</si>
  <si>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</si>
  <si>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</si>
  <si>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</si>
  <si>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</si>
  <si>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</si>
  <si>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</si>
  <si>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</si>
  <si>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</si>
  <si>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</si>
  <si>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</si>
  <si>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</si>
  <si>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</si>
  <si>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</si>
  <si>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</si>
  <si>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</si>
  <si>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</si>
  <si>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</si>
  <si>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</si>
  <si>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</si>
  <si>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</si>
  <si>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</si>
  <si>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</si>
  <si>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</si>
  <si>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</si>
  <si>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</si>
  <si>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</si>
  <si>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</si>
  <si>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</si>
  <si>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</si>
  <si>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</si>
  <si>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</si>
  <si>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</si>
  <si>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</si>
  <si>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</si>
  <si>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</si>
  <si>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</si>
  <si>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</si>
  <si>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</si>
  <si>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</si>
  <si>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</si>
  <si>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</si>
  <si>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</si>
  <si>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</si>
  <si>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</si>
  <si>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</si>
  <si>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</si>
  <si>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</si>
  <si>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</si>
  <si>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</si>
  <si>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</si>
  <si>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</si>
  <si>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</si>
  <si>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</si>
  <si>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</si>
  <si>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</si>
  <si>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</si>
  <si>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</si>
  <si>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</si>
  <si>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</si>
  <si>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</si>
  <si>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</si>
  <si>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</si>
  <si>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</si>
  <si>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</si>
  <si>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</si>
  <si>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</si>
  <si>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</si>
  <si>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</si>
  <si>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</si>
  <si>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</si>
  <si>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</si>
  <si>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</si>
  <si>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</si>
  <si>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</si>
  <si>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</si>
  <si>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</si>
  <si>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</si>
  <si>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</si>
  <si>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</si>
  <si>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</si>
  <si>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</si>
  <si>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</si>
  <si>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</si>
  <si>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</si>
  <si>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</si>
  <si>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</si>
  <si>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</si>
  <si>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</si>
  <si>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</si>
  <si>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</si>
  <si>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</si>
  <si>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</si>
  <si>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</si>
  <si>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</si>
  <si>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</si>
  <si>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</si>
  <si>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</si>
  <si>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</si>
  <si>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</si>
  <si>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</si>
  <si>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</si>
  <si>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</si>
  <si>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</si>
  <si>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</si>
  <si>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</si>
  <si>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</si>
  <si>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</si>
  <si>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</si>
  <si>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</si>
  <si>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</si>
  <si>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</si>
  <si>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</si>
  <si>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</si>
  <si>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</si>
  <si>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</si>
  <si>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</si>
  <si>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</si>
  <si>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</si>
  <si>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</si>
  <si>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</si>
  <si>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</si>
  <si>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</si>
  <si>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</si>
  <si>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</si>
  <si>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</si>
  <si>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</si>
  <si>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</si>
  <si>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</si>
  <si>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</si>
  <si>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</si>
  <si>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</si>
  <si>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</si>
  <si>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</si>
  <si>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</si>
  <si>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</si>
  <si>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</si>
  <si>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</si>
  <si>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</si>
  <si>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</si>
  <si>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</si>
  <si>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</si>
  <si>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</si>
  <si>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</si>
  <si>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</si>
  <si>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</si>
  <si>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</si>
  <si>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</si>
  <si>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</si>
  <si>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</si>
  <si>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</si>
  <si>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</si>
  <si>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</si>
  <si>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</si>
  <si>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</si>
  <si>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</si>
  <si>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</si>
  <si>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</si>
  <si>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</si>
  <si>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</si>
  <si>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</si>
  <si>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</si>
  <si>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</si>
  <si>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</si>
  <si>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</si>
  <si>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</si>
  <si>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</si>
  <si>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</si>
  <si>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</si>
  <si>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</si>
  <si>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</si>
  <si>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</si>
  <si>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</si>
  <si>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</si>
  <si>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</si>
  <si>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</si>
  <si>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</si>
  <si>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</si>
  <si>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</si>
  <si>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</si>
  <si>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</si>
  <si>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</si>
  <si>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</si>
  <si>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</si>
  <si>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</si>
  <si>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</si>
  <si>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</si>
  <si>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</si>
  <si>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</si>
  <si>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</si>
  <si>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</si>
  <si>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</si>
  <si>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</si>
  <si>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</si>
  <si>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</si>
  <si>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</si>
  <si>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</si>
  <si>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</si>
  <si>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</si>
  <si>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</si>
  <si>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</si>
  <si>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</si>
  <si>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</si>
  <si>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</si>
  <si>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</si>
  <si>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</si>
  <si>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</si>
  <si>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</si>
  <si>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</si>
  <si>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</si>
  <si>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</si>
  <si>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</si>
  <si>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</si>
  <si>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</si>
  <si>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</si>
  <si>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</si>
  <si>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</si>
  <si>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</si>
  <si>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</si>
  <si>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</si>
  <si>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</si>
  <si>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</si>
  <si>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</si>
  <si>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</si>
  <si>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</si>
  <si>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</si>
  <si>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</si>
  <si>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</si>
  <si>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</si>
  <si>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</si>
  <si>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</si>
  <si>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</si>
  <si>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</si>
  <si>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</si>
  <si>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</si>
  <si>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</si>
  <si>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</si>
  <si>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</si>
  <si>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</si>
  <si>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</si>
  <si>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</si>
  <si>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</si>
  <si>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</si>
  <si>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</si>
  <si>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</si>
  <si>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</si>
  <si>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</si>
  <si>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</si>
  <si>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</si>
  <si>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</si>
  <si>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</si>
  <si>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</si>
  <si>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</si>
  <si>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</si>
  <si>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</si>
  <si>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</si>
  <si>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</si>
  <si>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</si>
  <si>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</si>
  <si>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</si>
  <si>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</si>
  <si>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</si>
  <si>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</si>
  <si>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</si>
  <si>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</si>
  <si>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</si>
  <si>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</si>
  <si>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</si>
  <si>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</si>
  <si>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</si>
  <si>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</si>
  <si>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</si>
  <si>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</si>
  <si>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</si>
  <si>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</si>
  <si>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</si>
  <si>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</si>
  <si>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</si>
  <si>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</si>
  <si>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</si>
  <si>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</si>
  <si>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</si>
  <si>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</si>
  <si>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</si>
  <si>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</si>
  <si>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</si>
  <si>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</si>
  <si>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</si>
  <si>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</si>
  <si>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</si>
  <si>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</si>
  <si>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</si>
  <si>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</si>
  <si>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</si>
  <si>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</si>
  <si>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</si>
  <si>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</si>
  <si>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</si>
  <si>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</si>
  <si>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</si>
  <si>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</si>
  <si>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</si>
  <si>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</si>
  <si>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</si>
  <si>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</si>
  <si>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</si>
  <si>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</si>
  <si>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</si>
  <si>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</si>
  <si>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</si>
  <si>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</si>
  <si>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</si>
  <si>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</si>
  <si>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</si>
  <si>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</si>
  <si>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</si>
  <si>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</si>
  <si>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</si>
  <si>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</si>
  <si>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</si>
  <si>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</si>
  <si>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</si>
  <si>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</si>
  <si>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</si>
  <si>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</si>
  <si>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</si>
  <si>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</si>
  <si>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</si>
  <si>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</si>
  <si>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</si>
  <si>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</si>
  <si>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</si>
  <si>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</si>
  <si>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</si>
  <si>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</si>
  <si>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</si>
  <si>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</si>
  <si>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</si>
  <si>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</si>
  <si>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</si>
  <si>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</si>
  <si>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</si>
  <si>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</si>
  <si>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</si>
  <si>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</si>
  <si>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</si>
  <si>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</si>
  <si>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</si>
  <si>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</si>
  <si>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</si>
  <si>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</si>
  <si>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</si>
  <si>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</si>
  <si>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</si>
  <si>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</si>
  <si>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</si>
  <si>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</si>
  <si>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</si>
  <si>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</si>
  <si>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</si>
  <si>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</si>
  <si>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</si>
  <si>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</si>
  <si>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</si>
  <si>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</si>
  <si>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</si>
  <si>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</si>
  <si>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</si>
  <si>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</si>
  <si>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</si>
  <si>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</si>
  <si>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</si>
  <si>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</si>
  <si>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</si>
  <si>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</si>
  <si>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</si>
  <si>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</si>
  <si>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</si>
  <si>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</si>
  <si>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</si>
  <si>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</si>
  <si>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</si>
  <si>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</si>
  <si>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</si>
  <si>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</si>
  <si>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</si>
  <si>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</si>
  <si>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</si>
  <si>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</si>
  <si>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</si>
  <si>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</si>
  <si>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</si>
  <si>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</si>
  <si>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</si>
  <si>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</si>
  <si>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</si>
  <si>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</si>
  <si>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</si>
  <si>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</si>
  <si>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</si>
  <si>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</si>
  <si>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</si>
  <si>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</si>
  <si>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</si>
  <si>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</si>
  <si>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</si>
  <si>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</si>
  <si>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</si>
  <si>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</si>
  <si>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</si>
  <si>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</si>
  <si>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</si>
  <si>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</si>
  <si>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</si>
  <si>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</si>
  <si>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</si>
  <si>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</si>
  <si>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</si>
  <si>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</si>
  <si>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</si>
  <si>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</si>
  <si>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</si>
  <si>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</si>
  <si>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</si>
  <si>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</si>
  <si>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</si>
  <si>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</si>
  <si>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</si>
  <si>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</si>
  <si>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</si>
  <si>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</si>
  <si>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</si>
  <si>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</si>
  <si>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</si>
  <si>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</si>
  <si>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</si>
  <si>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</si>
  <si>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</si>
  <si>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</si>
  <si>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</si>
  <si>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</si>
  <si>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</si>
  <si>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</si>
  <si>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</si>
  <si>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</si>
  <si>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</si>
  <si>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</si>
  <si>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</si>
  <si>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</si>
  <si>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</si>
  <si>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</si>
  <si>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</si>
  <si>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</si>
  <si>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</si>
  <si>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</si>
  <si>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</si>
  <si>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</si>
  <si>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</si>
  <si>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</si>
  <si>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</si>
  <si>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</si>
  <si>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</si>
  <si>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</si>
  <si>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</si>
  <si>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</si>
  <si>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</si>
  <si>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</si>
  <si>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</si>
  <si>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</si>
  <si>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</si>
  <si>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</si>
  <si>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</si>
  <si>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</si>
  <si>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</si>
  <si>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</si>
  <si>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</si>
  <si>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</si>
  <si>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</si>
  <si>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</si>
  <si>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</si>
  <si>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</si>
  <si>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</si>
  <si>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</si>
  <si>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</si>
  <si>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</si>
  <si>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</si>
  <si>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</si>
  <si>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</si>
  <si>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</si>
  <si>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</si>
  <si>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</si>
  <si>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</si>
  <si>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</si>
  <si>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</si>
  <si>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</si>
  <si>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</si>
  <si>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</si>
  <si>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</si>
  <si>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</si>
  <si>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</si>
  <si>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</si>
  <si>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</si>
  <si>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</si>
  <si>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</si>
  <si>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</si>
  <si>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</si>
  <si>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</si>
  <si>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</si>
  <si>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</si>
  <si>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</si>
  <si>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</si>
  <si>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</si>
  <si>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</si>
  <si>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</si>
  <si>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</si>
  <si>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</si>
  <si>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</si>
  <si>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</si>
  <si>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</si>
  <si>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</si>
  <si>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</si>
  <si>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</si>
  <si>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</si>
  <si>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</si>
  <si>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</si>
  <si>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</si>
  <si>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</si>
  <si>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</si>
  <si>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</si>
  <si>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</si>
  <si>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</si>
  <si>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</si>
  <si>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</si>
  <si>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</si>
  <si>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</si>
  <si>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</si>
  <si>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</si>
  <si>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</si>
  <si>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</si>
  <si>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</si>
  <si>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</si>
  <si>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</si>
  <si>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</si>
  <si>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</si>
  <si>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</si>
  <si>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</si>
  <si>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</si>
  <si>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</si>
  <si>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</si>
  <si>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</si>
  <si>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</si>
  <si>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</si>
  <si>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</si>
  <si>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</si>
  <si>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</si>
  <si>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</si>
  <si>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</si>
  <si>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</si>
  <si>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</si>
  <si>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</si>
  <si>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</si>
  <si>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</si>
  <si>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</si>
  <si>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</si>
  <si>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</si>
  <si>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</si>
  <si>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</si>
  <si>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</si>
  <si>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</si>
  <si>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</si>
  <si>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</si>
  <si>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</si>
  <si>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</si>
  <si>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</si>
  <si>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</si>
  <si>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</si>
  <si>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</si>
  <si>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</si>
  <si>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</si>
  <si>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</si>
  <si>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</si>
  <si>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</si>
  <si>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</si>
  <si>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</si>
  <si>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</si>
  <si>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</si>
  <si>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</si>
  <si>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</si>
  <si>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</si>
  <si>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</si>
  <si>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</si>
  <si>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</si>
  <si>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</si>
  <si>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</si>
  <si>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</si>
  <si>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</si>
  <si>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</si>
  <si>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</si>
  <si>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</si>
  <si>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</si>
  <si>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</si>
  <si>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</si>
  <si>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</si>
  <si>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</si>
  <si>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</si>
  <si>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</si>
  <si>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</si>
  <si>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</si>
  <si>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</si>
  <si>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</si>
  <si>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</si>
  <si>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</si>
  <si>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</si>
  <si>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</si>
  <si>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</si>
  <si>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</si>
  <si>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</si>
  <si>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</si>
  <si>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</si>
  <si>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</si>
  <si>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</si>
  <si>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</si>
  <si>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</si>
  <si>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</si>
  <si>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</si>
  <si>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</si>
  <si>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</si>
  <si>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</si>
  <si>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</si>
  <si>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</si>
  <si>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</si>
  <si>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</si>
  <si>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</si>
  <si>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</si>
  <si>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</si>
  <si>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</si>
  <si>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</si>
  <si>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</si>
  <si>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</si>
  <si>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</si>
  <si>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</si>
  <si>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</si>
  <si>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</si>
  <si>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</si>
  <si>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</si>
  <si>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</si>
  <si>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</si>
  <si>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</si>
  <si>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</si>
  <si>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</si>
  <si>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</si>
  <si>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</si>
  <si>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</si>
  <si>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</si>
  <si>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</si>
  <si>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</si>
  <si>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</si>
  <si>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</si>
  <si>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</si>
  <si>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</si>
  <si>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</si>
  <si>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</si>
  <si>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</si>
  <si>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</si>
  <si>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</si>
  <si>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</si>
  <si>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</si>
  <si>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</si>
  <si>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</si>
  <si>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</si>
  <si>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</si>
  <si>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</si>
  <si>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</si>
  <si>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</si>
  <si>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</si>
  <si>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</si>
  <si>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</si>
  <si>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</si>
  <si>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</si>
  <si>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</si>
  <si>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</si>
  <si>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</si>
  <si>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</si>
  <si>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</si>
  <si>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</si>
  <si>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</si>
  <si>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</si>
  <si>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</si>
  <si>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</si>
  <si>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</si>
  <si>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</si>
  <si>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</si>
  <si>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</si>
  <si>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</si>
  <si>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</si>
  <si>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</si>
  <si>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</si>
  <si>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</si>
  <si>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</si>
  <si>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</si>
  <si>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</si>
  <si>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</si>
  <si>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</si>
  <si>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</si>
  <si>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</si>
  <si>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</si>
  <si>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</si>
  <si>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</si>
  <si>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</si>
  <si>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</si>
  <si>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</si>
  <si>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</si>
  <si>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</si>
  <si>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</si>
  <si>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</si>
  <si>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</si>
  <si>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</si>
  <si>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</si>
  <si>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</si>
  <si>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</si>
  <si>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</si>
  <si>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</si>
  <si>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</si>
  <si>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</si>
  <si>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</si>
  <si>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</si>
  <si>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</si>
  <si>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</si>
  <si>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</si>
  <si>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</si>
  <si>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</si>
  <si>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</si>
  <si>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</si>
  <si>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</si>
  <si>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</si>
  <si>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</si>
  <si>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</si>
  <si>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</si>
  <si>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</si>
  <si>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</si>
  <si>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</si>
  <si>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</si>
  <si>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</si>
  <si>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</si>
  <si>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</si>
  <si>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</si>
  <si>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</si>
  <si>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</si>
  <si>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</si>
  <si>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</si>
  <si>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</si>
  <si>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</si>
  <si>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</si>
  <si>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</si>
  <si>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</si>
  <si>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</si>
  <si>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</si>
  <si>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</si>
  <si>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</si>
  <si>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</si>
  <si>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</si>
  <si>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</si>
  <si>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</si>
  <si>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</si>
  <si>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</si>
  <si>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</si>
  <si>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</si>
  <si>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</si>
  <si>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</si>
  <si>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</si>
  <si>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</si>
  <si>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</si>
  <si>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</si>
  <si>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</si>
  <si>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</si>
  <si>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</si>
  <si>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</si>
  <si>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</si>
  <si>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</si>
  <si>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</si>
  <si>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</si>
  <si>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</si>
  <si>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</si>
  <si>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</si>
  <si>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</si>
  <si>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</si>
  <si>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</si>
  <si>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</si>
  <si>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</si>
  <si>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</si>
  <si>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</si>
  <si>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</si>
  <si>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</si>
  <si>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</si>
  <si>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</si>
  <si>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</si>
  <si>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</si>
  <si>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</si>
  <si>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</si>
  <si>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</si>
  <si>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</si>
  <si>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</si>
  <si>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</si>
  <si>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</si>
  <si>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</si>
  <si>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</si>
  <si>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</si>
  <si>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</si>
  <si>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</si>
  <si>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</si>
  <si>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</si>
  <si>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</si>
  <si>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</si>
  <si>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</si>
  <si>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</si>
  <si>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</si>
  <si>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</si>
  <si>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</si>
  <si>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</si>
  <si>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</si>
  <si>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</si>
  <si>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</si>
  <si>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</si>
  <si>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</si>
  <si>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</si>
  <si>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</si>
  <si>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</si>
  <si>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</si>
  <si>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</si>
  <si>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</si>
  <si>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</si>
  <si>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</si>
  <si>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</si>
  <si>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</si>
  <si>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</si>
  <si>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</si>
  <si>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</si>
  <si>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</si>
  <si>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</si>
  <si>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</si>
  <si>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</si>
  <si>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</si>
  <si>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</si>
  <si>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</si>
  <si>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</si>
  <si>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</si>
  <si>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</si>
  <si>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</si>
  <si>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</si>
  <si>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</si>
  <si>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</si>
  <si>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</si>
  <si>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</si>
  <si>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</si>
  <si>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</si>
  <si>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</si>
  <si>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</si>
  <si>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</si>
  <si>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</si>
  <si>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</si>
  <si>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</si>
  <si>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</si>
  <si>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</si>
  <si>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</si>
  <si>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</si>
  <si>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</si>
  <si>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</si>
  <si>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</si>
  <si>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</si>
  <si>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</si>
  <si>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</si>
  <si>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</si>
  <si>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</si>
  <si>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</si>
  <si>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</si>
  <si>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</si>
  <si>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</si>
  <si>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</si>
  <si>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</si>
  <si>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</si>
  <si>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</si>
  <si>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</si>
  <si>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</si>
  <si>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</si>
  <si>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</si>
  <si>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</si>
  <si>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</si>
  <si>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</si>
  <si>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</si>
  <si>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</si>
  <si>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</si>
  <si>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</si>
  <si>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</si>
  <si>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</si>
  <si>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</si>
  <si>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</si>
  <si>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</si>
  <si>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</si>
  <si>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</si>
  <si>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</si>
  <si>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</si>
  <si>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</si>
  <si>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</si>
  <si>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</si>
  <si>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</si>
  <si>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</si>
  <si>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</si>
  <si>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</si>
  <si>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</si>
  <si>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</si>
  <si>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</si>
  <si>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</si>
  <si>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</si>
  <si>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</si>
  <si>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</si>
  <si>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</si>
  <si>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</si>
  <si>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</si>
  <si>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</si>
  <si>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</si>
  <si>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</si>
  <si>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</si>
  <si>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</si>
  <si>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</si>
  <si>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</si>
  <si>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</si>
  <si>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</si>
  <si>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</si>
  <si>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</si>
  <si>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</si>
  <si>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</si>
  <si>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</si>
  <si>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</si>
  <si>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</si>
  <si>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</si>
  <si>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</si>
  <si>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</si>
  <si>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</si>
  <si>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</si>
  <si>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</si>
  <si>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</si>
  <si>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</si>
  <si>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</si>
  <si>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</si>
  <si>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</si>
  <si>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</si>
  <si>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</si>
  <si>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</si>
  <si>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</si>
  <si>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</si>
  <si>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</si>
  <si>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</si>
  <si>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</si>
  <si>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</si>
  <si>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</si>
  <si>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</si>
  <si>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</si>
  <si>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</si>
  <si>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</si>
  <si>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</si>
  <si>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</si>
  <si>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</si>
  <si>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</si>
  <si>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</si>
  <si>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</si>
  <si>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</si>
  <si>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</si>
  <si>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</si>
  <si>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</si>
  <si>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</si>
  <si>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</si>
  <si>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</si>
  <si>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</si>
  <si>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</si>
  <si>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</si>
  <si>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</si>
  <si>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</si>
  <si>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</si>
  <si>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</si>
  <si>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</si>
  <si>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</si>
  <si>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</si>
  <si>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</si>
  <si>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</si>
  <si>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</si>
  <si>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</si>
  <si>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</si>
  <si>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</si>
  <si>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</si>
  <si>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</si>
  <si>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</si>
  <si>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</si>
  <si>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</si>
  <si>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</si>
  <si>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</si>
  <si>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</si>
  <si>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</si>
  <si>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</si>
  <si>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</si>
  <si>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</si>
  <si>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</si>
  <si>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</si>
  <si>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</si>
  <si>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</si>
  <si>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</si>
  <si>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</si>
  <si>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</si>
  <si>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</si>
  <si>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</si>
  <si>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</si>
  <si>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</si>
  <si>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</si>
  <si>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</si>
  <si>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</si>
  <si>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</si>
  <si>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</si>
  <si>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</si>
  <si>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</si>
  <si>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</si>
  <si>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</si>
  <si>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</si>
  <si>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</si>
  <si>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</si>
  <si>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</si>
  <si>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</si>
  <si>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</si>
  <si>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</si>
  <si>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</si>
  <si>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</si>
  <si>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</si>
  <si>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</si>
  <si>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</si>
  <si>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</si>
  <si>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</si>
  <si>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</si>
  <si>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</si>
  <si>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</si>
  <si>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</si>
  <si>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</si>
  <si>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</si>
  <si>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</si>
  <si>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</si>
  <si>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</si>
  <si>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</si>
  <si>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</si>
  <si>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</si>
  <si>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</si>
  <si>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</si>
  <si>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</si>
  <si>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</si>
  <si>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</si>
  <si>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</si>
  <si>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</si>
  <si>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</si>
  <si>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</si>
  <si>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</si>
  <si>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</si>
  <si>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</si>
  <si>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</si>
  <si>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</si>
  <si>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</si>
  <si>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</si>
  <si>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</si>
  <si>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</si>
  <si>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</si>
  <si>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</si>
  <si>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</si>
  <si>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</si>
  <si>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</si>
  <si>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</si>
  <si>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</si>
  <si>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</si>
  <si>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</si>
  <si>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</si>
  <si>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</si>
  <si>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</si>
  <si>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</si>
  <si>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</si>
  <si>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</si>
  <si>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</si>
  <si>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</si>
  <si>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</si>
  <si>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</si>
  <si>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</si>
  <si>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</si>
  <si>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</si>
  <si>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</si>
  <si>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</si>
  <si>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</si>
  <si>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</si>
  <si>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</si>
  <si>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</si>
  <si>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</si>
  <si>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</si>
  <si>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</si>
  <si>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</si>
  <si>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</si>
  <si>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</si>
  <si>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</si>
  <si>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</si>
  <si>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</si>
  <si>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</si>
  <si>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</si>
  <si>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</si>
  <si>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</si>
  <si>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</si>
  <si>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</si>
  <si>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</si>
  <si>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</si>
  <si>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</si>
  <si>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</si>
  <si>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</si>
  <si>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</si>
  <si>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</si>
  <si>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</si>
  <si>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</si>
  <si>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</si>
  <si>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</si>
  <si>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</si>
  <si>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</si>
  <si>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</si>
  <si>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</si>
  <si>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</si>
  <si>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</si>
  <si>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</si>
  <si>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</si>
  <si>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</si>
  <si>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</si>
  <si>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</si>
  <si>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</si>
  <si>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</si>
  <si>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</si>
  <si>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</si>
  <si>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</si>
  <si>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</si>
  <si>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</si>
  <si>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</si>
  <si>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</si>
  <si>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</si>
  <si>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</si>
  <si>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</si>
  <si>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</si>
  <si>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</si>
  <si>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</si>
  <si>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</si>
  <si>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</si>
  <si>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</si>
  <si>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</si>
  <si>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</si>
  <si>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</si>
  <si>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</si>
  <si>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</si>
  <si>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</si>
  <si>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</si>
  <si>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</si>
  <si>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</si>
  <si>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</si>
  <si>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</si>
  <si>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</si>
  <si>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</si>
  <si>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</si>
  <si>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</si>
  <si>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</si>
  <si>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</si>
  <si>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</si>
  <si>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</si>
  <si>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</si>
  <si>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</si>
  <si>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</si>
  <si>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</si>
  <si>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</si>
  <si>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</si>
  <si>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</si>
  <si>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</si>
  <si>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</si>
  <si>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</si>
  <si>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</si>
  <si>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</si>
  <si>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</si>
  <si>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</si>
  <si>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</si>
  <si>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</si>
  <si>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</si>
  <si>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</si>
  <si>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</si>
  <si>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</si>
  <si>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</si>
  <si>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</si>
  <si>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</si>
  <si>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</si>
  <si>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</si>
  <si>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</si>
  <si>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</si>
  <si>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</si>
  <si>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</si>
  <si>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</si>
  <si>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</si>
  <si>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</si>
  <si>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</si>
  <si>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</si>
  <si>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</si>
  <si>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</si>
  <si>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</si>
  <si>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</si>
  <si>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</si>
  <si>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</si>
  <si>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</si>
  <si>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</si>
  <si>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</si>
  <si>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</si>
  <si>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</si>
  <si>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</si>
  <si>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</si>
  <si>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</si>
  <si>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</si>
  <si>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</si>
  <si>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</si>
  <si>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</si>
  <si>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</si>
  <si>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</si>
  <si>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</si>
  <si>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</si>
  <si>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</si>
  <si>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</si>
  <si>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</si>
  <si>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</si>
  <si>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</si>
  <si>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</si>
  <si>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</si>
  <si>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</si>
  <si>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</si>
  <si>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</si>
  <si>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</si>
  <si>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</si>
  <si>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</si>
  <si>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</si>
  <si>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</si>
  <si>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</si>
  <si>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</si>
  <si>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</si>
  <si>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</si>
  <si>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</si>
  <si>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</si>
  <si>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</si>
  <si>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</si>
  <si>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</si>
  <si>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</si>
  <si>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</si>
  <si>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</si>
  <si>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</si>
  <si>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</si>
  <si>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</si>
  <si>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</si>
  <si>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</si>
  <si>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</si>
  <si>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</si>
  <si>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</si>
  <si>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</si>
  <si>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</si>
  <si>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</si>
  <si>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</si>
  <si>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</si>
  <si>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</si>
  <si>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</si>
  <si>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</si>
  <si>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</si>
  <si>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</si>
  <si>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</si>
  <si>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</si>
  <si>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</si>
  <si>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</si>
  <si>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</si>
  <si>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</si>
  <si>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</si>
  <si>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</si>
  <si>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</si>
  <si>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</si>
  <si>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</si>
  <si>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</si>
  <si>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</si>
  <si>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</si>
  <si>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</si>
  <si>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</si>
  <si>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</si>
  <si>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</si>
  <si>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</si>
  <si>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</si>
  <si>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</si>
  <si>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</si>
  <si>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</si>
  <si>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</si>
  <si>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</si>
  <si>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</si>
  <si>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</si>
  <si>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</si>
  <si>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</si>
  <si>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</si>
  <si>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</si>
  <si>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</si>
  <si>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</si>
  <si>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</si>
  <si>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</si>
  <si>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</si>
  <si>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</si>
  <si>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</si>
  <si>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</si>
  <si>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</si>
  <si>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</si>
  <si>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</si>
  <si>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</si>
  <si>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</si>
  <si>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</si>
  <si>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</si>
  <si>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</si>
  <si>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</si>
  <si>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</si>
  <si>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</si>
  <si>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</si>
  <si>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</si>
  <si>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</si>
  <si>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</si>
  <si>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</si>
  <si>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</si>
  <si>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</si>
  <si>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</si>
  <si>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</si>
  <si>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</si>
  <si>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</si>
  <si>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</si>
  <si>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</si>
  <si>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</si>
  <si>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</si>
  <si>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</si>
  <si>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</si>
  <si>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</si>
  <si>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</si>
  <si>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</si>
  <si>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</si>
  <si>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</si>
  <si>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</si>
  <si>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</si>
  <si>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</si>
  <si>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</si>
  <si>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</si>
  <si>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</si>
  <si>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</si>
  <si>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</si>
  <si>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</si>
  <si>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</si>
  <si>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</si>
  <si>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</si>
  <si>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</si>
  <si>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</si>
  <si>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</si>
  <si>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</si>
  <si>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</si>
  <si>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</si>
  <si>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</si>
  <si>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</si>
  <si>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</si>
  <si>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</si>
  <si>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</si>
  <si>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</si>
  <si>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</si>
  <si>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</si>
  <si>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</si>
  <si>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</si>
  <si>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</si>
  <si>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</si>
  <si>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</si>
  <si>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</si>
  <si>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</si>
  <si>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</si>
  <si>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</si>
  <si>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</si>
  <si>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</si>
  <si>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</si>
  <si>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</si>
  <si>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</si>
  <si>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</si>
  <si>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</si>
  <si>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</si>
  <si>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</si>
  <si>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</si>
  <si>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</si>
  <si>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</si>
  <si>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</si>
  <si>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</si>
  <si>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</si>
  <si>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</si>
  <si>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</si>
  <si>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</si>
  <si>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</si>
  <si>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</si>
  <si>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</si>
  <si>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</si>
  <si>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</si>
  <si>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</si>
  <si>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</si>
  <si>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</si>
  <si>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</si>
  <si>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</si>
  <si>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</si>
  <si>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</si>
  <si>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</si>
  <si>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</si>
  <si>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</si>
  <si>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</si>
  <si>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</si>
  <si>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</si>
  <si>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</si>
  <si>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</si>
  <si>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</si>
  <si>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</si>
  <si>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</si>
  <si>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</si>
  <si>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</si>
  <si>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</si>
  <si>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</si>
  <si>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</si>
  <si>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</si>
  <si>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</si>
  <si>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</si>
  <si>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</si>
  <si>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</si>
  <si>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</si>
  <si>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</si>
  <si>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</si>
  <si>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</si>
  <si>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</si>
  <si>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</si>
  <si>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</si>
  <si>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</si>
  <si>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</si>
  <si>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</si>
  <si>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</si>
  <si>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</si>
  <si>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</si>
  <si>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</si>
  <si>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</si>
  <si>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</si>
  <si>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</si>
  <si>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</si>
  <si>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</si>
  <si>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</si>
  <si>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</si>
  <si>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</si>
  <si>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</si>
  <si>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</si>
  <si>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</si>
  <si>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</si>
  <si>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</si>
  <si>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</si>
  <si>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</si>
  <si>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</si>
  <si>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</si>
  <si>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</si>
  <si>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</si>
  <si>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</si>
  <si>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</si>
  <si>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</si>
  <si>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</si>
  <si>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</si>
  <si>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</si>
  <si>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</si>
  <si>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</si>
  <si>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</si>
  <si>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</si>
  <si>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</si>
  <si>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</si>
  <si>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</si>
  <si>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</si>
  <si>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</si>
  <si>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</si>
  <si>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</si>
  <si>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</si>
  <si>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</si>
  <si>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</si>
  <si>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</si>
  <si>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</si>
  <si>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</si>
  <si>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</si>
  <si>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</si>
  <si>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</si>
  <si>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</si>
  <si>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</si>
  <si>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</si>
  <si>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</si>
  <si>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</si>
  <si>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</si>
  <si>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</si>
  <si>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</si>
  <si>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</si>
  <si>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</si>
  <si>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</si>
  <si>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</si>
  <si>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</si>
  <si>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</si>
  <si>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</si>
  <si>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</si>
  <si>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</si>
  <si>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</si>
  <si>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</si>
  <si>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</si>
  <si>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</si>
  <si>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</si>
  <si>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</si>
  <si>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</si>
  <si>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</si>
  <si>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</si>
  <si>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</si>
  <si>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</si>
  <si>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</si>
  <si>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</si>
  <si>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</si>
  <si>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</si>
  <si>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</si>
  <si>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</si>
  <si>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</si>
  <si>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</si>
  <si>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</si>
  <si>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</si>
  <si>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</si>
  <si>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</si>
  <si>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</si>
  <si>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</si>
  <si>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</si>
  <si>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</si>
  <si>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</si>
  <si>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</si>
  <si>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</si>
  <si>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</si>
  <si>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</si>
  <si>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</si>
  <si>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</si>
  <si>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</si>
  <si>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</si>
  <si>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</si>
  <si>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</si>
  <si>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</si>
  <si>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</si>
  <si>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</si>
  <si>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</si>
  <si>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</si>
  <si>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</si>
  <si>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</si>
  <si>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</si>
  <si>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</si>
  <si>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</si>
  <si>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</si>
  <si>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</si>
  <si>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</si>
  <si>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</si>
  <si>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</si>
  <si>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</si>
  <si>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</si>
  <si>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</si>
  <si>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</si>
  <si>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</si>
  <si>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</si>
  <si>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</si>
  <si>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</si>
  <si>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</si>
  <si>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</si>
  <si>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</si>
  <si>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</si>
  <si>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</si>
  <si>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</si>
  <si>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</si>
  <si>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</si>
  <si>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</si>
  <si>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</si>
  <si>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</si>
  <si>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</si>
  <si>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</si>
  <si>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</si>
  <si>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</si>
  <si>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</si>
  <si>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</si>
  <si>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</si>
  <si>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</si>
  <si>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</si>
  <si>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</si>
  <si>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</si>
  <si>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</si>
  <si>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</si>
  <si>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</si>
  <si>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</si>
  <si>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</si>
  <si>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</si>
  <si>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</si>
  <si>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</si>
  <si>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</si>
  <si>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</si>
  <si>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</si>
  <si>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</si>
  <si>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</si>
  <si>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</si>
  <si>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</si>
  <si>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</si>
  <si>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</si>
  <si>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</si>
  <si>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</si>
  <si>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</si>
  <si>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</si>
  <si>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</si>
  <si>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</si>
  <si>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</si>
  <si>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</si>
  <si>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</si>
  <si>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</si>
  <si>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</si>
  <si>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</si>
  <si>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</si>
  <si>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</si>
  <si>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</si>
  <si>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</si>
  <si>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</si>
  <si>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</si>
  <si>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</si>
  <si>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</si>
  <si>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</si>
  <si>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</si>
  <si>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</si>
  <si>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</si>
  <si>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</si>
  <si>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</si>
  <si>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</si>
  <si>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</si>
  <si>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</si>
  <si>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</si>
  <si>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</si>
  <si>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</si>
  <si>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</si>
  <si>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</si>
  <si>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</si>
  <si>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</si>
  <si>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</si>
  <si>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</si>
  <si>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</si>
  <si>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</si>
  <si>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</si>
  <si>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</si>
  <si>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</si>
  <si>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</si>
  <si>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</si>
  <si>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</si>
  <si>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</si>
  <si>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</si>
  <si>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</si>
  <si>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</si>
  <si>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</si>
  <si>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</si>
  <si>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</si>
  <si>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</si>
  <si>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</si>
  <si>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</si>
  <si>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</si>
  <si>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</si>
  <si>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</si>
  <si>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</si>
  <si>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</si>
  <si>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</si>
  <si>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</si>
  <si>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</si>
  <si>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</si>
  <si>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</si>
  <si>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</si>
  <si>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</si>
  <si>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</si>
  <si>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</si>
  <si>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</si>
  <si>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</si>
  <si>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</si>
  <si>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</si>
  <si>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</si>
  <si>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</si>
  <si>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</si>
  <si>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</si>
  <si>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</si>
  <si>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</si>
  <si>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</si>
  <si>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</si>
  <si>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</si>
  <si>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</si>
  <si>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</si>
  <si>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</si>
  <si>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</si>
  <si>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</si>
  <si>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</si>
  <si>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</si>
  <si>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</si>
  <si>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</si>
  <si>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</si>
  <si>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</si>
  <si>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</si>
  <si>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</si>
  <si>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</si>
  <si>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</si>
  <si>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</si>
  <si>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</si>
  <si>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</si>
  <si>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</si>
  <si>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</si>
  <si>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</si>
  <si>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</si>
  <si>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</si>
  <si>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</si>
  <si>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</si>
  <si>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</si>
  <si>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</si>
  <si>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</si>
  <si>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</si>
  <si>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</si>
  <si>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</si>
  <si>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</si>
  <si>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</si>
  <si>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</si>
  <si>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</si>
  <si>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</si>
  <si>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</si>
  <si>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</si>
  <si>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</si>
  <si>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</si>
  <si>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</si>
  <si>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</si>
  <si>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</si>
  <si>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</si>
  <si>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</si>
  <si>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</si>
  <si>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</si>
  <si>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</si>
  <si>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</si>
  <si>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</si>
  <si>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</si>
  <si>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</si>
  <si>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</si>
  <si>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</si>
  <si>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</si>
  <si>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</si>
  <si>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</si>
  <si>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</si>
  <si>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</si>
  <si>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</si>
  <si>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</si>
  <si>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</si>
  <si>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</si>
  <si>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</si>
  <si>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</si>
  <si>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</si>
  <si>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</si>
  <si>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</si>
  <si>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</si>
  <si>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</si>
  <si>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</si>
  <si>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</si>
  <si>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</si>
  <si>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</si>
  <si>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</si>
  <si>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</si>
  <si>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</si>
  <si>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</si>
  <si>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</si>
  <si>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</si>
  <si>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</si>
  <si>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</si>
  <si>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</si>
  <si>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</si>
  <si>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</si>
  <si>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</si>
  <si>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</si>
  <si>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</si>
  <si>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</si>
  <si>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</si>
  <si>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</si>
  <si>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</si>
  <si>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</si>
  <si>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</si>
  <si>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</si>
  <si>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</si>
  <si>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</si>
  <si>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</si>
  <si>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</si>
  <si>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</si>
  <si>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</si>
  <si>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</si>
  <si>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</si>
  <si>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</si>
  <si>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</si>
  <si>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</si>
  <si>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</si>
  <si>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</si>
  <si>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</si>
  <si>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</si>
  <si>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</si>
  <si>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</si>
  <si>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</si>
  <si>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</si>
  <si>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</si>
  <si>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</si>
  <si>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</si>
  <si>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</si>
  <si>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</si>
  <si>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</si>
  <si>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</si>
  <si>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</si>
  <si>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</si>
  <si>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</si>
  <si>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</si>
  <si>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</si>
  <si>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</si>
  <si>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</si>
  <si>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</si>
  <si>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</si>
  <si>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</si>
  <si>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</si>
  <si>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</si>
  <si>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</si>
  <si>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</si>
  <si>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</si>
  <si>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</si>
  <si>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</si>
  <si>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</si>
  <si>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</si>
  <si>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</si>
  <si>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</si>
  <si>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</si>
  <si>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</si>
  <si>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</si>
  <si>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</si>
  <si>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</si>
  <si>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</si>
  <si>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</si>
  <si>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</si>
  <si>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</si>
  <si>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</si>
  <si>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</si>
  <si>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</si>
  <si>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</si>
  <si>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</si>
  <si>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</si>
  <si>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</si>
  <si>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</si>
  <si>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</si>
  <si>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</si>
  <si>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</si>
  <si>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</si>
  <si>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</si>
  <si>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</si>
  <si>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</si>
  <si>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</si>
  <si>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</si>
  <si>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</si>
  <si>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</si>
  <si>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</si>
  <si>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</si>
  <si>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</si>
  <si>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</si>
  <si>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</si>
  <si>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</si>
  <si>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</si>
  <si>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</si>
  <si>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</si>
  <si>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</si>
  <si>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</si>
  <si>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</si>
  <si>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</si>
  <si>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</si>
  <si>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</si>
  <si>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</si>
  <si>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</si>
  <si>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</si>
  <si>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</si>
  <si>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</si>
  <si>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</si>
  <si>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</si>
  <si>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</si>
  <si>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</si>
  <si>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</si>
  <si>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</si>
  <si>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</si>
  <si>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</si>
  <si>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</si>
  <si>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</si>
  <si>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</si>
  <si>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</si>
  <si>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</si>
  <si>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</si>
  <si>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</si>
  <si>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</si>
  <si>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</si>
  <si>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</si>
  <si>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</si>
  <si>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</si>
  <si>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</si>
  <si>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</si>
  <si>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</si>
  <si>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</si>
  <si>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</si>
  <si>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</si>
  <si>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</si>
  <si>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</si>
  <si>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</si>
  <si>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</si>
  <si>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</si>
  <si>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</si>
  <si>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</si>
  <si>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</si>
  <si>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</si>
  <si>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</si>
  <si>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</si>
  <si>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</si>
  <si>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</si>
  <si>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</si>
  <si>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</si>
  <si>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</si>
  <si>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</si>
  <si>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</si>
  <si>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</si>
  <si>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</si>
  <si>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</si>
  <si>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</si>
  <si>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</si>
  <si>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</si>
  <si>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</si>
  <si>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</si>
  <si>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</si>
  <si>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</si>
  <si>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</si>
  <si>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</si>
  <si>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</si>
  <si>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</si>
  <si>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</si>
  <si>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</si>
  <si>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</si>
  <si>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</si>
  <si>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</si>
  <si>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</si>
  <si>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</si>
  <si>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</si>
  <si>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</si>
  <si>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</si>
  <si>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</si>
  <si>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</si>
  <si>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</si>
  <si>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</si>
  <si>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</si>
  <si>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</si>
  <si>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</si>
  <si>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</si>
  <si>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</si>
  <si>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</si>
  <si>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</si>
  <si>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</si>
  <si>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</si>
  <si>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</si>
  <si>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</si>
  <si>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</si>
  <si>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</si>
  <si>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</si>
  <si>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</si>
  <si>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</si>
  <si>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</si>
  <si>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</si>
  <si>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</si>
  <si>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</si>
  <si>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</si>
  <si>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</si>
  <si>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</si>
  <si>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</si>
  <si>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</si>
  <si>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</si>
  <si>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</si>
  <si>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</si>
  <si>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</si>
  <si>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</si>
  <si>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</si>
  <si>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</si>
  <si>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</si>
  <si>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</si>
  <si>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</si>
  <si>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</si>
  <si>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</si>
  <si>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</si>
  <si>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</si>
  <si>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</si>
  <si>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</si>
  <si>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</si>
  <si>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</si>
  <si>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</si>
  <si>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</si>
  <si>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</si>
  <si>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</si>
  <si>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</si>
  <si>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</si>
  <si>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</si>
  <si>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</si>
  <si>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</si>
  <si>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</si>
  <si>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</si>
  <si>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</si>
  <si>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</si>
  <si>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</si>
  <si>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</si>
  <si>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</si>
  <si>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</si>
  <si>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</si>
  <si>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</si>
  <si>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</si>
  <si>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</si>
  <si>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</si>
  <si>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</si>
  <si>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</si>
  <si>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</si>
  <si>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</si>
  <si>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</si>
  <si>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</si>
  <si>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</si>
  <si>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</si>
  <si>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</si>
  <si>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</si>
  <si>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</si>
  <si>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</si>
  <si>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</si>
  <si>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</si>
  <si>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</si>
  <si>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</si>
  <si>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</si>
  <si>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</si>
  <si>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</si>
  <si>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</si>
  <si>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</si>
  <si>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</si>
  <si>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</si>
  <si>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</si>
  <si>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</si>
  <si>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</si>
  <si>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</si>
  <si>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</si>
  <si>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</si>
  <si>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</si>
  <si>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</si>
  <si>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</si>
  <si>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</si>
  <si>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</si>
  <si>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</si>
  <si>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</si>
  <si>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</si>
  <si>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</si>
  <si>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</si>
  <si>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</si>
  <si>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</si>
  <si>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</si>
  <si>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</si>
  <si>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</si>
  <si>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</si>
  <si>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</si>
  <si>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</si>
  <si>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</si>
  <si>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</si>
  <si>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</si>
  <si>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</si>
  <si>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</si>
  <si>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</si>
  <si>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</si>
  <si>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</si>
  <si>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</si>
  <si>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</si>
  <si>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</si>
  <si>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</si>
  <si>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</si>
  <si>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</si>
  <si>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</si>
  <si>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</si>
  <si>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</si>
  <si>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</si>
  <si>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</si>
  <si>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</si>
  <si>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</si>
  <si>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</si>
  <si>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</si>
  <si>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</si>
  <si>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</si>
  <si>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</si>
  <si>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</si>
  <si>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</si>
  <si>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</si>
  <si>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</si>
  <si>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</si>
  <si>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</si>
  <si>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</si>
  <si>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</si>
  <si>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</si>
  <si>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</si>
  <si>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</si>
  <si>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</si>
  <si>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</si>
  <si>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</si>
  <si>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</si>
  <si>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</si>
  <si>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</si>
  <si>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</si>
  <si>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</si>
  <si>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</si>
  <si>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</si>
  <si>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</si>
  <si>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</si>
  <si>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</si>
  <si>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</si>
  <si>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</si>
  <si>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</si>
  <si>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</si>
  <si>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</si>
  <si>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</si>
  <si>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</si>
  <si>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</si>
  <si>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</si>
  <si>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</si>
  <si>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</si>
  <si>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</si>
  <si>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</si>
  <si>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</si>
  <si>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</si>
  <si>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</si>
  <si>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</si>
  <si>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</si>
  <si>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</si>
  <si>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</si>
  <si>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</si>
  <si>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</si>
  <si>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</si>
  <si>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</si>
  <si>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</si>
  <si>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</si>
  <si>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</si>
  <si>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</si>
  <si>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</si>
  <si>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</si>
  <si>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</si>
  <si>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</si>
  <si>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</si>
  <si>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</si>
  <si>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</si>
  <si>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</si>
  <si>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</si>
  <si>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</si>
  <si>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</si>
  <si>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</si>
  <si>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</si>
  <si>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</si>
  <si>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</si>
  <si>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</si>
  <si>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</si>
  <si>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</si>
  <si>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</si>
  <si>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</si>
  <si>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</si>
  <si>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</si>
  <si>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</si>
  <si>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</si>
  <si>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</si>
  <si>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</si>
  <si>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</si>
  <si>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</si>
  <si>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</si>
  <si>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</si>
  <si>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</si>
  <si>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</si>
  <si>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</si>
  <si>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</si>
  <si>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</si>
  <si>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</si>
  <si>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</si>
  <si>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</si>
  <si>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</si>
  <si>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</si>
  <si>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</si>
  <si>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</si>
  <si>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</si>
  <si>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</si>
  <si>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</si>
  <si>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</si>
  <si>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</si>
  <si>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</si>
  <si>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</si>
  <si>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</si>
  <si>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</si>
  <si>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</si>
  <si>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</si>
  <si>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</si>
  <si>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</si>
  <si>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</si>
  <si>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</si>
  <si>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</si>
  <si>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</si>
  <si>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</si>
  <si>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</si>
  <si>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</si>
  <si>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</si>
  <si>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</si>
  <si>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</si>
  <si>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</si>
  <si>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</si>
  <si>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</si>
  <si>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</si>
  <si>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</si>
  <si>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</si>
  <si>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</si>
  <si>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</si>
  <si>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</si>
  <si>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</si>
  <si>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</si>
  <si>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</si>
  <si>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</si>
  <si>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</si>
  <si>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</si>
  <si>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</si>
  <si>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</si>
  <si>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</si>
  <si>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</si>
  <si>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</si>
  <si>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</si>
  <si>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</si>
  <si>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</si>
  <si>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</si>
  <si>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</si>
  <si>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</si>
  <si>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</si>
  <si>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</si>
  <si>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</si>
  <si>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</si>
  <si>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</si>
  <si>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</si>
  <si>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</si>
  <si>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</si>
  <si>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</si>
  <si>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</si>
  <si>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</si>
  <si>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</si>
  <si>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</si>
  <si>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</si>
  <si>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</si>
  <si>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</si>
  <si>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</si>
  <si>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</si>
  <si>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</si>
  <si>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</si>
  <si>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</si>
  <si>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</si>
  <si>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</si>
  <si>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</si>
  <si>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</si>
  <si>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</si>
  <si>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</si>
  <si>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</si>
  <si>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</si>
  <si>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</si>
  <si>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</si>
  <si>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</si>
  <si>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</si>
  <si>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</si>
  <si>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</si>
  <si>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</si>
  <si>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</si>
  <si>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</si>
  <si>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</si>
  <si>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</si>
  <si>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</si>
  <si>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</si>
  <si>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</si>
  <si>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</si>
  <si>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</si>
  <si>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</si>
  <si>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</si>
  <si>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</si>
  <si>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</si>
  <si>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</si>
  <si>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</si>
  <si>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</si>
  <si>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</si>
  <si>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</si>
  <si>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</si>
  <si>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</si>
  <si>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</si>
  <si>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</si>
  <si>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</si>
  <si>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</si>
  <si>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</si>
  <si>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</si>
  <si>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</si>
  <si>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</si>
  <si>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</si>
  <si>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</si>
  <si>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</si>
  <si>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</si>
  <si>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</si>
  <si>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</si>
  <si>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</si>
  <si>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</si>
  <si>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</si>
  <si>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</si>
  <si>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</si>
  <si>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</si>
  <si>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</si>
  <si>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</si>
  <si>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</si>
  <si>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</si>
  <si>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</si>
  <si>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</si>
  <si>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</si>
  <si>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</si>
  <si>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</si>
  <si>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</si>
  <si>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</si>
  <si>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</si>
  <si>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</si>
  <si>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</si>
  <si>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</si>
  <si>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</si>
  <si>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</si>
  <si>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</si>
  <si>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</si>
  <si>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</si>
  <si>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</si>
  <si>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</si>
  <si>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</si>
  <si>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</si>
  <si>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</si>
  <si>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</si>
  <si>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</si>
  <si>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</si>
  <si>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</si>
  <si>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</si>
  <si>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</si>
  <si>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</si>
  <si>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</si>
  <si>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</si>
  <si>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</si>
  <si>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</si>
  <si>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</si>
  <si>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</si>
  <si>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</si>
  <si>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</si>
  <si>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</si>
  <si>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</si>
  <si>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</si>
  <si>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</si>
  <si>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</si>
  <si>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</si>
  <si>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</si>
  <si>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</si>
  <si>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</si>
  <si>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</si>
  <si>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</si>
  <si>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</si>
  <si>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</si>
  <si>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</si>
  <si>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</si>
  <si>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</si>
  <si>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</si>
  <si>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</si>
  <si>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</si>
  <si>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</si>
  <si>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</si>
  <si>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</si>
  <si>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</si>
  <si>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</si>
  <si>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</si>
  <si>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</si>
  <si>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</si>
  <si>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</si>
  <si>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</si>
  <si>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</si>
  <si>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</si>
  <si>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</si>
  <si>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</si>
  <si>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</si>
  <si>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</si>
  <si>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</si>
  <si>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</si>
  <si>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</si>
  <si>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</si>
  <si>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</si>
  <si>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</si>
  <si>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</si>
  <si>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</si>
  <si>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</si>
  <si>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</si>
  <si>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</si>
  <si>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</si>
  <si>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</si>
  <si>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</si>
  <si>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</si>
  <si>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</si>
  <si>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</si>
  <si>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</si>
  <si>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</si>
  <si>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</si>
  <si>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</si>
  <si>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</si>
  <si>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</si>
  <si>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</si>
  <si>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</si>
  <si>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</si>
  <si>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</si>
  <si>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</si>
  <si>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</si>
  <si>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</si>
  <si>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</si>
  <si>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</si>
  <si>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</si>
  <si>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</si>
  <si>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</si>
  <si>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</si>
  <si>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</si>
  <si>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</si>
  <si>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</si>
  <si>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</si>
  <si>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</si>
  <si>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</si>
  <si>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</si>
  <si>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</si>
  <si>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</si>
  <si>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</si>
  <si>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</si>
  <si>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</si>
  <si>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</si>
  <si>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</si>
  <si>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</si>
  <si>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</si>
  <si>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</si>
  <si>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</si>
  <si>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</si>
  <si>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</si>
  <si>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</si>
  <si>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</si>
  <si>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</si>
  <si>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</si>
  <si>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</si>
  <si>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</si>
  <si>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</si>
  <si>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</si>
  <si>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</si>
  <si>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</si>
  <si>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</si>
  <si>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</si>
  <si>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</si>
  <si>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</si>
  <si>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</si>
  <si>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</si>
  <si>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</si>
  <si>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</si>
  <si>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</si>
  <si>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</si>
  <si>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</si>
  <si>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</si>
  <si>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</si>
  <si>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</si>
  <si>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</si>
  <si>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</si>
  <si>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</si>
  <si>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</si>
  <si>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</si>
  <si>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</si>
  <si>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</si>
  <si>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</si>
  <si>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</si>
  <si>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</si>
  <si>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</si>
  <si>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</si>
  <si>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</si>
  <si>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</si>
  <si>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</si>
  <si>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</si>
  <si>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</si>
  <si>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</si>
  <si>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</si>
  <si>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</si>
  <si>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</si>
  <si>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</si>
  <si>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</si>
  <si>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</si>
  <si>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</si>
  <si>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</si>
  <si>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</si>
  <si>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</si>
  <si>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</si>
  <si>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</si>
  <si>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</si>
  <si>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</si>
  <si>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</si>
  <si>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</si>
  <si>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</si>
  <si>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</si>
  <si>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</si>
  <si>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</si>
  <si>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</si>
  <si>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</si>
  <si>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</si>
  <si>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</si>
  <si>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</si>
  <si>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</si>
  <si>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</si>
  <si>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</si>
  <si>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</si>
  <si>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</si>
  <si>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</si>
  <si>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</si>
  <si>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</si>
  <si>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</si>
  <si>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</si>
  <si>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</si>
  <si>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</si>
  <si>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</si>
  <si>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</si>
  <si>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</si>
  <si>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</si>
  <si>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</si>
  <si>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</si>
  <si>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</si>
  <si>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</si>
  <si>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</si>
  <si>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</si>
  <si>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</si>
  <si>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</si>
  <si>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</si>
  <si>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</si>
  <si>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</si>
  <si>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</si>
  <si>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</si>
  <si>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</si>
  <si>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</si>
  <si>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</si>
  <si>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</si>
  <si>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</si>
  <si>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</si>
  <si>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</si>
  <si>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</si>
  <si>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</si>
  <si>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</si>
  <si>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</si>
  <si>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</si>
  <si>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</si>
  <si>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</si>
  <si>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</si>
  <si>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</si>
  <si>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</si>
  <si>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</si>
  <si>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</si>
  <si>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</si>
  <si>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</si>
  <si>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</si>
  <si>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</si>
  <si>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</si>
  <si>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</si>
  <si>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</si>
  <si>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</si>
  <si>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</si>
  <si>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</si>
  <si>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</si>
  <si>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</si>
  <si>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</si>
  <si>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</si>
  <si>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</si>
  <si>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</si>
  <si>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</si>
  <si>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</si>
  <si>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</si>
  <si>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</si>
  <si>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</si>
  <si>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</si>
  <si>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</si>
  <si>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</si>
  <si>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</si>
  <si>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</si>
  <si>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</si>
  <si>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</si>
  <si>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</si>
  <si>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</si>
  <si>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</si>
  <si>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</si>
  <si>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</si>
  <si>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</si>
  <si>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</si>
  <si>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</si>
  <si>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</si>
  <si>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</si>
  <si>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</si>
  <si>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</si>
  <si>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</si>
  <si>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</si>
  <si>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</si>
  <si>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</si>
  <si>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</si>
  <si>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</si>
  <si>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</si>
  <si>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</si>
  <si>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</si>
  <si>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</si>
  <si>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</si>
  <si>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</si>
  <si>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</si>
  <si>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</si>
  <si>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</si>
  <si>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</si>
  <si>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</si>
  <si>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</si>
  <si>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</si>
  <si>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</si>
  <si>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</si>
  <si>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</si>
  <si>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</si>
  <si>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</si>
  <si>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</si>
  <si>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</si>
  <si>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</si>
  <si>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</si>
  <si>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</si>
  <si>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</si>
  <si>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</si>
  <si>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</si>
  <si>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</si>
  <si>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</si>
  <si>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</si>
  <si>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</si>
  <si>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</si>
  <si>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</si>
  <si>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</si>
  <si>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</si>
  <si>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</si>
  <si>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</si>
  <si>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</si>
  <si>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</si>
  <si>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</si>
  <si>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</si>
  <si>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</si>
  <si>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</si>
  <si>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</si>
  <si>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</si>
  <si>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</si>
  <si>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</si>
  <si>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</si>
  <si>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</si>
  <si>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</si>
  <si>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</si>
  <si>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</si>
  <si>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</si>
  <si>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</si>
  <si>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</si>
  <si>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</si>
  <si>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</si>
  <si>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</si>
  <si>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</si>
  <si>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</si>
  <si>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</si>
  <si>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</si>
  <si>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</si>
  <si>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</si>
  <si>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</si>
  <si>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</si>
  <si>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</si>
  <si>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</si>
  <si>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</si>
  <si>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</si>
  <si>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</si>
  <si>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</si>
  <si>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</si>
  <si>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</si>
  <si>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</si>
  <si>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</si>
  <si>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</si>
  <si>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</si>
  <si>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</si>
  <si>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</si>
  <si>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</si>
  <si>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</si>
  <si>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</si>
  <si>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</si>
  <si>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</si>
  <si>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</si>
  <si>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</si>
  <si>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</si>
  <si>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</si>
  <si>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</si>
  <si>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</si>
  <si>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</si>
  <si>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</si>
  <si>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</si>
  <si>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</si>
  <si>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</si>
  <si>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</si>
  <si>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</si>
  <si>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</si>
  <si>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</si>
  <si>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</si>
  <si>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</si>
  <si>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</si>
  <si>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</si>
  <si>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</si>
  <si>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</si>
  <si>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</si>
  <si>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</si>
  <si>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</si>
  <si>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</si>
  <si>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</si>
  <si>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</si>
  <si>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</si>
  <si>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</si>
  <si>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</si>
  <si>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</si>
  <si>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</si>
  <si>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</si>
  <si>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</si>
  <si>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</si>
  <si>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</si>
  <si>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</si>
  <si>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</si>
  <si>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</si>
  <si>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</si>
  <si>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</si>
  <si>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</si>
  <si>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</si>
  <si>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</si>
  <si>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</si>
  <si>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</si>
  <si>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</si>
  <si>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</si>
  <si>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</si>
  <si>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</si>
  <si>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</si>
  <si>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</si>
  <si>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</si>
  <si>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</si>
  <si>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</si>
  <si>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</si>
  <si>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</si>
  <si>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</si>
  <si>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</si>
  <si>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</si>
  <si>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</si>
  <si>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</si>
  <si>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</si>
  <si>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</si>
  <si>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</si>
  <si>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</si>
  <si>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</si>
  <si>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</si>
  <si>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</si>
  <si>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</si>
  <si>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</si>
  <si>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</si>
  <si>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</si>
  <si>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</si>
  <si>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</si>
  <si>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</si>
  <si>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</si>
  <si>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</si>
  <si>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</si>
  <si>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</si>
  <si>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</si>
  <si>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</si>
  <si>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</si>
  <si>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</si>
  <si>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</si>
  <si>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</si>
  <si>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</si>
  <si>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</si>
  <si>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</si>
  <si>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</si>
  <si>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</si>
  <si>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</si>
  <si>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</si>
  <si>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</si>
  <si>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</si>
  <si>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</si>
  <si>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</si>
  <si>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</si>
  <si>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</si>
  <si>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</si>
  <si>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</si>
  <si>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</si>
  <si>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</si>
  <si>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</si>
  <si>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</si>
  <si>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</si>
  <si>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</si>
  <si>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</si>
  <si>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</si>
  <si>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</si>
  <si>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</si>
  <si>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</si>
  <si>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</si>
  <si>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</si>
  <si>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</si>
  <si>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</si>
  <si>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</si>
  <si>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</si>
  <si>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</si>
  <si>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</si>
  <si>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</si>
  <si>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</si>
  <si>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</si>
  <si>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</si>
  <si>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</si>
  <si>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</si>
  <si>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</si>
  <si>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</si>
  <si>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</si>
  <si>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</si>
  <si>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</si>
  <si>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</si>
  <si>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</si>
  <si>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</si>
  <si>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</si>
  <si>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</si>
  <si>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</si>
  <si>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</si>
  <si>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</si>
  <si>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</si>
  <si>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</si>
  <si>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</si>
  <si>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</si>
  <si>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</si>
  <si>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</si>
  <si>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</si>
  <si>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</si>
  <si>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</si>
  <si>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</si>
  <si>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</si>
  <si>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</si>
  <si>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</si>
  <si>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</si>
  <si>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</si>
  <si>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</si>
  <si>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</si>
  <si>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</si>
  <si>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</si>
  <si>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</si>
  <si>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</si>
  <si>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</si>
  <si>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</si>
  <si>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</si>
  <si>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</si>
  <si>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</si>
  <si>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</si>
  <si>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</si>
  <si>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</si>
  <si>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</si>
  <si>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</si>
  <si>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</si>
  <si>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</si>
  <si>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</si>
  <si>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</si>
  <si>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</si>
  <si>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</si>
  <si>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</si>
  <si>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</si>
  <si>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</si>
  <si>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</si>
  <si>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</si>
  <si>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</si>
  <si>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</si>
  <si>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</si>
  <si>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</si>
  <si>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</si>
  <si>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</si>
  <si>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</si>
  <si>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</si>
  <si>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</si>
  <si>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</si>
  <si>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</si>
  <si>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</si>
  <si>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</si>
  <si>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</si>
  <si>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</si>
  <si>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</si>
  <si>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</si>
  <si>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</si>
  <si>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</si>
  <si>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</si>
  <si>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</si>
  <si>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</si>
  <si>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</si>
  <si>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</si>
  <si>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</si>
  <si>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</si>
  <si>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</si>
  <si>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</si>
  <si>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</si>
  <si>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</si>
  <si>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</si>
  <si>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</si>
  <si>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</si>
  <si>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</si>
  <si>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</si>
  <si>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</si>
  <si>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</si>
  <si>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</si>
  <si>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</si>
  <si>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</si>
  <si>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</si>
  <si>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</si>
  <si>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</si>
  <si>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</si>
  <si>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</si>
  <si>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</si>
  <si>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</si>
  <si>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</si>
  <si>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</si>
  <si>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</si>
  <si>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</si>
  <si>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</si>
  <si>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</si>
  <si>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</si>
  <si>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</si>
  <si>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</si>
  <si>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</si>
  <si>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</si>
  <si>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</si>
  <si>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</si>
  <si>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</si>
  <si>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</si>
  <si>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</si>
  <si>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</si>
  <si>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</si>
  <si>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</si>
  <si>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</si>
  <si>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</si>
  <si>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</si>
  <si>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</si>
  <si>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</si>
  <si>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</si>
  <si>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</si>
  <si>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</si>
  <si>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</si>
  <si>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</si>
  <si>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</si>
  <si>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</si>
  <si>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</si>
  <si>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</si>
  <si>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</si>
  <si>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</si>
  <si>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</si>
  <si>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</si>
  <si>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</si>
  <si>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</si>
  <si>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</si>
  <si>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</si>
  <si>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</si>
  <si>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</si>
  <si>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</si>
  <si>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</si>
  <si>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</si>
  <si>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</si>
  <si>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</si>
  <si>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</si>
  <si>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</si>
  <si>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</si>
  <si>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</si>
  <si>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</si>
  <si>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</si>
  <si>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</si>
  <si>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</si>
  <si>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</si>
  <si>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</si>
  <si>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</si>
  <si>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</si>
  <si>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</si>
  <si>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</si>
  <si>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</si>
  <si>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</si>
  <si>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</si>
  <si>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</si>
  <si>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</si>
  <si>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</si>
  <si>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</si>
  <si>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</si>
  <si>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</si>
  <si>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</si>
  <si>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</si>
  <si>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</si>
  <si>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</si>
  <si>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</si>
  <si>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</si>
  <si>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</si>
  <si>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</si>
  <si>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</si>
  <si>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</si>
  <si>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</si>
  <si>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</si>
  <si>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</si>
  <si>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</si>
  <si>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</si>
  <si>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</si>
  <si>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</si>
  <si>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</si>
  <si>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</si>
  <si>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</si>
  <si>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</si>
  <si>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</si>
  <si>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</si>
  <si>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</si>
  <si>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</si>
  <si>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</si>
  <si>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</si>
  <si>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</si>
  <si>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</si>
  <si>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</si>
  <si>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</si>
  <si>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</si>
  <si>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</si>
  <si>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</si>
  <si>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</si>
  <si>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</si>
  <si>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</si>
  <si>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</si>
  <si>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</si>
  <si>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</si>
  <si>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</si>
  <si>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</si>
  <si>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</si>
  <si>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</si>
  <si>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</si>
  <si>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</si>
  <si>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</si>
  <si>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</si>
  <si>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</si>
  <si>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</si>
  <si>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</si>
  <si>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</si>
  <si>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</si>
  <si>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</si>
  <si>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</si>
  <si>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</si>
  <si>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</si>
  <si>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</si>
  <si>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</si>
  <si>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</si>
  <si>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</si>
  <si>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</si>
  <si>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</si>
  <si>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</si>
  <si>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</si>
  <si>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</si>
  <si>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</si>
  <si>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</si>
  <si>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</si>
  <si>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</si>
  <si>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</si>
  <si>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</si>
  <si>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</si>
  <si>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</si>
  <si>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</si>
  <si>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</si>
  <si>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</si>
  <si>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</si>
  <si>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</si>
  <si>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</si>
  <si>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</si>
  <si>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</si>
  <si>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</si>
  <si>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</si>
  <si>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</si>
  <si>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</si>
  <si>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</si>
  <si>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</si>
  <si>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</si>
  <si>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</si>
  <si>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</si>
  <si>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</si>
  <si>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</si>
  <si>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</si>
  <si>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</si>
  <si>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</si>
  <si>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</si>
  <si>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</si>
  <si>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</si>
  <si>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</si>
  <si>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</si>
  <si>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</si>
  <si>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</si>
  <si>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</si>
  <si>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</si>
  <si>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</si>
  <si>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</si>
  <si>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</si>
  <si>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</si>
  <si>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</si>
  <si>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</si>
  <si>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</si>
  <si>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</si>
  <si>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</si>
  <si>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</si>
  <si>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</si>
  <si>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</si>
  <si>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</si>
  <si>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</si>
  <si>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</si>
  <si>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</si>
  <si>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</si>
  <si>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</si>
  <si>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</si>
  <si>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</si>
  <si>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</si>
  <si>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</si>
  <si>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</si>
  <si>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</si>
  <si>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</si>
  <si>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</si>
  <si>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</si>
  <si>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</si>
  <si>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</si>
  <si>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</si>
  <si>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</si>
  <si>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</si>
  <si>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</si>
  <si>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</si>
  <si>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</si>
  <si>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</si>
  <si>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</si>
  <si>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</si>
  <si>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</si>
  <si>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</si>
  <si>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</si>
  <si>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</si>
  <si>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</si>
  <si>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</si>
  <si>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</si>
  <si>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</si>
  <si>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</si>
  <si>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</si>
  <si>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</si>
  <si>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</si>
  <si>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</si>
  <si>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</si>
  <si>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</si>
  <si>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</si>
  <si>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</si>
  <si>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</si>
  <si>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</si>
  <si>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</si>
  <si>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</si>
  <si>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</si>
  <si>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</si>
  <si>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</si>
  <si>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</si>
  <si>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</si>
  <si>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</si>
  <si>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</si>
  <si>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</si>
  <si>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</si>
  <si>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</si>
  <si>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</si>
  <si>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</si>
  <si>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</si>
  <si>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</si>
  <si>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</si>
  <si>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</si>
  <si>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</si>
  <si>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</si>
  <si>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</si>
  <si>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</si>
  <si>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</si>
  <si>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</si>
  <si>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</si>
  <si>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</si>
  <si>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</si>
  <si>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</si>
  <si>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</si>
  <si>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</si>
  <si>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</si>
  <si>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</si>
  <si>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</si>
  <si>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</si>
  <si>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</si>
  <si>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</si>
  <si>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</si>
  <si>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</si>
  <si>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</si>
  <si>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</si>
  <si>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</si>
  <si>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</si>
  <si>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</si>
  <si>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</si>
  <si>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</si>
  <si>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</si>
  <si>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</si>
  <si>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</si>
  <si>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</si>
  <si>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</si>
  <si>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</si>
  <si>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</si>
  <si>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</si>
  <si>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</si>
  <si>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</si>
  <si>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</si>
  <si>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</si>
  <si>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</si>
  <si>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</si>
  <si>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</si>
  <si>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</si>
  <si>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</si>
  <si>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</si>
  <si>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</si>
  <si>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</si>
  <si>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</si>
  <si>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</si>
  <si>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</si>
  <si>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</si>
  <si>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</si>
  <si>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</si>
  <si>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</si>
  <si>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</si>
  <si>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</si>
  <si>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</si>
  <si>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</si>
  <si>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</si>
  <si>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</si>
  <si>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</si>
  <si>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</si>
  <si>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</si>
  <si>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</si>
  <si>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</si>
  <si>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</si>
  <si>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</si>
  <si>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</si>
  <si>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</si>
  <si>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</si>
  <si>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</si>
  <si>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</si>
  <si>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</si>
  <si>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</si>
  <si>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</si>
  <si>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</si>
  <si>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</si>
  <si>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</si>
  <si>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</si>
  <si>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</si>
  <si>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</si>
  <si>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</si>
  <si>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</si>
  <si>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</si>
  <si>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</si>
  <si>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</si>
  <si>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</si>
  <si>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</si>
  <si>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</si>
  <si>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</si>
  <si>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</si>
  <si>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</si>
  <si>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</si>
  <si>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</si>
  <si>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</si>
  <si>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</si>
  <si>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</si>
  <si>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</si>
  <si>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</si>
  <si>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</si>
  <si>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</si>
  <si>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</si>
  <si>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</si>
  <si>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</si>
  <si>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</si>
  <si>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</si>
  <si>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</si>
  <si>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</si>
  <si>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</si>
  <si>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</si>
  <si>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</si>
  <si>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</si>
  <si>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</si>
  <si>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</si>
  <si>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</si>
  <si>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</si>
  <si>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</si>
  <si>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</si>
  <si>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</si>
  <si>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</si>
  <si>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</si>
  <si>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</si>
  <si>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</si>
  <si>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</si>
  <si>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</si>
  <si>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</si>
  <si>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</si>
  <si>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</si>
  <si>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</si>
  <si>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</si>
  <si>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</si>
  <si>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</si>
  <si>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</si>
  <si>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</si>
  <si>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</si>
  <si>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</si>
  <si>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</si>
  <si>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</si>
  <si>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</si>
  <si>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</si>
  <si>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</si>
  <si>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</si>
  <si>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</si>
  <si>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</si>
  <si>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</si>
  <si>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</si>
  <si>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</si>
  <si>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</si>
  <si>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</si>
  <si>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</si>
  <si>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</si>
  <si>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</si>
  <si>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</si>
  <si>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</si>
  <si>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</si>
  <si>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</si>
  <si>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</si>
  <si>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</si>
  <si>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</si>
  <si>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</si>
  <si>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</si>
  <si>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</si>
  <si>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</si>
  <si>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</si>
  <si>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</si>
  <si>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</si>
  <si>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</si>
  <si>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</si>
  <si>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</si>
  <si>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</si>
  <si>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</si>
  <si>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</si>
  <si>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</si>
  <si>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</si>
  <si>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</si>
  <si>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</si>
  <si>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</si>
  <si>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</si>
  <si>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</si>
  <si>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</si>
  <si>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</si>
  <si>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</si>
  <si>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</si>
  <si>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</si>
  <si>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</si>
  <si>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</si>
  <si>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</si>
  <si>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</si>
  <si>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</si>
  <si>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</si>
  <si>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</si>
  <si>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</si>
  <si>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</si>
  <si>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</si>
  <si>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</si>
  <si>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</si>
  <si>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</si>
  <si>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</si>
  <si>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</si>
  <si>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</si>
  <si>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</si>
  <si>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</si>
  <si>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</si>
  <si>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</si>
  <si>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</si>
  <si>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</si>
  <si>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</si>
  <si>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</si>
  <si>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</si>
  <si>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</si>
  <si>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</si>
  <si>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</si>
  <si>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</si>
  <si>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</si>
  <si>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</si>
  <si>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</si>
  <si>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</si>
  <si>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</si>
  <si>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</si>
  <si>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</si>
  <si>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</si>
  <si>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</si>
  <si>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</si>
  <si>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</si>
  <si>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</si>
  <si>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</si>
  <si>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</si>
  <si>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</si>
  <si>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</si>
  <si>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</si>
  <si>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</si>
  <si>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</si>
  <si>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</si>
  <si>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</si>
  <si>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</si>
  <si>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</si>
  <si>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</si>
  <si>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</si>
  <si>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</si>
  <si>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</si>
  <si>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</si>
  <si>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</si>
  <si>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</si>
  <si>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</si>
  <si>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</si>
  <si>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</si>
  <si>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</si>
  <si>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</si>
  <si>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</si>
  <si>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</si>
  <si>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</si>
  <si>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</si>
  <si>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</si>
  <si>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</si>
  <si>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</si>
  <si>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</si>
  <si>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</si>
  <si>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</si>
  <si>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</si>
  <si>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</si>
  <si>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</si>
  <si>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</si>
  <si>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</si>
  <si>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</si>
  <si>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</si>
  <si>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</si>
  <si>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</si>
  <si>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</si>
  <si>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</si>
  <si>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</si>
  <si>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</si>
  <si>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</si>
  <si>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</si>
  <si>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</si>
  <si>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</si>
  <si>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</si>
  <si>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</si>
  <si>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</si>
  <si>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</si>
  <si>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</si>
  <si>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</si>
  <si>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</si>
  <si>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</si>
  <si>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</si>
  <si>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</si>
  <si>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</si>
  <si>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</si>
  <si>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</si>
  <si>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</si>
  <si>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</si>
  <si>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</si>
  <si>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</si>
  <si>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</si>
  <si>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</si>
  <si>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</si>
  <si>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</si>
  <si>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</si>
  <si>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</si>
  <si>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</si>
  <si>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</si>
  <si>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</si>
  <si>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</si>
  <si>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</si>
  <si>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</si>
  <si>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</si>
  <si>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</si>
  <si>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</si>
  <si>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</si>
  <si>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</si>
  <si>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</si>
  <si>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</si>
  <si>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</si>
  <si>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</si>
  <si>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</si>
  <si>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</si>
  <si>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</si>
  <si>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</si>
  <si>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</si>
  <si>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</si>
  <si>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</si>
  <si>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</si>
  <si>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</si>
  <si>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</si>
  <si>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</si>
  <si>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</si>
  <si>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</si>
  <si>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</si>
  <si>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</si>
  <si>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</si>
  <si>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</si>
  <si>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</si>
  <si>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</si>
  <si>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</si>
  <si>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</si>
  <si>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</si>
  <si>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</si>
  <si>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</si>
  <si>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</si>
  <si>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</si>
  <si>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</si>
  <si>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</si>
  <si>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</si>
  <si>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</si>
  <si>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</si>
  <si>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</si>
  <si>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</si>
  <si>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</si>
  <si>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</si>
  <si>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</si>
  <si>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</si>
  <si>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</si>
  <si>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</si>
  <si>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</si>
  <si>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</si>
  <si>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</si>
  <si>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</si>
  <si>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</si>
  <si>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</si>
  <si>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</si>
  <si>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</si>
  <si>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</si>
  <si>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</si>
  <si>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</si>
  <si>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</si>
  <si>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</si>
  <si>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</si>
  <si>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</si>
  <si>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</si>
  <si>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</si>
  <si>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</si>
  <si>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</si>
  <si>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</si>
  <si>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</si>
  <si>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</si>
  <si>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</si>
  <si>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</si>
  <si>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</si>
  <si>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</si>
  <si>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</si>
  <si>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</si>
  <si>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</si>
  <si>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</si>
  <si>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</si>
  <si>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</si>
  <si>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</si>
  <si>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</si>
  <si>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</si>
  <si>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</si>
  <si>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</si>
  <si>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</si>
  <si>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</si>
  <si>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</si>
  <si>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</si>
  <si>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</si>
  <si>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</si>
  <si>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</si>
  <si>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</si>
  <si>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</si>
  <si>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</si>
  <si>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</si>
  <si>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</si>
  <si>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</si>
  <si>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</si>
  <si>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</si>
  <si>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</si>
  <si>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</si>
  <si>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</si>
  <si>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</si>
  <si>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</si>
  <si>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</si>
  <si>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</si>
  <si>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</si>
  <si>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</si>
  <si>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</si>
  <si>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</si>
  <si>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</si>
  <si>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</si>
  <si>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</si>
  <si>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</si>
  <si>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</si>
  <si>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</si>
  <si>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</si>
  <si>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</si>
  <si>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</si>
  <si>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</si>
  <si>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</si>
  <si>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</si>
  <si>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</si>
  <si>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</si>
  <si>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</si>
  <si>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</si>
  <si>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</si>
  <si>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</si>
  <si>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</si>
  <si>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</si>
  <si>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</si>
  <si>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</si>
  <si>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</si>
  <si>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</si>
  <si>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</si>
  <si>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</si>
  <si>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</si>
  <si>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</si>
  <si>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</si>
  <si>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</si>
  <si>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</si>
  <si>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</si>
  <si>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</si>
  <si>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</si>
  <si>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</si>
  <si>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</si>
  <si>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</si>
  <si>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</si>
  <si>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</si>
  <si>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</si>
  <si>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</si>
  <si>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</si>
  <si>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</si>
  <si>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</si>
  <si>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</si>
  <si>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</si>
  <si>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</si>
  <si>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</si>
  <si>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</si>
  <si>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</si>
  <si>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</si>
  <si>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</si>
  <si>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</si>
  <si>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</si>
  <si>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</si>
  <si>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</si>
  <si>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</si>
  <si>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</si>
  <si>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</si>
  <si>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</si>
  <si>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</si>
  <si>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</si>
  <si>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</si>
  <si>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</si>
  <si>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</si>
  <si>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</si>
  <si>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</si>
  <si>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</si>
  <si>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</si>
  <si>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</si>
  <si>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</si>
  <si>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</si>
  <si>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</si>
  <si>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</si>
  <si>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</si>
  <si>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</si>
  <si>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</si>
  <si>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</si>
  <si>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</si>
  <si>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</si>
  <si>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</si>
  <si>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</si>
  <si>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</si>
  <si>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</si>
  <si>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</si>
  <si>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</si>
  <si>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</si>
  <si>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</si>
  <si>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</si>
  <si>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</si>
  <si>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</si>
  <si>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</si>
  <si>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</si>
  <si>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</si>
  <si>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</si>
  <si>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</si>
  <si>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</si>
  <si>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</si>
  <si>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</si>
  <si>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</si>
  <si>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</si>
  <si>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</si>
  <si>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</si>
  <si>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</si>
  <si>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</si>
  <si>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</si>
  <si>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</si>
  <si>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</si>
  <si>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</si>
  <si>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</si>
  <si>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</si>
  <si>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</si>
  <si>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</si>
  <si>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</si>
  <si>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</si>
  <si>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</si>
  <si>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</si>
  <si>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</si>
  <si>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</si>
  <si>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</si>
  <si>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</si>
  <si>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</si>
  <si>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</si>
  <si>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</si>
  <si>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</si>
  <si>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</si>
  <si>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</si>
  <si>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</si>
  <si>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</si>
  <si>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</si>
  <si>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</si>
  <si>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</si>
  <si>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</si>
  <si>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</si>
  <si>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</si>
  <si>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</si>
  <si>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</si>
  <si>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</si>
  <si>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</si>
  <si>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</si>
  <si>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</si>
  <si>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</si>
  <si>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</si>
  <si>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</si>
  <si>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</si>
  <si>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</si>
  <si>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</si>
  <si>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</si>
  <si>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</si>
  <si>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</si>
  <si>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</si>
  <si>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</si>
  <si>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</si>
  <si>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</si>
  <si>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</si>
  <si>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</si>
  <si>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</si>
  <si>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</si>
  <si>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</si>
  <si>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</si>
  <si>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</si>
  <si>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</si>
  <si>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</si>
  <si>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</si>
  <si>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</si>
  <si>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</si>
  <si>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</si>
  <si>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</si>
  <si>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</si>
  <si>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</si>
  <si>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</si>
  <si>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</si>
  <si>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</si>
  <si>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</si>
  <si>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</si>
  <si>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</si>
  <si>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</si>
  <si>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</si>
  <si>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</si>
  <si>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</si>
  <si>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</si>
  <si>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</si>
  <si>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</si>
  <si>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</si>
  <si>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</si>
  <si>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</si>
  <si>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</si>
  <si>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</si>
  <si>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</si>
  <si>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</si>
  <si>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</si>
  <si>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</si>
  <si>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</si>
  <si>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</si>
  <si>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</si>
  <si>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</si>
  <si>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</si>
  <si>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</si>
  <si>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</si>
  <si>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</si>
  <si>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</si>
  <si>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</si>
  <si>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</si>
  <si>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</si>
  <si>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</si>
  <si>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</si>
  <si>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</si>
  <si>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</si>
  <si>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</si>
  <si>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</si>
  <si>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</si>
  <si>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</si>
  <si>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</si>
  <si>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</si>
  <si>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</si>
  <si>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</si>
  <si>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</si>
  <si>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</si>
  <si>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</si>
  <si>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</si>
  <si>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</si>
  <si>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</si>
  <si>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</si>
  <si>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</si>
  <si>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</si>
  <si>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</si>
  <si>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</si>
  <si>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</si>
  <si>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</si>
  <si>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</si>
  <si>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</si>
  <si>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</si>
  <si>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</si>
  <si>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</si>
  <si>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</si>
  <si>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</si>
  <si>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</si>
  <si>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</si>
  <si>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</si>
  <si>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</si>
  <si>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</si>
  <si>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</si>
  <si>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</si>
  <si>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</si>
  <si>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</si>
  <si>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</si>
  <si>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</si>
  <si>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</si>
  <si>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</si>
  <si>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</si>
  <si>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</si>
  <si>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</si>
  <si>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</si>
  <si>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</si>
  <si>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</si>
  <si>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</si>
  <si>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</si>
  <si>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</si>
  <si>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</si>
  <si>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</si>
  <si>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</si>
  <si>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</si>
  <si>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</si>
  <si>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</si>
  <si>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</si>
  <si>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</si>
  <si>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</si>
  <si>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</si>
  <si>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</si>
  <si>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</si>
  <si>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</si>
  <si>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</si>
  <si>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</si>
  <si>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</si>
  <si>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</si>
  <si>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</si>
  <si>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</si>
  <si>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</si>
  <si>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</si>
  <si>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</si>
  <si>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</si>
  <si>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</si>
  <si>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</si>
  <si>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</si>
  <si>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</si>
  <si>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</si>
  <si>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</si>
  <si>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</si>
  <si>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</si>
  <si>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</si>
  <si>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</si>
  <si>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</si>
  <si>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</si>
  <si>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</si>
  <si>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</si>
  <si>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</si>
  <si>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</si>
  <si>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</si>
  <si>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</si>
  <si>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</si>
  <si>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</si>
  <si>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</si>
  <si>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</si>
  <si>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</si>
  <si>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</si>
  <si>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</si>
  <si>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</si>
  <si>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</si>
  <si>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</si>
  <si>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</si>
  <si>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</si>
  <si>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</si>
  <si>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</si>
  <si>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</si>
  <si>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</si>
  <si>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</si>
  <si>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</si>
  <si>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</si>
  <si>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</si>
  <si>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</si>
  <si>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</si>
  <si>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</si>
  <si>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</si>
  <si>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</si>
  <si>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</si>
  <si>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</si>
  <si>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</si>
  <si>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</si>
  <si>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</si>
  <si>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</si>
  <si>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</si>
  <si>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</si>
  <si>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</si>
  <si>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</si>
  <si>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</si>
  <si>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</si>
  <si>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</si>
  <si>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</si>
  <si>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</si>
  <si>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</si>
  <si>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</si>
  <si>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</si>
  <si>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</si>
  <si>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</si>
  <si>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</si>
  <si>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</si>
  <si>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</si>
  <si>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</si>
  <si>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</si>
  <si>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</si>
  <si>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</si>
  <si>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</si>
  <si>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</si>
  <si>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</si>
  <si>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</si>
  <si>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</si>
  <si>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</si>
  <si>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</si>
  <si>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</si>
  <si>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</si>
  <si>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</si>
  <si>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</si>
  <si>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</si>
  <si>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</si>
  <si>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</si>
  <si>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</si>
  <si>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</si>
  <si>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</si>
  <si>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</si>
  <si>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</si>
  <si>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</si>
  <si>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</si>
  <si>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</si>
  <si>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</si>
  <si>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</si>
  <si>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</si>
  <si>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</si>
  <si>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</si>
  <si>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</si>
  <si>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</si>
  <si>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</si>
  <si>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</si>
  <si>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</si>
  <si>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</si>
  <si>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</si>
  <si>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</si>
  <si>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</si>
  <si>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</si>
  <si>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</si>
  <si>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</si>
  <si>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</si>
  <si>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</si>
  <si>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</si>
  <si>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</si>
  <si>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</si>
  <si>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</si>
  <si>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</si>
  <si>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</si>
  <si>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</si>
  <si>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</si>
  <si>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</si>
  <si>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</si>
  <si>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</si>
  <si>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</si>
  <si>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</si>
  <si>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</si>
  <si>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</si>
  <si>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</si>
  <si>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</si>
  <si>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</si>
  <si>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</si>
  <si>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</si>
  <si>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</si>
  <si>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</si>
  <si>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</si>
  <si>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</si>
  <si>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</si>
  <si>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</si>
  <si>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</si>
  <si>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</si>
  <si>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</si>
  <si>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</si>
  <si>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</si>
  <si>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</si>
  <si>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</si>
  <si>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</si>
  <si>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</si>
  <si>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</si>
  <si>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</si>
  <si>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</si>
  <si>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</si>
  <si>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</si>
  <si>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</si>
  <si>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</si>
  <si>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</si>
  <si>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</si>
  <si>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</si>
  <si>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</si>
  <si>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</si>
  <si>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</si>
  <si>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</si>
  <si>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</si>
  <si>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</si>
  <si>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</si>
  <si>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</si>
  <si>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</si>
  <si>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</si>
  <si>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</si>
  <si>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</si>
  <si>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</si>
  <si>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</si>
  <si>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</si>
  <si>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</si>
  <si>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</si>
  <si>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</si>
  <si>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</si>
  <si>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</si>
  <si>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</si>
  <si>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</si>
  <si>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</si>
  <si>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</si>
  <si>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</si>
  <si>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</si>
  <si>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</si>
  <si>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</si>
  <si>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</si>
  <si>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</si>
  <si>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</si>
  <si>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</si>
  <si>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</si>
  <si>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</si>
  <si>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</si>
  <si>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</si>
  <si>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</si>
  <si>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</si>
  <si>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</si>
  <si>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</si>
  <si>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</si>
  <si>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</si>
  <si>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</si>
  <si>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</si>
  <si>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</si>
  <si>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</si>
  <si>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</si>
  <si>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</si>
  <si>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</si>
  <si>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</si>
  <si>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</si>
  <si>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</si>
  <si>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</si>
  <si>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</si>
  <si>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</si>
  <si>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</si>
  <si>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</si>
  <si>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</si>
  <si>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</si>
  <si>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</si>
  <si>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</si>
  <si>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</si>
  <si>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</si>
  <si>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</si>
  <si>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</si>
  <si>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</si>
  <si>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</si>
  <si>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</si>
  <si>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</si>
  <si>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</si>
  <si>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</si>
  <si>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</si>
  <si>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</si>
  <si>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</si>
  <si>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</si>
  <si>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</si>
  <si>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</si>
  <si>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</si>
  <si>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</si>
  <si>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</si>
  <si>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</si>
  <si>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</si>
  <si>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</si>
  <si>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</si>
  <si>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</si>
  <si>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</si>
  <si>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</si>
  <si>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</si>
  <si>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</si>
  <si>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</si>
  <si>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</si>
  <si>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</si>
  <si>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</si>
  <si>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</si>
  <si>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</si>
  <si>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</si>
  <si>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</si>
  <si>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</si>
  <si>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</si>
  <si>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</si>
  <si>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</si>
  <si>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</si>
  <si>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</si>
  <si>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</si>
  <si>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</si>
  <si>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</si>
  <si>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</si>
  <si>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</si>
  <si>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</si>
  <si>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</si>
  <si>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</si>
  <si>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</si>
  <si>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</si>
  <si>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</si>
  <si>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</si>
  <si>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</si>
  <si>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</si>
  <si>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</si>
  <si>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</si>
  <si>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</si>
  <si>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</si>
  <si>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</si>
  <si>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</si>
  <si>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</si>
  <si>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</si>
  <si>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</si>
  <si>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</si>
  <si>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</si>
  <si>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</si>
  <si>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</si>
  <si>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</si>
  <si>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</si>
  <si>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</si>
  <si>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</si>
  <si>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</si>
  <si>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</si>
  <si>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</si>
  <si>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</si>
  <si>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</si>
  <si>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</si>
  <si>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</si>
  <si>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</si>
  <si>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</si>
  <si>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</si>
  <si>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</si>
  <si>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</si>
  <si>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</si>
  <si>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</si>
  <si>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</si>
  <si>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</si>
  <si>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</si>
  <si>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</si>
  <si>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</si>
  <si>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</si>
  <si>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</si>
  <si>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</si>
  <si>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</si>
  <si>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</si>
  <si>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</si>
  <si>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</si>
  <si>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</si>
  <si>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</si>
  <si>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</si>
  <si>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</si>
  <si>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</si>
  <si>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</si>
  <si>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</si>
  <si>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</si>
  <si>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</si>
  <si>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</si>
  <si>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</si>
  <si>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</si>
  <si>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</si>
  <si>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</si>
  <si>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</si>
  <si>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</si>
  <si>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</si>
  <si>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</si>
  <si>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</si>
  <si>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</si>
  <si>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</si>
  <si>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</si>
  <si>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</si>
  <si>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</si>
  <si>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</si>
  <si>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</si>
  <si>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</si>
  <si>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</si>
  <si>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</si>
  <si>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</si>
  <si>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</si>
  <si>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</si>
  <si>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</si>
  <si>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</si>
  <si>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</si>
  <si>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</si>
  <si>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</si>
  <si>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</si>
  <si>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</si>
  <si>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</si>
  <si>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</si>
  <si>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</si>
  <si>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</si>
  <si>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</si>
  <si>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</si>
  <si>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</si>
  <si>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</si>
  <si>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</si>
  <si>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</si>
  <si>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</si>
  <si>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</si>
  <si>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</si>
  <si>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</si>
  <si>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</si>
  <si>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</si>
  <si>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</si>
  <si>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</si>
  <si>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</si>
  <si>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</si>
  <si>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</si>
  <si>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</si>
  <si>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</si>
  <si>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</si>
  <si>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</si>
  <si>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</si>
  <si>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</si>
  <si>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</si>
  <si>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</si>
  <si>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</si>
  <si>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</si>
  <si>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</si>
  <si>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</si>
  <si>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</si>
  <si>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</si>
  <si>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</si>
  <si>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</si>
  <si>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</si>
  <si>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</si>
  <si>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</si>
  <si>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</si>
  <si>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</si>
  <si>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</si>
  <si>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</si>
  <si>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</si>
  <si>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</si>
  <si>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</si>
  <si>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</si>
  <si>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</si>
  <si>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</si>
  <si>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</si>
  <si>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</si>
  <si>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</si>
  <si>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</si>
  <si>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</si>
  <si>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</si>
  <si>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</si>
  <si>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</si>
  <si>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</si>
  <si>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</si>
  <si>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</si>
  <si>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</si>
  <si>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</si>
  <si>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</si>
  <si>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</si>
  <si>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</si>
  <si>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</si>
  <si>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</si>
  <si>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</si>
  <si>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</si>
  <si>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</si>
  <si>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</si>
  <si>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</si>
  <si>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</si>
  <si>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</si>
  <si>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</si>
  <si>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</si>
  <si>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</si>
  <si>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</si>
  <si>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</si>
  <si>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</si>
  <si>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</si>
  <si>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</si>
  <si>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</si>
  <si>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</si>
  <si>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</si>
  <si>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</si>
  <si>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</si>
  <si>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</si>
  <si>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</si>
  <si>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</si>
  <si>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</si>
  <si>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</si>
  <si>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</si>
  <si>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</si>
  <si>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</si>
  <si>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</si>
  <si>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</si>
  <si>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</si>
  <si>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</si>
  <si>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</si>
  <si>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</si>
  <si>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</si>
  <si>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</si>
  <si>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</si>
  <si>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</si>
  <si>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</si>
  <si>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</si>
  <si>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</si>
  <si>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</si>
  <si>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</si>
  <si>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</si>
  <si>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</si>
  <si>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</si>
  <si>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</si>
  <si>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</si>
  <si>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</si>
  <si>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</si>
  <si>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</si>
  <si>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</si>
  <si>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</si>
  <si>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</si>
  <si>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</si>
  <si>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</si>
  <si>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</si>
  <si>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</si>
  <si>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</si>
  <si>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</si>
  <si>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</si>
  <si>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</si>
  <si>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</si>
  <si>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</si>
  <si>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</si>
  <si>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</si>
  <si>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</si>
  <si>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</si>
  <si>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</si>
  <si>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</si>
  <si>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</si>
  <si>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</si>
  <si>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</si>
  <si>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</si>
  <si>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</si>
  <si>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</si>
  <si>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</si>
  <si>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</si>
  <si>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</si>
  <si>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</si>
  <si>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</si>
  <si>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</si>
  <si>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</si>
  <si>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</si>
  <si>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</si>
  <si>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</si>
  <si>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</si>
  <si>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</si>
  <si>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</si>
  <si>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</si>
  <si>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</si>
  <si>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</si>
  <si>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</si>
  <si>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</si>
  <si>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</si>
  <si>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</si>
  <si>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</si>
  <si>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</si>
  <si>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</si>
  <si>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</si>
  <si>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</si>
  <si>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</si>
  <si>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</si>
  <si>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</si>
  <si>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</si>
  <si>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</si>
  <si>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</si>
  <si>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</si>
  <si>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</si>
  <si>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</si>
  <si>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</si>
  <si>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</si>
  <si>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</si>
  <si>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</si>
  <si>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</si>
  <si>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</si>
  <si>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</si>
  <si>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</si>
  <si>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</si>
  <si>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</si>
  <si>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</si>
  <si>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</si>
  <si>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</si>
  <si>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</si>
  <si>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</si>
  <si>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</si>
  <si>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</si>
  <si>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</si>
  <si>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</si>
  <si>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</si>
  <si>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</si>
  <si>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</si>
  <si>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</si>
  <si>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</si>
  <si>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</si>
  <si>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</si>
  <si>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</si>
  <si>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</si>
  <si>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</si>
  <si>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</si>
  <si>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</si>
  <si>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</si>
  <si>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</si>
  <si>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</si>
  <si>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</si>
  <si>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</si>
  <si>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</si>
  <si>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</si>
  <si>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</si>
  <si>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</si>
  <si>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</si>
  <si>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</si>
  <si>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</si>
  <si>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</si>
  <si>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</si>
  <si>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</si>
  <si>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</si>
  <si>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</si>
  <si>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</si>
  <si>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</si>
  <si>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</si>
  <si>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</si>
  <si>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</si>
  <si>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</si>
  <si>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</si>
  <si>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</si>
  <si>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</si>
  <si>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</si>
  <si>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</si>
  <si>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</si>
  <si>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</si>
  <si>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</si>
  <si>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</si>
  <si>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</si>
  <si>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</si>
  <si>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</si>
  <si>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</si>
  <si>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</si>
  <si>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</si>
  <si>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</si>
  <si>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</si>
  <si>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</si>
  <si>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</si>
  <si>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</si>
  <si>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</si>
  <si>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</si>
  <si>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</si>
  <si>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</si>
  <si>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</si>
  <si>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</si>
  <si>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</si>
  <si>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</si>
  <si>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</si>
  <si>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</si>
  <si>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</si>
  <si>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</si>
  <si>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</si>
  <si>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</si>
  <si>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</si>
  <si>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</si>
  <si>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</si>
  <si>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</si>
  <si>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</si>
  <si>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</si>
  <si>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</si>
  <si>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</si>
  <si>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</si>
  <si>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</si>
  <si>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</si>
  <si>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</si>
  <si>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</si>
  <si>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</si>
  <si>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</si>
  <si>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</si>
  <si>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</si>
  <si>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</si>
  <si>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</si>
  <si>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</si>
  <si>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</si>
  <si>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</si>
  <si>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</si>
  <si>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</si>
  <si>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</si>
  <si>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</si>
  <si>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</si>
  <si>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</si>
  <si>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</si>
  <si>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</si>
  <si>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</si>
  <si>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</si>
  <si>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</si>
  <si>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</si>
  <si>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</si>
  <si>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</si>
  <si>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</si>
  <si>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</si>
  <si>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</si>
  <si>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</si>
  <si>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</si>
  <si>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</si>
  <si>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</si>
  <si>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</si>
  <si>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</si>
  <si>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</si>
  <si>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</si>
  <si>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</si>
  <si>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</si>
  <si>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</si>
  <si>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</si>
  <si>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</si>
  <si>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</si>
  <si>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</si>
  <si>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</si>
  <si>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</si>
  <si>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</si>
  <si>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</si>
  <si>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</si>
  <si>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</si>
  <si>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</si>
  <si>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</si>
  <si>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</si>
  <si>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</si>
  <si>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</si>
  <si>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</si>
  <si>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</si>
  <si>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</si>
  <si>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</si>
  <si>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</si>
  <si>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</si>
  <si>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</si>
  <si>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</si>
  <si>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</si>
  <si>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</si>
  <si>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</si>
  <si>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</si>
  <si>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</si>
  <si>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</si>
  <si>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</si>
  <si>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</si>
  <si>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</si>
  <si>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</si>
  <si>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</si>
  <si>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</si>
  <si>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</si>
  <si>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</si>
  <si>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</si>
  <si>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</si>
  <si>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</si>
  <si>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</si>
  <si>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</si>
  <si>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</si>
  <si>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</si>
  <si>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</si>
  <si>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</si>
  <si>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</si>
  <si>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</si>
  <si>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</si>
  <si>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</si>
  <si>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</si>
  <si>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</si>
  <si>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</si>
  <si>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</si>
  <si>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</si>
  <si>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</si>
  <si>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</si>
  <si>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</si>
  <si>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</si>
  <si>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</si>
  <si>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</si>
  <si>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</si>
  <si>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</si>
  <si>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</si>
  <si>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</si>
  <si>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</si>
  <si>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</si>
  <si>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</si>
  <si>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</si>
  <si>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</si>
  <si>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</si>
  <si>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</si>
  <si>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</si>
  <si>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</si>
  <si>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</si>
  <si>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</si>
  <si>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</si>
  <si>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</si>
  <si>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</si>
  <si>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</si>
  <si>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</si>
  <si>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</si>
  <si>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</si>
  <si>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</si>
  <si>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</si>
  <si>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</si>
  <si>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</si>
  <si>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</si>
  <si>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</si>
  <si>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</si>
  <si>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</si>
  <si>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</si>
  <si>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</si>
  <si>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</si>
  <si>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</si>
  <si>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</si>
  <si>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</si>
  <si>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</si>
  <si>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</si>
  <si>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</si>
  <si>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</si>
  <si>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</si>
  <si>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</si>
  <si>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</si>
  <si>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</si>
  <si>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</si>
  <si>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</si>
  <si>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</si>
  <si>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</si>
  <si>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</si>
  <si>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</si>
  <si>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</si>
  <si>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</si>
  <si>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</si>
  <si>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</si>
  <si>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</si>
  <si>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</si>
  <si>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</si>
  <si>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</si>
  <si>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</si>
  <si>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</si>
  <si>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</si>
  <si>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</si>
  <si>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</si>
  <si>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</si>
  <si>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</si>
  <si>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</si>
  <si>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</si>
  <si>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</si>
  <si>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</si>
  <si>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</si>
  <si>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</si>
  <si>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</si>
  <si>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</si>
  <si>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</si>
  <si>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</si>
  <si>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</si>
  <si>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</si>
  <si>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</si>
  <si>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</si>
  <si>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</si>
  <si>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</si>
  <si>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</si>
  <si>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</si>
  <si>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</si>
  <si>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</si>
  <si>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</si>
  <si>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</si>
  <si>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</si>
  <si>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</si>
  <si>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</si>
  <si>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</si>
  <si>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</si>
  <si>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</si>
  <si>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</si>
  <si>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</si>
  <si>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</si>
  <si>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</si>
  <si>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</si>
  <si>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</si>
  <si>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</si>
  <si>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</si>
  <si>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</si>
  <si>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</si>
  <si>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</si>
  <si>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</si>
  <si>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</si>
  <si>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</si>
  <si>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</si>
  <si>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</si>
  <si>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</si>
  <si>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</si>
  <si>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</si>
  <si>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</si>
  <si>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</si>
  <si>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</si>
  <si>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</si>
  <si>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</si>
  <si>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</si>
  <si>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</si>
  <si>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</si>
  <si>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</si>
  <si>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</si>
  <si>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</si>
  <si>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</si>
  <si>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</si>
  <si>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</si>
  <si>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</si>
  <si>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</si>
  <si>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</si>
  <si>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</si>
  <si>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</si>
  <si>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</si>
  <si>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</si>
  <si>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</si>
  <si>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</si>
  <si>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</si>
  <si>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</si>
  <si>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</si>
  <si>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</si>
  <si>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</si>
  <si>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</si>
  <si>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</si>
  <si>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</si>
  <si>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</si>
  <si>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</si>
  <si>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</si>
  <si>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</si>
  <si>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</si>
  <si>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</si>
  <si>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</si>
  <si>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</si>
  <si>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</si>
  <si>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</si>
  <si>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</si>
  <si>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</si>
  <si>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</si>
  <si>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</si>
  <si>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</si>
  <si>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</si>
  <si>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</si>
  <si>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</si>
  <si>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</si>
  <si>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</si>
  <si>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</si>
  <si>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</si>
  <si>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</si>
  <si>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</si>
  <si>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</si>
  <si>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</si>
  <si>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</si>
  <si>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</si>
  <si>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</si>
  <si>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</si>
  <si>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</si>
  <si>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</si>
  <si>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</si>
  <si>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</si>
  <si>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</si>
  <si>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</si>
  <si>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</si>
  <si>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</si>
  <si>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</si>
  <si>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</si>
  <si>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</si>
  <si>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</si>
  <si>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</si>
  <si>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</si>
  <si>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</si>
  <si>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</si>
  <si>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</si>
  <si>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</si>
  <si>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</si>
  <si>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</si>
  <si>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</si>
  <si>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</si>
  <si>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</si>
  <si>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</si>
  <si>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</si>
  <si>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</si>
  <si>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</si>
  <si>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</si>
  <si>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</si>
  <si>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</si>
  <si>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</si>
  <si>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</si>
  <si>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</si>
  <si>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</si>
  <si>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</si>
  <si>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</si>
  <si>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</si>
  <si>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</si>
  <si>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</si>
  <si>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</si>
  <si>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</si>
  <si>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</si>
  <si>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</si>
  <si>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</si>
  <si>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</si>
  <si>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</si>
  <si>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</si>
  <si>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</si>
  <si>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</si>
  <si>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</si>
  <si>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</si>
  <si>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</si>
  <si>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</si>
  <si>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</si>
  <si>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</si>
  <si>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</si>
  <si>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</si>
  <si>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</si>
  <si>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</si>
  <si>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</si>
  <si>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</si>
  <si>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</si>
  <si>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</si>
  <si>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</si>
  <si>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</si>
  <si>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</si>
  <si>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</si>
  <si>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</si>
  <si>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</si>
  <si>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</si>
  <si>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</si>
  <si>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</si>
  <si>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</si>
  <si>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</si>
  <si>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</si>
  <si>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</si>
  <si>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</si>
  <si>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</si>
  <si>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</si>
  <si>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</si>
  <si>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</si>
  <si>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</si>
  <si>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</si>
  <si>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</si>
  <si>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</si>
  <si>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</si>
  <si>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</si>
  <si>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</si>
  <si>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</si>
  <si>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</si>
  <si>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</si>
  <si>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</si>
  <si>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</si>
  <si>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</si>
  <si>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</si>
  <si>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</si>
  <si>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</si>
  <si>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</si>
  <si>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</si>
  <si>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</si>
  <si>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</si>
  <si>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</si>
  <si>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</si>
  <si>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</si>
  <si>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</si>
  <si>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</si>
  <si>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</si>
  <si>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</si>
  <si>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</si>
  <si>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</si>
  <si>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</si>
  <si>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</si>
  <si>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</si>
  <si>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</si>
  <si>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</si>
  <si>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</si>
  <si>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</si>
  <si>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</si>
  <si>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</si>
  <si>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</si>
  <si>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</si>
  <si>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</si>
  <si>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</si>
  <si>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</si>
  <si>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</si>
  <si>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</si>
  <si>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</si>
  <si>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</si>
  <si>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</si>
  <si>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</si>
  <si>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</si>
  <si>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</si>
  <si>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</si>
  <si>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</si>
  <si>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</si>
  <si>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</si>
  <si>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</si>
  <si>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</si>
  <si>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</si>
  <si>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</si>
  <si>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</si>
  <si>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</si>
  <si>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</si>
  <si>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</si>
  <si>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</si>
  <si>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</si>
  <si>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</si>
  <si>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</si>
  <si>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</si>
  <si>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</si>
  <si>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</si>
  <si>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</si>
  <si>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</si>
  <si>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</si>
  <si>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</si>
  <si>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</si>
  <si>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</si>
  <si>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</si>
  <si>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</si>
  <si>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</si>
  <si>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</si>
  <si>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</si>
  <si>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</si>
  <si>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</si>
  <si>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</si>
  <si>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</si>
  <si>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</si>
  <si>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</si>
  <si>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</si>
  <si>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</si>
  <si>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</si>
  <si>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</si>
  <si>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</si>
  <si>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</si>
  <si>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</si>
  <si>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</si>
  <si>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</si>
  <si>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</si>
  <si>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</si>
  <si>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</si>
  <si>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</si>
  <si>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</si>
  <si>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</si>
  <si>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</si>
  <si>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</si>
  <si>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</si>
  <si>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</si>
  <si>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</si>
  <si>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</si>
  <si>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</si>
  <si>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</si>
  <si>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</si>
  <si>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</si>
  <si>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</si>
  <si>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</si>
  <si>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</si>
  <si>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</si>
  <si>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</si>
  <si>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</si>
  <si>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</si>
  <si>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</si>
  <si>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</si>
  <si>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</si>
  <si>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</si>
  <si>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</si>
  <si>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</si>
  <si>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</si>
  <si>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</si>
  <si>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</si>
  <si>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</si>
  <si>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</si>
  <si>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</si>
  <si>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</si>
  <si>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</si>
  <si>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</si>
  <si>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</si>
  <si>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</si>
  <si>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</si>
  <si>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</si>
  <si>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</si>
  <si>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</si>
  <si>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</si>
  <si>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</si>
  <si>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</si>
  <si>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</si>
  <si>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</si>
  <si>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</si>
  <si>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</si>
  <si>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</si>
  <si>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</si>
  <si>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</si>
  <si>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</si>
  <si>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</si>
  <si>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</si>
  <si>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</si>
  <si>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</si>
  <si>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</si>
  <si>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</si>
  <si>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</si>
  <si>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</si>
  <si>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</si>
  <si>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</si>
  <si>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</si>
  <si>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</si>
  <si>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</si>
  <si>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</si>
  <si>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</si>
  <si>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</si>
  <si>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</si>
  <si>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</si>
  <si>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</si>
  <si>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</si>
  <si>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</si>
  <si>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</si>
  <si>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</si>
  <si>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</si>
  <si>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</si>
  <si>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</si>
  <si>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</si>
  <si>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</si>
  <si>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</si>
  <si>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</si>
  <si>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</si>
  <si>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</si>
  <si>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</si>
  <si>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</si>
  <si>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</si>
  <si>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</si>
  <si>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</si>
  <si>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</si>
  <si>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</si>
  <si>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</si>
  <si>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</si>
  <si>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</si>
  <si>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</si>
  <si>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</si>
  <si>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</si>
  <si>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</si>
  <si>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</si>
  <si>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</si>
  <si>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</si>
  <si>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</si>
  <si>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</si>
  <si>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</si>
  <si>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</si>
  <si>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</si>
  <si>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</si>
  <si>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</si>
  <si>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</si>
  <si>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</si>
  <si>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</si>
  <si>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</si>
  <si>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</si>
  <si>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</si>
  <si>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</si>
  <si>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</si>
  <si>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</si>
  <si>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</si>
  <si>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</si>
  <si>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</si>
  <si>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</si>
  <si>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</si>
  <si>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</si>
  <si>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</si>
  <si>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</si>
  <si>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</si>
  <si>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</si>
  <si>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</si>
  <si>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</si>
  <si>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</si>
  <si>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</si>
  <si>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</si>
  <si>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</si>
  <si>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</si>
  <si>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</si>
  <si>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</si>
  <si>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</si>
  <si>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</si>
  <si>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</si>
  <si>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</si>
  <si>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</si>
  <si>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</si>
  <si>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</si>
  <si>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</si>
  <si>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</si>
  <si>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</si>
  <si>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</si>
  <si>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</si>
  <si>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</si>
  <si>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</si>
  <si>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</si>
  <si>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</si>
  <si>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</si>
  <si>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</si>
  <si>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</si>
  <si>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</si>
  <si>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</si>
  <si>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</si>
  <si>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</si>
  <si>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</si>
  <si>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</si>
  <si>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</si>
  <si>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</si>
  <si>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</si>
  <si>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</si>
  <si>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</si>
  <si>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</si>
  <si>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</si>
  <si>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</si>
  <si>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</si>
  <si>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</si>
  <si>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</si>
  <si>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</si>
  <si>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</si>
  <si>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</si>
  <si>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</si>
  <si>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</si>
  <si>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</si>
  <si>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</si>
  <si>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</si>
  <si>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</si>
  <si>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</si>
  <si>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</si>
  <si>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</si>
  <si>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</si>
  <si>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</si>
  <si>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</si>
  <si>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</si>
  <si>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</si>
  <si>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</si>
  <si>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</si>
  <si>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</si>
  <si>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</si>
  <si>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</si>
  <si>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</si>
  <si>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</si>
  <si>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</si>
  <si>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</si>
  <si>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</si>
  <si>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</si>
  <si>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</si>
  <si>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</si>
  <si>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</si>
  <si>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</si>
  <si>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</si>
  <si>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</si>
  <si>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</si>
  <si>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</si>
  <si>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</si>
  <si>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</si>
  <si>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</si>
  <si>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</si>
  <si>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</si>
  <si>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</si>
  <si>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</si>
  <si>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</si>
  <si>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</si>
  <si>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</si>
  <si>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</si>
  <si>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</si>
  <si>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</si>
  <si>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</si>
  <si>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</si>
  <si>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</si>
  <si>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</si>
  <si>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</si>
  <si>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</si>
  <si>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</si>
  <si>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</si>
  <si>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</si>
  <si>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</si>
  <si>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</si>
  <si>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</si>
  <si>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</si>
  <si>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</si>
  <si>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</si>
  <si>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</si>
  <si>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</si>
  <si>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</si>
  <si>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</si>
  <si>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</si>
  <si>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</si>
  <si>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</si>
  <si>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</si>
  <si>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</si>
  <si>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</si>
  <si>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</si>
  <si>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</si>
  <si>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</si>
  <si>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</si>
  <si>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</si>
  <si>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</si>
  <si>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</si>
  <si>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</si>
  <si>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</si>
  <si>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</si>
  <si>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</si>
  <si>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</si>
  <si>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</si>
  <si>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</si>
  <si>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</si>
  <si>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</si>
  <si>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</si>
  <si>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</si>
  <si>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</si>
  <si>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</si>
  <si>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</si>
  <si>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</si>
  <si>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</si>
  <si>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</si>
  <si>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</si>
  <si>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</si>
  <si>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</si>
  <si>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</si>
  <si>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</si>
  <si>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</si>
  <si>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</si>
  <si>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</si>
  <si>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</si>
  <si>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</si>
  <si>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</si>
  <si>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</si>
  <si>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</si>
  <si>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</si>
  <si>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</si>
  <si>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</si>
  <si>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</si>
  <si>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</si>
  <si>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</si>
  <si>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</si>
  <si>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</si>
  <si>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</si>
  <si>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</si>
  <si>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</si>
  <si>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</si>
  <si>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</si>
  <si>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</si>
  <si>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</si>
  <si>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</si>
  <si>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</si>
  <si>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</si>
  <si>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</si>
  <si>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</si>
  <si>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</si>
  <si>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</si>
  <si>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</si>
  <si>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</si>
  <si>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</si>
  <si>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</si>
  <si>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</si>
  <si>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</si>
  <si>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</si>
  <si>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</si>
  <si>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</si>
  <si>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</si>
  <si>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</si>
  <si>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</si>
  <si>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</si>
  <si>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</si>
  <si>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</si>
  <si>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</si>
  <si>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</si>
  <si>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</si>
  <si>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</si>
  <si>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</si>
  <si>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</si>
  <si>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</si>
  <si>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</si>
  <si>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</si>
  <si>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</si>
  <si>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</si>
  <si>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</si>
  <si>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</si>
  <si>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</si>
  <si>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</si>
  <si>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</si>
  <si>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</si>
  <si>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</si>
  <si>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</si>
  <si>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</si>
  <si>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</si>
  <si>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</si>
  <si>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</si>
  <si>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</si>
  <si>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</si>
  <si>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</si>
  <si>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</si>
  <si>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</si>
  <si>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</si>
  <si>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</si>
  <si>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</si>
  <si>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</si>
  <si>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</si>
  <si>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</si>
  <si>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</si>
  <si>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</si>
  <si>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</si>
  <si>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</si>
  <si>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</si>
  <si>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</si>
  <si>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</si>
  <si>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</si>
  <si>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</si>
  <si>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</si>
  <si>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</si>
  <si>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</si>
  <si>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</si>
  <si>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</si>
  <si>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</si>
  <si>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</si>
  <si>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</si>
  <si>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</si>
  <si>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</si>
  <si>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</si>
  <si>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</si>
  <si>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</si>
  <si>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</si>
  <si>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</si>
  <si>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</si>
  <si>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</si>
  <si>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</si>
  <si>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</si>
  <si>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</si>
  <si>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</si>
  <si>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</si>
  <si>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</si>
  <si>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</si>
  <si>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</si>
  <si>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</si>
  <si>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</si>
  <si>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</si>
  <si>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</si>
  <si>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</si>
  <si>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</si>
  <si>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</si>
  <si>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</si>
  <si>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</si>
  <si>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</si>
  <si>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</si>
  <si>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</si>
  <si>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</si>
  <si>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</si>
  <si>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</si>
  <si>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</si>
  <si>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</si>
  <si>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</si>
  <si>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</si>
  <si>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</si>
  <si>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</si>
  <si>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</si>
  <si>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</si>
  <si>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</si>
  <si>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</si>
  <si>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</si>
  <si>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</si>
  <si>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</si>
  <si>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</si>
  <si>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</si>
  <si>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</si>
  <si>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</si>
  <si>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</si>
  <si>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</si>
  <si>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</si>
  <si>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</si>
  <si>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</si>
  <si>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</si>
  <si>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</si>
  <si>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</si>
  <si>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</si>
  <si>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</si>
  <si>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</si>
  <si>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</si>
  <si>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</si>
  <si>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</si>
  <si>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</si>
  <si>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</si>
  <si>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</si>
  <si>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</si>
  <si>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</si>
  <si>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</si>
  <si>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</si>
  <si>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</si>
  <si>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</si>
  <si>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</si>
  <si>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</si>
  <si>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</si>
  <si>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</si>
  <si>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</si>
  <si>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</si>
  <si>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</si>
  <si>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</si>
  <si>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</si>
  <si>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</si>
  <si>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</si>
  <si>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</si>
  <si>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</si>
  <si>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</si>
  <si>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</si>
  <si>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</si>
  <si>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</si>
  <si>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</si>
  <si>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</si>
  <si>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</si>
  <si>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</si>
  <si>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</si>
  <si>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</si>
  <si>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</si>
  <si>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</si>
  <si>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</si>
  <si>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</si>
  <si>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</si>
  <si>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</si>
  <si>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</si>
  <si>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</si>
  <si>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</si>
  <si>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</si>
  <si>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</si>
  <si>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</si>
  <si>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</si>
  <si>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</si>
  <si>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</si>
  <si>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</si>
  <si>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</si>
  <si>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</si>
  <si>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</si>
  <si>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</si>
  <si>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</si>
  <si>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</si>
  <si>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</si>
  <si>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</si>
  <si>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</si>
  <si>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</si>
  <si>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</si>
  <si>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</si>
  <si>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</si>
  <si>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</si>
  <si>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</si>
  <si>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</si>
  <si>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</si>
  <si>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</si>
  <si>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</si>
  <si>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</si>
  <si>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</si>
  <si>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</si>
  <si>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</si>
  <si>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</si>
  <si>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</si>
  <si>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</si>
  <si>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</si>
  <si>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</si>
  <si>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</si>
  <si>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</si>
  <si>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</si>
  <si>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</si>
  <si>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</si>
  <si>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</si>
  <si>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</si>
  <si>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</si>
  <si>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</si>
  <si>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</si>
  <si>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</si>
  <si>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</si>
  <si>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</si>
  <si>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</si>
  <si>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</si>
  <si>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</si>
  <si>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</si>
  <si>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</si>
  <si>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</si>
  <si>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</si>
  <si>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</si>
  <si>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</si>
  <si>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</si>
  <si>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</si>
  <si>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</si>
  <si>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</si>
  <si>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</si>
  <si>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</si>
  <si>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</si>
  <si>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</si>
  <si>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</si>
  <si>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</si>
  <si>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</si>
  <si>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</si>
  <si>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</si>
  <si>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</si>
  <si>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</si>
  <si>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</si>
  <si>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</si>
  <si>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</si>
  <si>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</si>
  <si>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</si>
  <si>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</si>
  <si>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</si>
  <si>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</si>
  <si>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</si>
  <si>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</si>
  <si>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</si>
  <si>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</si>
  <si>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</si>
  <si>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</si>
  <si>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</si>
  <si>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</si>
  <si>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</si>
  <si>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</si>
  <si>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</si>
  <si>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</si>
  <si>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</si>
  <si>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</si>
  <si>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</si>
  <si>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</si>
  <si>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</si>
  <si>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</si>
  <si>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</si>
  <si>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</si>
  <si>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</si>
  <si>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</si>
  <si>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</si>
  <si>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</si>
  <si>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</si>
  <si>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</si>
  <si>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</si>
  <si>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</si>
  <si>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</si>
  <si>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</si>
  <si>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</si>
  <si>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</si>
  <si>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</si>
  <si>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</si>
  <si>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</si>
  <si>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</si>
  <si>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</si>
  <si>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</si>
  <si>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</si>
  <si>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</si>
  <si>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</si>
  <si>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</si>
  <si>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</si>
  <si>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</si>
  <si>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</si>
  <si>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</si>
  <si>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</si>
  <si>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</si>
  <si>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</si>
  <si>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</si>
  <si>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</si>
  <si>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</si>
  <si>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</si>
  <si>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</si>
  <si>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</si>
  <si>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</si>
  <si>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</si>
  <si>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</si>
  <si>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</si>
  <si>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</si>
  <si>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</si>
  <si>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</si>
  <si>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</si>
  <si>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</si>
  <si>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</si>
  <si>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</si>
  <si>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</si>
  <si>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</si>
  <si>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</si>
  <si>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</si>
  <si>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</si>
  <si>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</si>
  <si>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</si>
  <si>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</si>
  <si>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</si>
  <si>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</si>
  <si>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</si>
  <si>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</si>
  <si>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</si>
  <si>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</si>
  <si>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</si>
  <si>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</si>
  <si>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</si>
  <si>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</si>
  <si>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</si>
  <si>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</si>
  <si>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</si>
  <si>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</si>
  <si>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</si>
  <si>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</si>
  <si>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</si>
  <si>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</si>
  <si>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</si>
  <si>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</si>
  <si>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</si>
  <si>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</si>
  <si>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</si>
  <si>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</si>
  <si>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</si>
  <si>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</si>
  <si>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</si>
  <si>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</si>
  <si>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</si>
  <si>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</si>
  <si>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</si>
  <si>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</si>
  <si>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</si>
  <si>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</si>
  <si>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</si>
  <si>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</si>
  <si>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</si>
  <si>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</si>
  <si>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</si>
  <si>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</si>
  <si>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</si>
  <si>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</si>
  <si>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</si>
  <si>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</si>
  <si>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</si>
  <si>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</si>
  <si>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</si>
  <si>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</si>
  <si>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</si>
  <si>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</si>
  <si>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</si>
  <si>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</si>
  <si>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</si>
  <si>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</si>
  <si>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</si>
  <si>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</si>
  <si>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</si>
  <si>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</si>
  <si>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</si>
  <si>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</si>
  <si>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</si>
  <si>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</si>
  <si>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</si>
  <si>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</si>
  <si>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</si>
  <si>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</si>
  <si>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</si>
  <si>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</si>
  <si>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</si>
  <si>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</si>
  <si>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</si>
  <si>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</si>
  <si>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</si>
  <si>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</si>
  <si>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</si>
  <si>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</si>
  <si>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</si>
  <si>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</si>
  <si>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</si>
  <si>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</si>
  <si>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</si>
  <si>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</si>
  <si>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</si>
  <si>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</si>
  <si>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</si>
  <si>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</si>
  <si>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</si>
  <si>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</si>
  <si>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</si>
  <si>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</si>
  <si>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</si>
  <si>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</si>
  <si>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</si>
  <si>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</si>
  <si>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</si>
  <si>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</si>
  <si>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</si>
  <si>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</si>
  <si>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</si>
  <si>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</si>
  <si>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</si>
  <si>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</si>
  <si>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</si>
  <si>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</si>
  <si>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</si>
  <si>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</si>
  <si>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</si>
  <si>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</si>
  <si>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</si>
  <si>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</si>
  <si>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</si>
  <si>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</si>
  <si>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</si>
  <si>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</si>
  <si>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</si>
  <si>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</si>
  <si>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</si>
  <si>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</si>
  <si>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</si>
  <si>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</si>
  <si>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</si>
  <si>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</si>
  <si>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</si>
  <si>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</si>
  <si>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</si>
  <si>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</si>
  <si>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</si>
  <si>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</si>
  <si>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</si>
  <si>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</si>
  <si>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</si>
  <si>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</si>
  <si>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</si>
  <si>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</si>
  <si>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</si>
  <si>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</si>
  <si>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</si>
  <si>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</si>
  <si>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</si>
  <si>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</si>
  <si>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</si>
  <si>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</si>
  <si>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</si>
  <si>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</si>
  <si>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</si>
  <si>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</si>
  <si>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</si>
  <si>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</si>
  <si>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</si>
  <si>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</si>
  <si>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</si>
  <si>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</si>
  <si>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</si>
  <si>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</si>
  <si>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</si>
  <si>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</si>
  <si>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</si>
  <si>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</si>
  <si>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</si>
  <si>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</si>
  <si>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</si>
  <si>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</si>
  <si>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</si>
  <si>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</si>
  <si>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</si>
  <si>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</si>
  <si>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</si>
  <si>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</si>
  <si>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</si>
  <si>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</si>
  <si>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</si>
  <si>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</si>
  <si>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</si>
  <si>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</si>
  <si>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</si>
  <si>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</si>
  <si>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</si>
  <si>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</si>
  <si>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</si>
  <si>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</si>
  <si>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</si>
  <si>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</si>
  <si>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</si>
  <si>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</si>
  <si>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</si>
  <si>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</si>
  <si>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</si>
  <si>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</si>
  <si>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</si>
  <si>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</si>
  <si>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</si>
  <si>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</si>
  <si>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</si>
  <si>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</si>
  <si>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</si>
  <si>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</si>
  <si>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</si>
  <si>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</si>
  <si>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</si>
  <si>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</si>
  <si>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</si>
  <si>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</si>
  <si>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</si>
  <si>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</si>
  <si>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</si>
  <si>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</si>
  <si>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</si>
  <si>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</si>
  <si>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</si>
  <si>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</si>
  <si>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</si>
  <si>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</si>
  <si>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</si>
  <si>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</si>
  <si>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</si>
  <si>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</si>
  <si>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</si>
  <si>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</si>
  <si>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</si>
  <si>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</si>
  <si>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</si>
  <si>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</si>
  <si>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</si>
  <si>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</si>
  <si>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</si>
  <si>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</si>
  <si>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</si>
  <si>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</si>
  <si>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</si>
  <si>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</si>
  <si>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</si>
  <si>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</si>
  <si>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</si>
  <si>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</si>
  <si>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</si>
  <si>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</si>
  <si>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</si>
  <si>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</si>
  <si>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</si>
  <si>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</si>
  <si>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</si>
  <si>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</si>
  <si>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</si>
  <si>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</si>
  <si>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</si>
  <si>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</si>
  <si>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</si>
  <si>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</si>
  <si>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</si>
  <si>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</si>
  <si>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</si>
  <si>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</si>
  <si>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</si>
  <si>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</si>
  <si>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</si>
  <si>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</si>
  <si>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</si>
  <si>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</si>
  <si>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</si>
  <si>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</si>
  <si>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</si>
  <si>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</si>
  <si>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</si>
  <si>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</si>
  <si>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</si>
  <si>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</si>
  <si>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</si>
  <si>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</si>
  <si>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</si>
  <si>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</si>
  <si>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</si>
  <si>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</si>
  <si>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</si>
  <si>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</si>
  <si>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</si>
  <si>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</si>
  <si>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</si>
  <si>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</si>
  <si>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</si>
  <si>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</si>
  <si>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</si>
  <si>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</si>
  <si>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</si>
  <si>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</si>
  <si>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</si>
  <si>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</si>
  <si>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</si>
  <si>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</si>
  <si>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</si>
  <si>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</si>
  <si>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</si>
  <si>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</si>
  <si>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</si>
  <si>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</si>
  <si>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</si>
  <si>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</si>
  <si>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</si>
  <si>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</si>
  <si>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</si>
  <si>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</si>
  <si>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</si>
  <si>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</si>
  <si>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</si>
  <si>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</si>
  <si>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</si>
  <si>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</si>
  <si>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</si>
  <si>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</si>
  <si>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</si>
  <si>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</si>
  <si>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</si>
  <si>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</si>
  <si>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</si>
  <si>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</si>
  <si>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</si>
  <si>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</si>
  <si>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</si>
  <si>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</si>
  <si>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</si>
  <si>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</si>
  <si>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</si>
  <si>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</si>
  <si>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</si>
  <si>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</si>
  <si>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</si>
  <si>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</si>
  <si>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</si>
  <si>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</si>
  <si>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</si>
  <si>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</si>
  <si>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</si>
  <si>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</si>
  <si>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</si>
  <si>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</si>
  <si>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</si>
  <si>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</si>
  <si>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</si>
  <si>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</si>
  <si>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</si>
  <si>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</si>
  <si>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</si>
  <si>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</si>
  <si>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</si>
  <si>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</si>
  <si>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</si>
  <si>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</si>
  <si>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</si>
  <si>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</si>
  <si>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</si>
  <si>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</si>
  <si>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</si>
  <si>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</si>
  <si>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</si>
  <si>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</si>
  <si>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</si>
  <si>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</si>
  <si>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</si>
  <si>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</si>
  <si>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</si>
  <si>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</si>
  <si>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</si>
  <si>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</si>
  <si>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</si>
  <si>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</si>
  <si>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</si>
  <si>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</si>
  <si>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</si>
  <si>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</si>
  <si>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</si>
  <si>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</si>
  <si>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</si>
  <si>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</si>
  <si>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</si>
  <si>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</si>
  <si>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</si>
  <si>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</si>
  <si>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</si>
  <si>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</si>
  <si>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</si>
  <si>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</si>
  <si>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</si>
  <si>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</si>
  <si>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</si>
  <si>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</si>
  <si>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</si>
  <si>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</si>
  <si>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</si>
  <si>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</si>
  <si>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</si>
  <si>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</si>
  <si>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</si>
  <si>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</si>
  <si>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</si>
  <si>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</si>
  <si>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</si>
  <si>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</si>
  <si>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</si>
  <si>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</si>
  <si>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</si>
  <si>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</si>
  <si>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</si>
  <si>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</si>
  <si>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</si>
  <si>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</si>
  <si>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</si>
  <si>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</si>
  <si>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</si>
  <si>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</si>
  <si>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</si>
  <si>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</si>
  <si>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</si>
  <si>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</si>
  <si>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</si>
  <si>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</si>
  <si>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</si>
  <si>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</si>
  <si>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</si>
  <si>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</si>
  <si>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</si>
  <si>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</si>
  <si>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</si>
  <si>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</si>
  <si>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</si>
  <si>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</si>
  <si>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</si>
  <si>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</si>
  <si>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</si>
  <si>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</si>
  <si>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</si>
  <si>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</si>
  <si>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</si>
  <si>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</si>
  <si>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</si>
  <si>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</si>
  <si>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</si>
  <si>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</si>
  <si>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</si>
  <si>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</si>
  <si>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</si>
  <si>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</si>
  <si>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</si>
  <si>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</si>
  <si>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</si>
  <si>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</si>
  <si>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</si>
  <si>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</si>
  <si>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</si>
  <si>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</si>
  <si>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</si>
  <si>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</si>
  <si>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</si>
  <si>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</si>
  <si>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</si>
  <si>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</si>
  <si>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</si>
  <si>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</si>
  <si>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</si>
  <si>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</si>
  <si>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</si>
  <si>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</si>
  <si>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</si>
  <si>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</si>
  <si>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</si>
  <si>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</si>
  <si>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</si>
  <si>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</si>
  <si>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</si>
  <si>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</si>
  <si>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</si>
  <si>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</si>
  <si>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</si>
  <si>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</si>
  <si>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</si>
  <si>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</si>
  <si>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</si>
  <si>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</si>
  <si>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</si>
  <si>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</si>
  <si>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</si>
  <si>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</si>
  <si>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</si>
  <si>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</si>
  <si>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</si>
  <si>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</si>
  <si>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</si>
  <si>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</si>
  <si>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</si>
  <si>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</si>
  <si>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</si>
  <si>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</si>
  <si>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</si>
  <si>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</si>
  <si>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</si>
  <si>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</si>
  <si>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</si>
  <si>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</si>
  <si>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</si>
  <si>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</si>
  <si>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</si>
  <si>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</si>
  <si>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</si>
  <si>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</si>
  <si>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</si>
  <si>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</si>
  <si>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</si>
  <si>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</si>
  <si>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</si>
  <si>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</si>
  <si>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</si>
  <si>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</si>
  <si>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</si>
  <si>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</si>
  <si>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</si>
  <si>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</si>
  <si>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</si>
  <si>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</si>
  <si>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</si>
  <si>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</si>
  <si>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</si>
  <si>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</si>
  <si>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</si>
  <si>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</si>
  <si>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</si>
  <si>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</si>
  <si>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</si>
  <si>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</si>
  <si>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</si>
  <si>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</si>
  <si>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</si>
  <si>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</si>
  <si>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</si>
  <si>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</si>
  <si>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</si>
  <si>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</si>
  <si>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</si>
  <si>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</si>
  <si>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</si>
  <si>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</si>
  <si>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</si>
  <si>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</si>
  <si>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</si>
  <si>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</si>
  <si>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</si>
  <si>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</si>
  <si>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</si>
  <si>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</si>
  <si>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</si>
  <si>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</si>
  <si>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</si>
  <si>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</si>
  <si>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</si>
  <si>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</si>
  <si>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</si>
  <si>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</si>
  <si>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</si>
  <si>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</si>
  <si>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</si>
  <si>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</si>
  <si>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</si>
  <si>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</si>
  <si>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</si>
  <si>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</si>
  <si>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</si>
  <si>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</si>
  <si>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</si>
  <si>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</si>
  <si>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</si>
  <si>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</si>
  <si>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</si>
  <si>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</si>
  <si>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</si>
  <si>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</si>
  <si>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</si>
  <si>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</si>
  <si>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</si>
  <si>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</si>
  <si>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</si>
  <si>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</si>
  <si>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</si>
  <si>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</si>
  <si>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</si>
  <si>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</si>
  <si>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</si>
  <si>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</si>
  <si>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</si>
  <si>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</si>
  <si>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</si>
  <si>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</si>
  <si>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</si>
  <si>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</si>
  <si>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</si>
  <si>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</si>
  <si>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</si>
  <si>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</si>
  <si>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</si>
  <si>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</si>
  <si>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</si>
  <si>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</si>
  <si>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</si>
  <si>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</si>
  <si>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</si>
  <si>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</si>
  <si>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</si>
  <si>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</si>
  <si>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</si>
  <si>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</si>
  <si>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</si>
  <si>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</si>
  <si>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</si>
  <si>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</si>
  <si>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</si>
  <si>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</si>
  <si>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</si>
  <si>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</si>
  <si>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</si>
  <si>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</si>
  <si>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</si>
  <si>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</si>
  <si>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</si>
  <si>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</si>
  <si>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</si>
  <si>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</si>
  <si>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</si>
  <si>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</si>
  <si>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</si>
  <si>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</si>
  <si>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</si>
  <si>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</si>
  <si>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</si>
  <si>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</si>
  <si>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</si>
  <si>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</si>
  <si>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</si>
  <si>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</si>
  <si>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</si>
  <si>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</si>
  <si>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</si>
  <si>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</si>
  <si>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</si>
  <si>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</si>
  <si>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</si>
  <si>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</si>
  <si>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</si>
  <si>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</si>
  <si>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</si>
  <si>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</si>
  <si>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</si>
  <si>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</si>
  <si>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</si>
  <si>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</si>
  <si>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</si>
  <si>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</si>
  <si>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</si>
  <si>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</si>
  <si>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</si>
  <si>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</si>
  <si>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</si>
  <si>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</si>
  <si>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</si>
  <si>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</si>
  <si>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</si>
  <si>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</si>
  <si>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</si>
  <si>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</si>
  <si>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</si>
  <si>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</si>
  <si>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</si>
  <si>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</si>
  <si>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</si>
  <si>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</si>
  <si>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</si>
  <si>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</si>
  <si>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</si>
  <si>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</si>
  <si>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</si>
  <si>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</si>
  <si>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</si>
  <si>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</si>
  <si>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</si>
  <si>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</si>
  <si>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</si>
  <si>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</si>
  <si>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</si>
  <si>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</si>
  <si>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</si>
  <si>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</si>
  <si>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</si>
  <si>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</si>
  <si>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</si>
  <si>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</si>
  <si>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</si>
  <si>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</si>
  <si>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</si>
  <si>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</si>
  <si>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</si>
  <si>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</si>
  <si>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</si>
  <si>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</si>
  <si>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</si>
  <si>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</si>
  <si>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</si>
  <si>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</si>
  <si>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</si>
  <si>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</si>
  <si>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</si>
  <si>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</si>
  <si>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</si>
  <si>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</si>
  <si>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</si>
  <si>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</si>
  <si>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</si>
  <si>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</si>
  <si>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</si>
  <si>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</si>
  <si>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</si>
  <si>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</si>
  <si>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</si>
  <si>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</si>
  <si>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</si>
  <si>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</si>
  <si>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</si>
  <si>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</si>
  <si>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</si>
  <si>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</si>
  <si>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</si>
  <si>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</si>
  <si>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</si>
  <si>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</si>
  <si>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</si>
  <si>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</si>
  <si>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</si>
  <si>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</si>
  <si>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</si>
  <si>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</si>
  <si>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</si>
  <si>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</si>
  <si>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</si>
  <si>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</si>
  <si>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</si>
  <si>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</si>
  <si>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</si>
  <si>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</si>
  <si>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</si>
  <si>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</si>
  <si>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</si>
  <si>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</si>
  <si>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</si>
  <si>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</si>
  <si>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</si>
  <si>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</si>
  <si>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</si>
  <si>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</si>
  <si>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</si>
  <si>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</si>
  <si>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</si>
  <si>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</si>
  <si>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</si>
  <si>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</si>
  <si>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</si>
  <si>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</si>
  <si>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</si>
  <si>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</si>
  <si>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</si>
  <si>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</si>
  <si>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</si>
  <si>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</si>
  <si>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</si>
  <si>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</si>
  <si>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</si>
  <si>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</si>
  <si>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</si>
  <si>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</si>
  <si>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</si>
  <si>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</si>
  <si>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</si>
  <si>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</si>
  <si>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</si>
  <si>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</si>
  <si>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</si>
  <si>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</si>
  <si>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</si>
  <si>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</si>
  <si>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</si>
  <si>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</si>
  <si>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</si>
  <si>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</si>
  <si>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</si>
  <si>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</si>
  <si>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</si>
  <si>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</si>
  <si>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</si>
  <si>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</si>
  <si>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</si>
  <si>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</si>
  <si>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</si>
  <si>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</si>
  <si>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</si>
  <si>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</si>
  <si>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</si>
  <si>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</si>
  <si>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</si>
  <si>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</si>
  <si>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</si>
  <si>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</si>
  <si>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</si>
  <si>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</si>
  <si>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</si>
  <si>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</si>
  <si>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</si>
  <si>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</si>
  <si>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</si>
  <si>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</si>
  <si>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</si>
  <si>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</si>
  <si>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</si>
  <si>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</si>
  <si>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</si>
  <si>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</si>
  <si>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</si>
  <si>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</si>
  <si>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</si>
  <si>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</si>
  <si>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</si>
  <si>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</si>
  <si>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</si>
  <si>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</si>
  <si>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</si>
  <si>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</si>
  <si>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</si>
  <si>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</si>
  <si>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</si>
  <si>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</si>
  <si>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</si>
  <si>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</si>
  <si>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</si>
  <si>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</si>
  <si>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</si>
  <si>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</si>
  <si>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</si>
  <si>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</si>
  <si>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</si>
  <si>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</si>
  <si>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</si>
  <si>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</si>
  <si>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</si>
  <si>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</si>
  <si>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</si>
  <si>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</si>
  <si>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</si>
  <si>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</si>
  <si>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</si>
  <si>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</si>
  <si>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</si>
  <si>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</si>
  <si>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</si>
  <si>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</si>
  <si>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</si>
  <si>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</si>
  <si>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</si>
  <si>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</si>
  <si>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</si>
  <si>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</si>
  <si>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</si>
  <si>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</si>
  <si>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</si>
  <si>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</si>
  <si>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</si>
  <si>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</si>
  <si>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</si>
  <si>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</si>
  <si>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</si>
  <si>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</si>
  <si>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</si>
  <si>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</si>
  <si>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</si>
  <si>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</si>
  <si>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</si>
  <si>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</si>
  <si>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</si>
  <si>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</si>
  <si>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</si>
  <si>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</si>
  <si>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</si>
  <si>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</si>
  <si>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</si>
  <si>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</si>
  <si>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</si>
  <si>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</si>
  <si>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</si>
  <si>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</si>
  <si>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</si>
  <si>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</si>
  <si>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</si>
  <si>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</si>
  <si>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</si>
  <si>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</si>
  <si>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</si>
  <si>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</si>
  <si>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</si>
  <si>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</si>
  <si>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</si>
  <si>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</si>
  <si>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</si>
  <si>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</si>
  <si>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</si>
  <si>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</si>
  <si>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</si>
  <si>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</si>
  <si>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</si>
  <si>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</si>
  <si>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</si>
  <si>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</si>
  <si>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</si>
  <si>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</si>
  <si>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</si>
  <si>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</si>
  <si>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</si>
  <si>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</si>
  <si>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</si>
  <si>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</si>
  <si>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</si>
  <si>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</si>
  <si>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</si>
  <si>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</si>
  <si>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</si>
  <si>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</si>
  <si>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</si>
  <si>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</si>
  <si>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</si>
  <si>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</si>
  <si>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</si>
  <si>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</si>
  <si>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</si>
  <si>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</si>
  <si>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</si>
  <si>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</si>
  <si>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</si>
  <si>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</si>
  <si>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</si>
  <si>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</si>
  <si>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</si>
  <si>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</si>
  <si>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</si>
  <si>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</si>
  <si>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</si>
  <si>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</si>
  <si>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</si>
  <si>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</si>
  <si>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</si>
  <si>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</si>
  <si>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</si>
  <si>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</si>
  <si>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</si>
  <si>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</si>
  <si>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</si>
  <si>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</si>
  <si>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</si>
  <si>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</si>
  <si>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</si>
  <si>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</si>
  <si>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</si>
  <si>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</si>
  <si>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</si>
  <si>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</si>
  <si>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</si>
  <si>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</si>
  <si>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</si>
  <si>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</si>
  <si>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</si>
  <si>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</si>
  <si>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</si>
  <si>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</si>
  <si>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</si>
  <si>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</si>
  <si>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</si>
  <si>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</si>
  <si>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</si>
  <si>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</si>
  <si>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</si>
  <si>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</si>
  <si>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</si>
  <si>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</si>
  <si>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</si>
  <si>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</si>
  <si>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</si>
  <si>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</si>
  <si>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</si>
  <si>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</si>
  <si>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</si>
  <si>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</si>
  <si>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</si>
  <si>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</si>
  <si>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</si>
  <si>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</si>
  <si>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</si>
  <si>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</si>
  <si>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</si>
  <si>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</si>
  <si>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</si>
  <si>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</si>
  <si>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</si>
  <si>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</si>
  <si>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</si>
  <si>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</si>
  <si>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</si>
  <si>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</si>
  <si>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</si>
  <si>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</si>
  <si>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</si>
  <si>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</si>
  <si>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</si>
  <si>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</si>
  <si>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</si>
  <si>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</si>
  <si>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</si>
  <si>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</si>
  <si>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</si>
  <si>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</si>
  <si>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</si>
  <si>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</si>
  <si>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</si>
  <si>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</si>
  <si>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</si>
  <si>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</si>
  <si>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</si>
  <si>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</si>
  <si>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</si>
  <si>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</si>
  <si>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</si>
  <si>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</si>
  <si>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</si>
  <si>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</si>
  <si>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</si>
  <si>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</si>
  <si>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</si>
  <si>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</si>
  <si>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</si>
  <si>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</si>
  <si>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</si>
  <si>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</si>
  <si>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</si>
  <si>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</si>
  <si>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</si>
  <si>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</si>
  <si>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</si>
  <si>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</si>
  <si>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</si>
  <si>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</si>
  <si>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</si>
  <si>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</si>
  <si>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</si>
  <si>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</si>
  <si>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</si>
  <si>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</si>
  <si>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</si>
  <si>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</si>
  <si>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</si>
  <si>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</si>
  <si>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</si>
  <si>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</si>
  <si>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</si>
  <si>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</si>
  <si>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</si>
  <si>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</si>
  <si>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</si>
  <si>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</si>
  <si>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</si>
  <si>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</si>
  <si>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</si>
  <si>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</si>
  <si>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</si>
  <si>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</si>
  <si>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</si>
  <si>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</si>
  <si>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</si>
  <si>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</si>
  <si>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</si>
  <si>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</si>
  <si>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</si>
  <si>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</si>
  <si>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</si>
  <si>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</si>
  <si>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</si>
  <si>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</si>
  <si>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</si>
  <si>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</si>
  <si>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</si>
  <si>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</si>
  <si>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</si>
  <si>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</si>
  <si>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</si>
  <si>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</si>
  <si>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</si>
  <si>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</si>
  <si>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</si>
  <si>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</si>
  <si>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</si>
  <si>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</si>
  <si>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</si>
  <si>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</si>
  <si>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</si>
  <si>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</si>
  <si>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</si>
  <si>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</si>
  <si>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</si>
  <si>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</si>
  <si>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</si>
  <si>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</si>
  <si>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</si>
  <si>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</si>
  <si>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</si>
  <si>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</si>
  <si>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</si>
  <si>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</si>
  <si>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</si>
  <si>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</si>
  <si>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</si>
  <si>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</si>
  <si>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</si>
  <si>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</si>
  <si>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</si>
  <si>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</si>
  <si>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</si>
  <si>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</si>
  <si>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</si>
  <si>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</si>
  <si>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</si>
  <si>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</si>
  <si>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</si>
  <si>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</si>
  <si>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</si>
  <si>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</si>
  <si>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</si>
  <si>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</si>
  <si>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</si>
  <si>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</si>
  <si>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</si>
  <si>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</si>
  <si>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</si>
  <si>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</si>
  <si>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</si>
  <si>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</si>
  <si>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</si>
  <si>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</si>
  <si>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</si>
  <si>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</si>
  <si>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</si>
  <si>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</si>
  <si>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</si>
  <si>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</si>
  <si>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</si>
  <si>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</si>
  <si>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</si>
  <si>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</si>
  <si>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</si>
  <si>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</si>
  <si>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</si>
  <si>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</si>
  <si>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</si>
  <si>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</si>
  <si>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</si>
  <si>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</si>
  <si>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</si>
  <si>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</si>
  <si>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</si>
  <si>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</si>
  <si>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</si>
  <si>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</si>
  <si>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</si>
  <si>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</si>
  <si>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</si>
  <si>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</si>
  <si>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</si>
  <si>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</si>
  <si>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</si>
  <si>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</si>
  <si>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</si>
  <si>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</si>
  <si>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</si>
  <si>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</si>
  <si>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</si>
  <si>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</si>
  <si>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</si>
  <si>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</si>
  <si>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</si>
  <si>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</si>
  <si>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</si>
  <si>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</si>
  <si>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</si>
  <si>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</si>
  <si>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</si>
  <si>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</si>
  <si>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</si>
  <si>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</si>
  <si>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</si>
  <si>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</si>
  <si>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</si>
  <si>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</si>
  <si>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</si>
  <si>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</si>
  <si>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</si>
  <si>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</si>
  <si>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</si>
  <si>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</si>
  <si>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</si>
  <si>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</si>
  <si>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</si>
  <si>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</si>
  <si>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</si>
  <si>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</si>
  <si>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</si>
  <si>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</si>
  <si>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</si>
  <si>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</si>
  <si>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</si>
  <si>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</si>
  <si>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</si>
  <si>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</si>
  <si>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</si>
  <si>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</si>
  <si>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</si>
  <si>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</si>
  <si>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</si>
  <si>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</si>
  <si>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</si>
  <si>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</si>
  <si>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</si>
  <si>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</si>
  <si>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</si>
  <si>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</si>
  <si>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</si>
  <si>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</si>
  <si>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</si>
  <si>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</si>
  <si>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</si>
  <si>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</si>
  <si>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</si>
  <si>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</si>
  <si>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</si>
  <si>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</si>
  <si>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</si>
  <si>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</si>
  <si>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</si>
  <si>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</si>
  <si>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</si>
  <si>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</si>
  <si>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</si>
  <si>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</si>
  <si>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</si>
  <si>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</si>
  <si>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</si>
  <si>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</si>
  <si>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</si>
  <si>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</si>
  <si>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</si>
  <si>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</si>
  <si>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</si>
  <si>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</si>
  <si>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</si>
  <si>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</si>
  <si>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</si>
  <si>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</si>
  <si>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</si>
  <si>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</si>
  <si>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</si>
  <si>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</si>
  <si>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</si>
  <si>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</si>
  <si>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</si>
  <si>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</si>
  <si>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</si>
  <si>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</si>
  <si>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</si>
  <si>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</si>
  <si>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</si>
  <si>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</si>
  <si>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</si>
  <si>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</si>
  <si>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</si>
  <si>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</si>
  <si>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</si>
  <si>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</si>
  <si>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</si>
  <si>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</si>
  <si>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</si>
  <si>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</si>
  <si>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</si>
  <si>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</si>
  <si>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</si>
  <si>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</si>
  <si>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</si>
  <si>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</si>
  <si>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</si>
  <si>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</si>
  <si>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</si>
  <si>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</si>
  <si>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</si>
  <si>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</si>
  <si>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</si>
  <si>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</si>
  <si>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</si>
  <si>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</si>
  <si>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</si>
  <si>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</si>
  <si>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</si>
  <si>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</si>
  <si>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</si>
  <si>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</si>
  <si>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</si>
  <si>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</si>
  <si>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</si>
  <si>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</si>
  <si>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</si>
  <si>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</si>
  <si>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</si>
  <si>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</si>
  <si>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</si>
  <si>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</si>
  <si>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</si>
  <si>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</si>
  <si>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</si>
  <si>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</si>
  <si>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</si>
  <si>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</si>
  <si>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</si>
  <si>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</si>
  <si>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</si>
  <si>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</si>
  <si>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</si>
  <si>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</si>
  <si>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</si>
  <si>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</si>
  <si>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</si>
  <si>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</si>
  <si>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</si>
  <si>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</si>
  <si>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</si>
  <si>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</si>
  <si>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</si>
  <si>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</si>
  <si>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</si>
  <si>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</si>
  <si>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</si>
  <si>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</si>
  <si>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</si>
  <si>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</si>
  <si>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</si>
  <si>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</si>
  <si>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</si>
  <si>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</si>
  <si>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</si>
  <si>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</si>
  <si>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</si>
  <si>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</si>
  <si>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</si>
  <si>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</si>
  <si>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</si>
  <si>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</si>
  <si>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</si>
  <si>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</si>
  <si>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</si>
  <si>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</si>
  <si>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</si>
  <si>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</si>
  <si>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</si>
  <si>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</si>
  <si>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</si>
  <si>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</si>
  <si>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</si>
  <si>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</si>
  <si>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</si>
  <si>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</si>
  <si>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</si>
  <si>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</si>
  <si>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</si>
  <si>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</si>
  <si>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</si>
  <si>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</si>
  <si>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</si>
  <si>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</si>
  <si>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</si>
  <si>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</si>
  <si>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</si>
  <si>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</si>
  <si>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</si>
  <si>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</si>
  <si>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</si>
  <si>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</si>
  <si>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</si>
  <si>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</si>
  <si>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</si>
  <si>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</si>
  <si>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</si>
  <si>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</si>
  <si>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</si>
  <si>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</si>
  <si>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</si>
  <si>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</si>
  <si>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</si>
  <si>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</si>
  <si>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</si>
  <si>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</si>
  <si>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</si>
  <si>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</si>
  <si>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</si>
  <si>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</si>
  <si>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</si>
  <si>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</si>
  <si>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</si>
  <si>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</si>
  <si>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</si>
  <si>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</si>
  <si>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</si>
  <si>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</si>
  <si>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</si>
  <si>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</si>
  <si>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</si>
  <si>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</si>
  <si>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</si>
  <si>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</si>
  <si>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</si>
  <si>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</si>
  <si>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</si>
  <si>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</si>
  <si>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</si>
  <si>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</si>
  <si>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</si>
  <si>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</si>
  <si>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</si>
  <si>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</si>
  <si>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</si>
  <si>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</si>
  <si>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</si>
  <si>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</si>
  <si>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</si>
  <si>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</si>
  <si>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</si>
  <si>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</si>
  <si>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</si>
  <si>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</si>
  <si>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</si>
  <si>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</si>
  <si>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</si>
  <si>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</si>
  <si>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</si>
  <si>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</si>
  <si>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</si>
  <si>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</si>
  <si>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</si>
  <si>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</si>
  <si>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</si>
  <si>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</si>
  <si>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</si>
  <si>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</si>
  <si>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</si>
  <si>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</si>
  <si>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</si>
  <si>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</si>
  <si>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</si>
  <si>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</si>
  <si>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</si>
  <si>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</si>
  <si>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</si>
  <si>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</si>
  <si>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</si>
  <si>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</si>
  <si>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</si>
  <si>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</si>
  <si>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</si>
  <si>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</si>
  <si>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</si>
  <si>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</si>
  <si>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</si>
  <si>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</si>
  <si>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</si>
  <si>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</si>
  <si>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</si>
  <si>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</si>
  <si>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</si>
  <si>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</si>
  <si>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</si>
  <si>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</si>
  <si>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</si>
  <si>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</si>
  <si>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</si>
  <si>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</si>
  <si>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</si>
  <si>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</si>
  <si>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</si>
  <si>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</si>
  <si>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</si>
  <si>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</si>
  <si>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</si>
  <si>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</si>
  <si>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</si>
  <si>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</si>
  <si>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</si>
  <si>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</si>
  <si>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</si>
  <si>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</si>
  <si>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</si>
  <si>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</si>
  <si>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</si>
  <si>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</si>
  <si>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</si>
  <si>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</si>
  <si>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</si>
  <si>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</si>
  <si>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</si>
  <si>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</si>
  <si>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</si>
  <si>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</si>
  <si>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</si>
  <si>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</si>
  <si>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</si>
  <si>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</si>
  <si>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</si>
  <si>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</si>
  <si>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</si>
  <si>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</si>
  <si>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</si>
  <si>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</si>
  <si>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</si>
  <si>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</si>
  <si>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</si>
  <si>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</si>
  <si>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</si>
  <si>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</si>
  <si>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</si>
  <si>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</si>
  <si>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</si>
  <si>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</si>
  <si>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</si>
  <si>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</si>
  <si>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</si>
  <si>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</si>
  <si>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</si>
  <si>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</si>
  <si>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</si>
  <si>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</si>
  <si>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</si>
  <si>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</si>
  <si>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</si>
  <si>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</si>
  <si>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</si>
  <si>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</si>
  <si>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</si>
  <si>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</si>
  <si>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</si>
  <si>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</si>
  <si>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</si>
  <si>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</si>
  <si>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</si>
  <si>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</si>
  <si>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</si>
  <si>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</si>
  <si>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</si>
  <si>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</si>
  <si>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</si>
  <si>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</si>
  <si>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</si>
  <si>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</si>
  <si>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</si>
  <si>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</si>
  <si>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</si>
  <si>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</si>
  <si>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</si>
  <si>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</si>
  <si>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</si>
  <si>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</si>
  <si>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</si>
  <si>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</si>
  <si>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</si>
  <si>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</si>
  <si>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</si>
  <si>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</si>
  <si>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</si>
  <si>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</si>
  <si>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</si>
  <si>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</si>
  <si>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</si>
  <si>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</si>
  <si>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</si>
  <si>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</si>
  <si>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</si>
  <si>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</si>
  <si>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</si>
  <si>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</si>
  <si>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</si>
  <si>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</si>
  <si>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</si>
  <si>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</si>
  <si>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</si>
  <si>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</si>
  <si>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</si>
  <si>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</si>
  <si>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</si>
  <si>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</si>
  <si>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</si>
  <si>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</si>
  <si>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</si>
  <si>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</si>
  <si>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</si>
  <si>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</si>
  <si>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</si>
  <si>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</si>
  <si>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</si>
  <si>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</si>
  <si>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</si>
  <si>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</si>
  <si>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</si>
  <si>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</si>
  <si>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</si>
  <si>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</si>
  <si>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</si>
  <si>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</si>
  <si>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</si>
  <si>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</si>
  <si>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</si>
  <si>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</si>
  <si>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</si>
  <si>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</si>
  <si>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</si>
  <si>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</si>
  <si>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</si>
  <si>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</si>
  <si>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</si>
  <si>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</si>
  <si>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</si>
  <si>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</si>
  <si>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</si>
  <si>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</si>
  <si>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</si>
  <si>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</si>
  <si>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</si>
  <si>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</si>
  <si>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</si>
  <si>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</si>
  <si>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</si>
  <si>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</si>
  <si>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</si>
  <si>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</si>
  <si>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</si>
  <si>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</si>
  <si>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</si>
  <si>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</si>
  <si>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</si>
  <si>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</si>
  <si>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</si>
  <si>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</si>
  <si>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</si>
  <si>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</si>
  <si>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</si>
  <si>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</si>
  <si>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</si>
  <si>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</si>
  <si>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</si>
  <si>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</si>
  <si>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</si>
  <si>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</si>
  <si>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</si>
  <si>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</si>
  <si>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</si>
  <si>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</si>
  <si>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</si>
  <si>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</si>
  <si>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</si>
  <si>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</si>
  <si>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</si>
  <si>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</si>
  <si>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</si>
  <si>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</si>
  <si>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</si>
  <si>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</si>
  <si>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</si>
  <si>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</si>
  <si>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</si>
  <si>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</si>
  <si>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</si>
  <si>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</si>
  <si>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</si>
  <si>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</si>
  <si>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</si>
  <si>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</si>
  <si>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</si>
  <si>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</si>
  <si>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</si>
  <si>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</si>
  <si>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</si>
  <si>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</si>
  <si>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</si>
  <si>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</si>
  <si>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</si>
  <si>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</si>
  <si>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</si>
  <si>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</si>
  <si>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</si>
  <si>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</si>
  <si>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</si>
  <si>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</si>
  <si>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</si>
  <si>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</si>
  <si>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</si>
  <si>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</si>
  <si>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</si>
  <si>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</si>
  <si>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</si>
  <si>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</si>
  <si>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</si>
  <si>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</si>
  <si>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</si>
  <si>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</si>
  <si>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</si>
  <si>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</si>
  <si>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</si>
  <si>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</si>
  <si>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</si>
  <si>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</si>
  <si>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</si>
  <si>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</si>
  <si>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</si>
  <si>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</si>
  <si>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</si>
  <si>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</si>
  <si>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</si>
  <si>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</si>
  <si>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</si>
  <si>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</si>
  <si>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</si>
  <si>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</si>
  <si>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</si>
  <si>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</si>
  <si>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</si>
  <si>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</si>
  <si>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</si>
  <si>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</si>
  <si>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</si>
  <si>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</si>
  <si>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</si>
  <si>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</si>
  <si>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</si>
  <si>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</si>
  <si>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</si>
  <si>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</si>
  <si>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</si>
  <si>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</si>
  <si>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</si>
  <si>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</si>
  <si>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</si>
  <si>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</si>
  <si>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</si>
  <si>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</si>
  <si>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</si>
  <si>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</si>
  <si>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</si>
  <si>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</si>
  <si>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</si>
  <si>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</si>
  <si>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</si>
  <si>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</si>
  <si>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</si>
  <si>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</si>
  <si>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</si>
  <si>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</si>
  <si>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</si>
  <si>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</si>
  <si>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</si>
  <si>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</si>
  <si>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</si>
  <si>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</si>
  <si>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</si>
  <si>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</si>
  <si>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</si>
  <si>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</si>
  <si>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</si>
  <si>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</si>
  <si>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</si>
  <si>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</si>
  <si>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</si>
  <si>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</si>
  <si>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</si>
  <si>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</si>
  <si>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</si>
  <si>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</si>
  <si>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</si>
  <si>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</si>
  <si>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</si>
  <si>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</si>
  <si>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</si>
  <si>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</si>
  <si>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</si>
  <si>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</si>
  <si>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</si>
  <si>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</si>
  <si>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</si>
  <si>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</si>
  <si>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</si>
  <si>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</si>
  <si>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</si>
  <si>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</si>
  <si>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</si>
  <si>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</si>
  <si>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</si>
  <si>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</si>
  <si>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</si>
  <si>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</si>
  <si>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</si>
  <si>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</si>
  <si>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</si>
  <si>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</si>
  <si>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</si>
  <si>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</si>
  <si>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</si>
  <si>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</si>
  <si>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</si>
  <si>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</si>
  <si>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</si>
  <si>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</si>
  <si>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</si>
  <si>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</si>
  <si>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</si>
  <si>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</si>
  <si>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</si>
  <si>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</si>
  <si>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</si>
  <si>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</si>
  <si>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</si>
  <si>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</si>
  <si>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</si>
  <si>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</si>
  <si>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</si>
  <si>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</si>
  <si>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</si>
  <si>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</si>
  <si>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</si>
  <si>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</si>
  <si>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</si>
  <si>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</si>
  <si>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</si>
  <si>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</si>
  <si>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</si>
  <si>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</si>
  <si>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</si>
  <si>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</si>
  <si>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</si>
  <si>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</si>
  <si>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</si>
  <si>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</si>
  <si>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</si>
  <si>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</si>
  <si>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</si>
  <si>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</si>
  <si>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</si>
  <si>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</si>
  <si>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</si>
  <si>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</si>
  <si>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</si>
  <si>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</si>
  <si>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</si>
  <si>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</si>
  <si>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</si>
  <si>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</si>
  <si>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</si>
  <si>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</si>
  <si>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</si>
  <si>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</si>
  <si>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</si>
  <si>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</si>
  <si>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</si>
  <si>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</si>
  <si>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</si>
  <si>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</si>
  <si>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</si>
  <si>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</si>
  <si>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</si>
  <si>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</si>
  <si>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</si>
  <si>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</si>
  <si>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</si>
  <si>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</si>
  <si>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</si>
  <si>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</si>
  <si>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</si>
  <si>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</si>
  <si>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</si>
  <si>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</si>
  <si>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</si>
  <si>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</si>
  <si>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</si>
  <si>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</si>
  <si>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</si>
  <si>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</si>
  <si>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</si>
  <si>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</si>
  <si>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</si>
  <si>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</si>
  <si>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</si>
  <si>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</si>
  <si>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</si>
  <si>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</si>
  <si>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</si>
  <si>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</si>
  <si>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</si>
  <si>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</si>
  <si>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</si>
  <si>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</si>
  <si>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</si>
  <si>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</si>
  <si>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</si>
  <si>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</si>
  <si>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</si>
  <si>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</si>
  <si>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</si>
  <si>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</si>
  <si>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</si>
  <si>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</si>
  <si>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</si>
  <si>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</si>
  <si>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</si>
  <si>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</si>
  <si>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</si>
  <si>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</si>
  <si>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</si>
  <si>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</si>
  <si>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</si>
  <si>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</si>
  <si>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</si>
  <si>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</si>
  <si>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</si>
  <si>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</si>
  <si>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</si>
  <si>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</si>
  <si>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</si>
  <si>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</si>
  <si>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</si>
  <si>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</si>
  <si>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</si>
  <si>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</si>
  <si>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</si>
  <si>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</si>
  <si>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</si>
  <si>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</si>
  <si>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</si>
  <si>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</si>
  <si>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</si>
  <si>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</si>
  <si>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</si>
  <si>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</si>
  <si>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</si>
  <si>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</si>
  <si>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</si>
  <si>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</si>
  <si>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</si>
  <si>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</si>
  <si>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</si>
  <si>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</si>
  <si>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</si>
  <si>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</si>
  <si>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</si>
  <si>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</si>
  <si>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</si>
  <si>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</si>
  <si>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</si>
  <si>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</si>
  <si>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</si>
  <si>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</si>
  <si>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</si>
  <si>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</si>
  <si>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</si>
  <si>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</si>
  <si>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</si>
  <si>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</si>
  <si>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</si>
  <si>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</si>
  <si>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</si>
  <si>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</si>
  <si>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</si>
  <si>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</si>
  <si>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</si>
  <si>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</si>
  <si>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</si>
  <si>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</si>
  <si>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</si>
  <si>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</si>
  <si>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</si>
  <si>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</si>
  <si>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</si>
  <si>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</si>
  <si>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</si>
  <si>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</si>
  <si>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</si>
  <si>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</si>
  <si>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</si>
  <si>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</si>
  <si>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</si>
  <si>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</si>
  <si>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</si>
  <si>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</si>
  <si>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</si>
  <si>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</si>
  <si>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</si>
  <si>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</si>
  <si>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</si>
  <si>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</si>
  <si>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</si>
  <si>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</si>
  <si>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</si>
  <si>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</si>
  <si>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</si>
  <si>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</si>
  <si>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</si>
  <si>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</si>
  <si>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</si>
  <si>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</si>
  <si>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</si>
  <si>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</si>
  <si>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</si>
  <si>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</si>
  <si>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</si>
  <si>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</si>
  <si>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</si>
  <si>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</si>
  <si>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</si>
  <si>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</si>
  <si>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</si>
  <si>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</si>
  <si>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</si>
  <si>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</si>
  <si>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</si>
  <si>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</si>
  <si>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</si>
  <si>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</si>
  <si>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</si>
  <si>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</si>
  <si>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</si>
  <si>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</si>
  <si>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</si>
  <si>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</si>
  <si>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</si>
  <si>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</si>
  <si>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</si>
  <si>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</si>
  <si>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</si>
  <si>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</si>
  <si>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</si>
  <si>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</si>
  <si>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</si>
  <si>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</si>
  <si>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</si>
  <si>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</si>
  <si>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</si>
  <si>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</si>
  <si>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</si>
  <si>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</si>
  <si>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</si>
  <si>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</si>
  <si>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</si>
  <si>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</si>
  <si>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</si>
  <si>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</si>
  <si>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</si>
  <si>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</si>
  <si>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</si>
  <si>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</si>
  <si>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</si>
  <si>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</si>
  <si>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</si>
  <si>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</si>
  <si>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</si>
  <si>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</si>
  <si>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</si>
  <si>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</si>
  <si>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</si>
  <si>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</si>
  <si>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</si>
  <si>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</si>
  <si>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</si>
  <si>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</si>
  <si>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</si>
  <si>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</si>
  <si>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</si>
  <si>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</si>
  <si>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</si>
  <si>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</si>
  <si>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</si>
  <si>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</si>
  <si>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</si>
  <si>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</si>
  <si>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</si>
  <si>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</si>
  <si>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</si>
  <si>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</si>
  <si>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</si>
  <si>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</si>
  <si>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</si>
  <si>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</si>
  <si>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</si>
  <si>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</si>
  <si>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</si>
  <si>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</si>
  <si>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</si>
  <si>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</si>
  <si>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</si>
  <si>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</si>
  <si>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</si>
  <si>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</si>
  <si>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</si>
  <si>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</si>
  <si>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</si>
  <si>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</si>
  <si>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</si>
  <si>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</si>
  <si>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</si>
  <si>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</si>
  <si>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</si>
  <si>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</si>
  <si>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</si>
  <si>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</si>
  <si>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</si>
  <si>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</si>
  <si>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</si>
  <si>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</si>
  <si>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</si>
  <si>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</si>
  <si>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</si>
  <si>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</si>
  <si>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</si>
  <si>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</si>
  <si>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</si>
  <si>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</si>
  <si>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</si>
  <si>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</si>
  <si>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</si>
  <si>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</si>
  <si>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</si>
  <si>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</si>
  <si>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</si>
  <si>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</si>
  <si>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</si>
  <si>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</si>
  <si>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</si>
  <si>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</si>
  <si>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</si>
  <si>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</si>
  <si>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</si>
  <si>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</si>
  <si>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</si>
  <si>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</si>
  <si>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</si>
  <si>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</si>
  <si>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</si>
  <si>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</si>
  <si>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</si>
  <si>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</si>
  <si>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</si>
  <si>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</si>
  <si>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</si>
  <si>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</si>
  <si>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</si>
  <si>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</si>
  <si>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</si>
  <si>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</si>
  <si>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</si>
  <si>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</si>
  <si>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</si>
  <si>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</si>
  <si>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</si>
  <si>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</si>
  <si>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</si>
  <si>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</si>
  <si>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</si>
  <si>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</si>
  <si>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</si>
  <si>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</si>
  <si>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</si>
  <si>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</si>
  <si>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</si>
  <si>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</si>
  <si>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</si>
  <si>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</si>
  <si>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</si>
  <si>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</si>
  <si>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</si>
  <si>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</si>
  <si>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</si>
  <si>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</si>
  <si>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</si>
  <si>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</si>
  <si>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</si>
  <si>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</si>
  <si>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</si>
  <si>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</si>
  <si>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</si>
  <si>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</si>
  <si>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</si>
  <si>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</si>
  <si>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</si>
  <si>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</si>
  <si>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</si>
  <si>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</si>
  <si>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</si>
  <si>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</si>
  <si>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</si>
  <si>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</si>
  <si>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</si>
  <si>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</si>
  <si>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</si>
  <si>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</si>
  <si>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</si>
  <si>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</si>
  <si>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</si>
  <si>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</si>
  <si>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</si>
  <si>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</si>
  <si>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</si>
  <si>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</si>
  <si>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</si>
  <si>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</si>
  <si>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</si>
  <si>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</si>
  <si>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</si>
  <si>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</si>
  <si>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</si>
  <si>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</si>
  <si>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</si>
  <si>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</si>
  <si>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</si>
  <si>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</si>
  <si>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</si>
  <si>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</si>
  <si>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</si>
  <si>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</si>
  <si>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</si>
  <si>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</si>
  <si>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</si>
  <si>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</si>
  <si>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</si>
  <si>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</si>
  <si>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</si>
  <si>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</si>
  <si>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</si>
  <si>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</si>
  <si>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</si>
  <si>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</si>
  <si>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</si>
  <si>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</si>
  <si>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</si>
  <si>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</si>
  <si>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</si>
  <si>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</si>
  <si>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</si>
  <si>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</si>
  <si>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</si>
  <si>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</si>
  <si>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</si>
  <si>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</si>
  <si>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</si>
  <si>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</si>
  <si>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</si>
  <si>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</si>
  <si>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</si>
  <si>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</si>
  <si>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</si>
  <si>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</si>
  <si>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</si>
  <si>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</si>
  <si>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</si>
  <si>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</si>
  <si>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</si>
  <si>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</si>
  <si>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</si>
  <si>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</si>
  <si>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</si>
  <si>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</si>
  <si>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</si>
  <si>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</si>
  <si>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</si>
  <si>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</si>
  <si>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</si>
  <si>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</si>
  <si>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</si>
  <si>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</si>
  <si>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</si>
  <si>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</si>
  <si>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</si>
  <si>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</si>
  <si>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</si>
  <si>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</si>
  <si>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</si>
  <si>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</si>
  <si>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</si>
  <si>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</si>
  <si>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</si>
  <si>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</si>
  <si>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</si>
  <si>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</si>
  <si>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</si>
  <si>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</si>
  <si>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</si>
  <si>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</si>
  <si>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</si>
  <si>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</si>
  <si>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</si>
  <si>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</si>
  <si>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</si>
  <si>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</si>
  <si>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</si>
  <si>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</si>
  <si>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</si>
  <si>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</si>
  <si>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</si>
  <si>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</si>
  <si>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</si>
  <si>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</si>
  <si>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</si>
  <si>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</si>
  <si>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</si>
  <si>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</si>
  <si>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</si>
  <si>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</si>
  <si>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</si>
  <si>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</si>
  <si>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</si>
  <si>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</si>
  <si>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</si>
  <si>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</si>
  <si>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</si>
  <si>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</si>
  <si>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</si>
  <si>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</si>
  <si>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</si>
  <si>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</si>
  <si>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</si>
  <si>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</si>
  <si>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</si>
  <si>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</si>
  <si>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</si>
  <si>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</si>
  <si>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</si>
  <si>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</si>
  <si>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</si>
  <si>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</si>
  <si>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</si>
  <si>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</si>
  <si>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</si>
  <si>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</si>
  <si>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</si>
  <si>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</si>
  <si>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</si>
  <si>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</si>
  <si>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</si>
  <si>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</si>
  <si>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</si>
  <si>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</si>
  <si>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</si>
  <si>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</si>
  <si>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</si>
  <si>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</si>
  <si>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</si>
  <si>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</si>
  <si>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</si>
  <si>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</si>
  <si>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</si>
  <si>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</si>
  <si>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</si>
  <si>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</si>
  <si>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</si>
  <si>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</si>
  <si>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</si>
  <si>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</si>
  <si>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</si>
  <si>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</si>
  <si>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</si>
  <si>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</si>
  <si>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</si>
  <si>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</si>
  <si>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</si>
  <si>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</si>
  <si>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</si>
  <si>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</si>
  <si>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</si>
  <si>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</si>
  <si>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</si>
  <si>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</si>
  <si>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</si>
  <si>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</si>
  <si>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</si>
  <si>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</si>
  <si>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</si>
  <si>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</si>
  <si>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</si>
  <si>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</si>
  <si>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</si>
  <si>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</si>
  <si>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</si>
  <si>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</si>
  <si>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</si>
  <si>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</si>
  <si>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</si>
  <si>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</si>
  <si>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</si>
  <si>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</si>
  <si>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</si>
  <si>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</si>
  <si>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</si>
  <si>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</si>
  <si>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</si>
  <si>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</si>
  <si>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</si>
  <si>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</si>
  <si>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</si>
  <si>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</si>
  <si>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</si>
  <si>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</si>
  <si>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</si>
  <si>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</si>
  <si>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</si>
  <si>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</si>
  <si>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</si>
  <si>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</si>
  <si>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</si>
  <si>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</si>
  <si>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</si>
  <si>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</si>
  <si>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</si>
  <si>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</si>
  <si>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</si>
  <si>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</si>
  <si>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</si>
  <si>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</si>
  <si>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</si>
  <si>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</si>
  <si>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</si>
  <si>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</si>
  <si>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</si>
  <si>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</si>
  <si>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</si>
  <si>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</si>
  <si>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</si>
  <si>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</si>
  <si>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</si>
  <si>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</si>
  <si>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</si>
  <si>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</si>
  <si>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</si>
  <si>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</si>
  <si>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</si>
  <si>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</si>
  <si>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</si>
  <si>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</si>
  <si>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</si>
  <si>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</si>
  <si>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</si>
  <si>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</si>
  <si>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</si>
  <si>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</si>
  <si>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</si>
  <si>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</si>
  <si>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</si>
  <si>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</si>
  <si>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</si>
  <si>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</si>
  <si>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</si>
  <si>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</si>
  <si>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</si>
  <si>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</si>
  <si>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</si>
  <si>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</si>
  <si>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</si>
  <si>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</si>
  <si>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</si>
  <si>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</si>
  <si>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</si>
  <si>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</si>
  <si>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</si>
  <si>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</si>
  <si>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</si>
  <si>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</si>
  <si>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</si>
  <si>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</si>
  <si>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</si>
  <si>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</si>
  <si>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</si>
  <si>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</si>
  <si>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</si>
  <si>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</si>
  <si>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</si>
  <si>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</si>
  <si>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</si>
  <si>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</si>
  <si>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</si>
  <si>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</si>
  <si>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</si>
  <si>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</si>
  <si>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</si>
  <si>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</si>
  <si>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</si>
  <si>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</si>
  <si>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</si>
  <si>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</si>
  <si>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</si>
  <si>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</si>
  <si>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</si>
  <si>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</si>
  <si>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</si>
  <si>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</si>
  <si>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</si>
  <si>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</si>
  <si>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</si>
  <si>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</si>
  <si>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</si>
  <si>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</si>
  <si>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</si>
  <si>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</si>
  <si>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</si>
  <si>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</si>
  <si>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</si>
  <si>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</si>
  <si>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</si>
  <si>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</si>
  <si>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</si>
  <si>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</si>
  <si>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</si>
  <si>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</si>
  <si>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</si>
  <si>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</si>
  <si>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</si>
  <si>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</si>
  <si>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</si>
  <si>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</si>
  <si>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</si>
  <si>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</si>
  <si>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</si>
  <si>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</si>
  <si>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</si>
  <si>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</si>
  <si>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</si>
  <si>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</si>
  <si>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</si>
  <si>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</si>
  <si>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</si>
  <si>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</si>
  <si>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</si>
  <si>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</si>
  <si>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</si>
  <si>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</si>
  <si>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</si>
  <si>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</si>
  <si>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</si>
  <si>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</si>
  <si>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</si>
  <si>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</si>
  <si>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</si>
  <si>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</si>
  <si>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</si>
  <si>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</si>
  <si>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</si>
  <si>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</si>
  <si>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</si>
  <si>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</si>
  <si>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</si>
  <si>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</si>
  <si>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</si>
  <si>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</si>
  <si>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</si>
  <si>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</si>
  <si>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</si>
  <si>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</si>
  <si>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</si>
  <si>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</si>
  <si>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</si>
  <si>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</si>
  <si>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</si>
  <si>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</si>
  <si>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</si>
  <si>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</si>
  <si>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</si>
  <si>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</si>
  <si>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</si>
  <si>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</si>
  <si>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</si>
  <si>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</si>
  <si>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</si>
  <si>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</si>
  <si>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</si>
  <si>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</si>
  <si>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</si>
  <si>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</si>
  <si>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</si>
  <si>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</si>
  <si>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</si>
  <si>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</si>
  <si>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</si>
  <si>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</si>
  <si>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</si>
  <si>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</si>
  <si>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</si>
  <si>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</si>
  <si>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</si>
  <si>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</si>
  <si>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</si>
  <si>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</si>
  <si>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</si>
  <si>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</si>
  <si>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</si>
  <si>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</si>
  <si>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</si>
  <si>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</si>
  <si>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</si>
  <si>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</si>
  <si>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</si>
  <si>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</si>
  <si>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</si>
  <si>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</si>
  <si>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</si>
  <si>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</si>
  <si>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</si>
  <si>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</si>
  <si>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</si>
  <si>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</si>
  <si>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</si>
  <si>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</si>
  <si>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</si>
  <si>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</si>
  <si>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</si>
  <si>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</si>
  <si>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</si>
  <si>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</si>
  <si>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</si>
  <si>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</si>
  <si>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</si>
  <si>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</si>
  <si>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</si>
  <si>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</si>
  <si>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</si>
  <si>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</si>
  <si>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</si>
  <si>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</si>
  <si>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</si>
  <si>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</si>
  <si>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</si>
  <si>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</si>
  <si>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</si>
  <si>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</si>
  <si>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</si>
  <si>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</si>
  <si>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</si>
  <si>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</si>
  <si>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</si>
  <si>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</si>
  <si>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</si>
  <si>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</si>
  <si>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</si>
  <si>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</si>
  <si>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</si>
  <si>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</si>
  <si>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</si>
  <si>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</si>
  <si>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</si>
  <si>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</si>
  <si>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</si>
  <si>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</si>
  <si>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</si>
  <si>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</si>
  <si>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</si>
  <si>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</si>
  <si>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</si>
  <si>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</si>
  <si>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</si>
  <si>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</si>
  <si>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</si>
  <si>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</si>
  <si>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</si>
  <si>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</si>
  <si>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</si>
  <si>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</si>
  <si>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</si>
  <si>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</si>
  <si>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</si>
  <si>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</si>
  <si>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</si>
  <si>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</si>
  <si>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</si>
  <si>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</si>
  <si>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</si>
  <si>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</si>
  <si>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</si>
  <si>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</si>
  <si>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</si>
  <si>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</si>
  <si>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</si>
  <si>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</si>
  <si>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</si>
  <si>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</si>
  <si>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</si>
  <si>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</si>
  <si>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</si>
  <si>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</si>
  <si>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</si>
  <si>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</si>
  <si>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</si>
  <si>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</si>
  <si>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</si>
  <si>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</si>
  <si>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</si>
  <si>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</si>
  <si>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</si>
  <si>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</si>
  <si>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</si>
  <si>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</si>
  <si>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</si>
  <si>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</si>
  <si>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</si>
  <si>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</si>
  <si>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</si>
  <si>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</si>
  <si>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</si>
  <si>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</si>
  <si>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</si>
  <si>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</si>
  <si>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</si>
  <si>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</si>
  <si>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</si>
  <si>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</si>
  <si>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</si>
  <si>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</si>
  <si>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</si>
  <si>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</si>
  <si>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</si>
  <si>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</si>
  <si>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</si>
  <si>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</si>
  <si>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</si>
  <si>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</si>
  <si>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</si>
  <si>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</si>
  <si>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</si>
  <si>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</si>
  <si>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</si>
  <si>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</si>
  <si>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</si>
  <si>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</si>
  <si>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</si>
  <si>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</si>
  <si>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</si>
  <si>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</si>
  <si>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</si>
  <si>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</si>
  <si>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</si>
  <si>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</si>
  <si>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</si>
  <si>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</si>
  <si>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</si>
  <si>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</si>
  <si>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</si>
  <si>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</si>
  <si>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</si>
  <si>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</si>
  <si>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</si>
  <si>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</si>
  <si>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</si>
  <si>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</si>
  <si>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</si>
  <si>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</si>
  <si>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</si>
  <si>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</si>
  <si>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</si>
  <si>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</si>
  <si>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</si>
  <si>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</si>
  <si>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</si>
  <si>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</si>
  <si>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</si>
  <si>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</si>
  <si>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</si>
  <si>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</si>
  <si>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</si>
  <si>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</si>
  <si>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</si>
  <si>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</si>
  <si>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</si>
  <si>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</si>
  <si>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</si>
  <si>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</si>
  <si>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</si>
  <si>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</si>
  <si>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</si>
  <si>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</si>
  <si>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</si>
  <si>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</si>
  <si>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</si>
  <si>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</si>
  <si>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</si>
  <si>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</si>
  <si>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</si>
  <si>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</si>
  <si>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</si>
  <si>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</si>
  <si>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</si>
  <si>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</si>
  <si>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</si>
  <si>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</si>
  <si>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</si>
  <si>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</si>
  <si>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</si>
  <si>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</si>
  <si>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</si>
  <si>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</si>
  <si>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</si>
  <si>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</si>
  <si>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</si>
  <si>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</si>
  <si>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</si>
  <si>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</si>
  <si>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</si>
  <si>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</si>
  <si>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</si>
  <si>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</si>
  <si>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</si>
  <si>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</si>
  <si>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</si>
  <si>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</si>
  <si>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</si>
  <si>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</si>
  <si>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</si>
  <si>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</si>
  <si>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</si>
  <si>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</si>
  <si>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</si>
  <si>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</si>
  <si>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</si>
  <si>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</si>
  <si>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</si>
  <si>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</si>
  <si>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</si>
  <si>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</si>
  <si>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</si>
  <si>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</si>
  <si>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</si>
  <si>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</si>
  <si>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</si>
  <si>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</si>
  <si>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</si>
  <si>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</si>
  <si>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</si>
  <si>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</si>
  <si>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</si>
  <si>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</si>
  <si>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</si>
  <si>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</si>
  <si>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</si>
  <si>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</si>
  <si>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</si>
  <si>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</si>
  <si>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</si>
  <si>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</si>
  <si>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</si>
  <si>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</si>
  <si>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</si>
  <si>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</si>
  <si>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</si>
  <si>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</si>
  <si>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</si>
  <si>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</si>
  <si>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</si>
  <si>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</si>
  <si>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</si>
  <si>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</si>
  <si>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</si>
  <si>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</si>
  <si>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</si>
  <si>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</si>
  <si>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</si>
  <si>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</si>
  <si>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</si>
  <si>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</si>
  <si>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</si>
  <si>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</si>
  <si>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</si>
  <si>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</si>
  <si>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</si>
  <si>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</si>
  <si>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</si>
  <si>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</si>
  <si>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</si>
  <si>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</si>
  <si>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</si>
  <si>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</si>
  <si>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</si>
  <si>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</si>
  <si>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</si>
  <si>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</si>
  <si>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</si>
  <si>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</si>
  <si>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</si>
  <si>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</si>
  <si>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</si>
  <si>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</si>
  <si>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</si>
  <si>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</si>
  <si>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</si>
  <si>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</si>
  <si>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</si>
  <si>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</si>
  <si>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</si>
  <si>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</si>
  <si>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</si>
  <si>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</si>
  <si>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</si>
  <si>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</si>
  <si>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</si>
  <si>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</si>
  <si>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</si>
  <si>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</si>
  <si>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</si>
  <si>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</si>
  <si>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</si>
  <si>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</si>
  <si>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</si>
  <si>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</si>
  <si>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</si>
  <si>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</si>
  <si>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</si>
  <si>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</si>
  <si>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</si>
  <si>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</si>
  <si>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</si>
  <si>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</si>
  <si>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</si>
  <si>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</si>
  <si>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</si>
  <si>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</si>
  <si>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</si>
  <si>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</si>
  <si>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</si>
  <si>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</si>
  <si>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</si>
  <si>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</si>
  <si>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</si>
  <si>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</si>
  <si>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</si>
  <si>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</si>
  <si>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</si>
  <si>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</si>
  <si>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</si>
  <si>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</si>
  <si>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</si>
  <si>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</si>
  <si>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</si>
  <si>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</si>
  <si>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</si>
  <si>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</si>
  <si>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</si>
  <si>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</si>
  <si>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</si>
  <si>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</si>
  <si>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</si>
  <si>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</si>
  <si>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</si>
  <si>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</si>
  <si>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</si>
  <si>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</si>
  <si>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</si>
  <si>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</si>
  <si>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</si>
  <si>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</si>
  <si>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</si>
  <si>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</si>
  <si>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</si>
  <si>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</si>
  <si>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</si>
  <si>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</si>
  <si>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</si>
  <si>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</si>
  <si>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</si>
  <si>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</si>
  <si>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</si>
  <si>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</si>
  <si>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</si>
  <si>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</si>
  <si>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</si>
  <si>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</si>
  <si>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</si>
  <si>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</si>
  <si>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</si>
  <si>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</si>
  <si>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</si>
  <si>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</si>
  <si>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</si>
  <si>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</si>
  <si>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</si>
  <si>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</si>
  <si>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</si>
  <si>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</si>
  <si>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</si>
  <si>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</si>
  <si>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</si>
  <si>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</si>
  <si>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</si>
  <si>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</si>
  <si>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</si>
  <si>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</si>
  <si>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</si>
  <si>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</si>
  <si>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</si>
  <si>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</si>
  <si>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</si>
  <si>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</si>
  <si>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</si>
  <si>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</si>
  <si>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</si>
  <si>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</si>
  <si>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</si>
  <si>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</si>
  <si>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</si>
  <si>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</si>
  <si>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</si>
  <si>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</si>
  <si>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</si>
  <si>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</si>
  <si>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</si>
  <si>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</si>
  <si>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</si>
  <si>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</si>
  <si>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</si>
  <si>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</si>
  <si>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</si>
  <si>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</si>
  <si>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</si>
  <si>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</si>
  <si>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</si>
  <si>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</si>
  <si>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</si>
  <si>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</si>
  <si>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</si>
  <si>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</si>
  <si>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</si>
  <si>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</si>
  <si>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</si>
  <si>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</si>
  <si>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</si>
  <si>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</si>
  <si>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</si>
  <si>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</si>
  <si>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</si>
  <si>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</si>
  <si>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</si>
  <si>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</si>
  <si>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</si>
  <si>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</si>
  <si>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</si>
  <si>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</si>
  <si>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</si>
  <si>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</si>
  <si>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</si>
  <si>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</si>
  <si>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</si>
  <si>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</si>
  <si>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</si>
  <si>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</si>
  <si>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</si>
  <si>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</si>
  <si>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</si>
  <si>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</si>
  <si>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</si>
  <si>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</si>
  <si>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</si>
  <si>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</si>
  <si>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</si>
  <si>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</si>
  <si>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</si>
  <si>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</si>
  <si>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</si>
  <si>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</si>
  <si>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</si>
  <si>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</si>
  <si>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</si>
  <si>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</si>
  <si>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</si>
  <si>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</si>
  <si>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</si>
  <si>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</si>
  <si>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</si>
  <si>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</si>
  <si>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</si>
  <si>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</si>
  <si>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</si>
  <si>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</si>
  <si>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</si>
  <si>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</si>
  <si>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</si>
  <si>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</si>
  <si>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</si>
  <si>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</si>
  <si>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</si>
  <si>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</si>
  <si>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</si>
  <si>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</si>
  <si>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</si>
  <si>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</si>
  <si>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</si>
  <si>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</si>
  <si>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</si>
  <si>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</si>
  <si>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</si>
  <si>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</si>
  <si>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</si>
  <si>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</si>
  <si>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</si>
  <si>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</si>
  <si>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</si>
  <si>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</si>
  <si>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</si>
  <si>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</si>
  <si>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</si>
  <si>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</si>
  <si>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</si>
  <si>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</si>
  <si>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</si>
  <si>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</si>
  <si>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</si>
  <si>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</si>
  <si>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</si>
  <si>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</si>
  <si>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</si>
  <si>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</si>
  <si>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</si>
  <si>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</si>
  <si>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</si>
  <si>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</si>
  <si>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</si>
  <si>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</si>
  <si>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</si>
  <si>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</si>
  <si>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</si>
  <si>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</si>
  <si>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</si>
  <si>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</si>
  <si>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</si>
  <si>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</si>
  <si>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</si>
  <si>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</si>
  <si>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</si>
  <si>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</si>
  <si>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</si>
  <si>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</si>
  <si>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</si>
  <si>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</si>
  <si>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</si>
  <si>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</si>
  <si>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</si>
  <si>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</si>
  <si>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</si>
  <si>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</si>
  <si>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</si>
  <si>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</si>
  <si>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</si>
  <si>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</si>
  <si>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</si>
  <si>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</si>
  <si>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</si>
  <si>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</si>
  <si>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</si>
  <si>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</si>
  <si>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</si>
  <si>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</si>
  <si>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</si>
  <si>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</si>
  <si>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</si>
  <si>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</si>
  <si>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</si>
  <si>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</si>
  <si>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</si>
  <si>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</si>
  <si>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</si>
  <si>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</si>
  <si>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</si>
  <si>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</si>
  <si>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</si>
  <si>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</si>
  <si>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</si>
  <si>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</si>
  <si>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</si>
  <si>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</si>
  <si>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</si>
  <si>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</si>
  <si>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</si>
  <si>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</si>
  <si>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</si>
  <si>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</si>
  <si>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</si>
  <si>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</si>
  <si>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</si>
  <si>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</si>
  <si>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</si>
  <si>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</si>
  <si>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</si>
  <si>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</si>
  <si>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</si>
  <si>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</si>
  <si>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</si>
  <si>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</si>
  <si>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</si>
  <si>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</si>
  <si>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</si>
  <si>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</si>
  <si>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</si>
  <si>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</si>
  <si>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</si>
  <si>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</si>
  <si>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</si>
  <si>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</si>
  <si>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</si>
  <si>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</si>
  <si>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</si>
  <si>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</si>
  <si>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</si>
  <si>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</si>
  <si>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</si>
  <si>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</si>
  <si>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</si>
  <si>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</si>
  <si>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</si>
  <si>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</si>
  <si>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</si>
  <si>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</si>
  <si>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</si>
  <si>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</si>
  <si>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</si>
  <si>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</si>
  <si>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</si>
  <si>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</si>
  <si>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</si>
  <si>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</si>
  <si>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</si>
  <si>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</si>
  <si>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</si>
  <si>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</si>
  <si>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</si>
  <si>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</si>
  <si>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</si>
  <si>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</si>
  <si>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</si>
  <si>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</si>
  <si>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</si>
  <si>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</si>
  <si>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</si>
  <si>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</si>
  <si>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</si>
  <si>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</si>
  <si>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</si>
  <si>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</si>
  <si>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</si>
  <si>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</si>
  <si>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</si>
  <si>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</si>
  <si>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</si>
  <si>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</si>
  <si>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</si>
  <si>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</si>
  <si>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</si>
  <si>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</si>
  <si>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</si>
  <si>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</si>
  <si>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</si>
  <si>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</si>
  <si>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</si>
  <si>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</si>
  <si>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</si>
  <si>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</si>
  <si>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</si>
  <si>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</si>
  <si>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</si>
  <si>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</si>
  <si>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</si>
  <si>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</si>
  <si>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</si>
  <si>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</si>
  <si>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</si>
  <si>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</si>
  <si>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</si>
  <si>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</si>
  <si>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</si>
  <si>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</si>
  <si>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</si>
  <si>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</si>
  <si>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</si>
  <si>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</si>
  <si>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</si>
  <si>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</si>
  <si>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</si>
  <si>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</si>
  <si>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</si>
  <si>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</si>
  <si>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</si>
  <si>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</si>
  <si>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</si>
  <si>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</si>
  <si>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</si>
  <si>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</si>
  <si>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</si>
  <si>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</si>
  <si>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</si>
  <si>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</si>
  <si>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</si>
  <si>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</si>
  <si>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</si>
  <si>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</si>
  <si>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</si>
  <si>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</si>
  <si>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</si>
  <si>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</si>
  <si>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</si>
  <si>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</si>
  <si>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</si>
  <si>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</si>
  <si>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</si>
  <si>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</si>
  <si>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</si>
  <si>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</si>
  <si>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</si>
  <si>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</si>
  <si>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</si>
  <si>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</si>
  <si>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</si>
  <si>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</si>
  <si>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</si>
  <si>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</si>
  <si>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</si>
  <si>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</si>
  <si>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</si>
  <si>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</si>
  <si>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</si>
  <si>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</si>
  <si>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</si>
  <si>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</si>
  <si>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</si>
  <si>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</si>
  <si>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</si>
  <si>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</si>
  <si>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</si>
  <si>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</si>
  <si>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</si>
  <si>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</si>
  <si>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</si>
  <si>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</si>
  <si>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</si>
  <si>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</si>
  <si>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</si>
  <si>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</si>
  <si>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</si>
  <si>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</si>
  <si>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</si>
  <si>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</si>
  <si>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</si>
  <si>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</si>
  <si>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</si>
  <si>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</si>
  <si>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</si>
  <si>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</si>
  <si>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</si>
  <si>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</si>
  <si>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</si>
  <si>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</si>
  <si>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</si>
  <si>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</si>
  <si>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</si>
  <si>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</si>
  <si>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</si>
  <si>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</si>
  <si>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</si>
  <si>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</si>
  <si>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</si>
  <si>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</si>
  <si>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</si>
  <si>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</si>
  <si>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</si>
  <si>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</si>
  <si>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</si>
  <si>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</si>
  <si>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</si>
  <si>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</si>
  <si>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</si>
  <si>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</si>
  <si>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</si>
  <si>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</si>
  <si>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</si>
  <si>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</si>
  <si>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</si>
  <si>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</si>
  <si>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</si>
  <si>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</si>
  <si>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</si>
  <si>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</si>
  <si>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</si>
  <si>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</si>
  <si>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</si>
  <si>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</si>
  <si>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</si>
  <si>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</si>
  <si>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</si>
  <si>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</si>
  <si>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</si>
  <si>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</si>
  <si>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</si>
  <si>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</si>
  <si>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</si>
  <si>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</si>
  <si>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</si>
  <si>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</si>
  <si>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</si>
  <si>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</si>
  <si>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</si>
  <si>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</si>
  <si>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</si>
  <si>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</si>
  <si>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</si>
  <si>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</si>
  <si>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</si>
  <si>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</si>
  <si>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</si>
  <si>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</si>
  <si>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</si>
  <si>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</si>
  <si>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</si>
  <si>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</si>
  <si>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</si>
  <si>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</si>
  <si>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</si>
  <si>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</si>
  <si>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</si>
  <si>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</si>
  <si>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</si>
  <si>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</si>
  <si>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</si>
  <si>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</si>
  <si>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</si>
  <si>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</si>
  <si>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</si>
  <si>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</si>
  <si>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</si>
  <si>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</si>
  <si>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</si>
  <si>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</si>
  <si>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</si>
  <si>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</si>
  <si>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</si>
  <si>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</si>
  <si>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</si>
  <si>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</si>
  <si>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</si>
  <si>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</si>
  <si>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</si>
  <si>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</si>
  <si>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</si>
  <si>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</si>
  <si>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</si>
  <si>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</si>
  <si>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</si>
  <si>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</si>
  <si>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</si>
  <si>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</si>
  <si>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</si>
  <si>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</si>
  <si>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</si>
  <si>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</si>
  <si>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</si>
  <si>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</si>
  <si>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</si>
  <si>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</si>
  <si>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</si>
  <si>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</si>
  <si>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</si>
  <si>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</si>
  <si>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</si>
  <si>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</si>
  <si>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</si>
  <si>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</si>
  <si>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</si>
  <si>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</si>
  <si>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</si>
  <si>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</si>
  <si>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</si>
  <si>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</si>
  <si>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</si>
  <si>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</si>
  <si>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</si>
  <si>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</si>
  <si>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</si>
  <si>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</si>
  <si>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</si>
  <si>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</si>
  <si>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</si>
  <si>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</si>
  <si>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</si>
  <si>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</si>
  <si>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</si>
  <si>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</si>
  <si>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</si>
  <si>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</si>
  <si>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</si>
  <si>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</si>
  <si>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</si>
  <si>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</si>
  <si>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</si>
  <si>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</si>
  <si>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</si>
  <si>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</si>
  <si>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</si>
  <si>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</si>
  <si>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</si>
  <si>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</si>
  <si>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</si>
  <si>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</si>
  <si>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</si>
  <si>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</si>
  <si>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</si>
  <si>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</si>
  <si>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</si>
  <si>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</si>
  <si>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</si>
  <si>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</si>
  <si>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</si>
  <si>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</si>
  <si>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</si>
  <si>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</si>
  <si>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</si>
  <si>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</si>
  <si>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</si>
  <si>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</si>
  <si>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</si>
  <si>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</si>
  <si>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</si>
  <si>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</si>
  <si>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</si>
  <si>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</si>
  <si>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</si>
  <si>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</si>
  <si>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</si>
  <si>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</si>
  <si>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</si>
  <si>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</si>
  <si>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</si>
  <si>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</si>
  <si>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</si>
  <si>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</si>
  <si>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</si>
  <si>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</si>
  <si>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</si>
  <si>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</si>
  <si>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</si>
  <si>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</si>
  <si>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</si>
  <si>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</si>
  <si>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</si>
  <si>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</si>
  <si>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</si>
  <si>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</si>
  <si>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</si>
  <si>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</si>
  <si>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</si>
  <si>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</si>
  <si>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</si>
  <si>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</si>
  <si>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</si>
  <si>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</si>
  <si>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</si>
  <si>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</si>
  <si>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</si>
  <si>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</si>
  <si>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</si>
  <si>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</si>
  <si>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</si>
  <si>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</si>
  <si>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</si>
  <si>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</si>
  <si>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</si>
  <si>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</si>
  <si>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</si>
  <si>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</si>
  <si>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</si>
  <si>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</si>
  <si>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</si>
  <si>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</si>
  <si>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</si>
  <si>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</si>
  <si>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</si>
  <si>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</si>
  <si>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</si>
  <si>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</si>
  <si>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</si>
  <si>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</si>
  <si>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</si>
  <si>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</si>
  <si>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</si>
  <si>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</si>
  <si>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</si>
  <si>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</si>
  <si>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</si>
  <si>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</si>
  <si>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</si>
  <si>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</si>
  <si>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</si>
  <si>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</si>
  <si>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</si>
  <si>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</si>
  <si>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</si>
  <si>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</si>
  <si>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</si>
  <si>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</si>
  <si>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</si>
  <si>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</si>
  <si>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</si>
  <si>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</si>
  <si>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</si>
  <si>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</si>
  <si>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</si>
  <si>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</si>
  <si>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</si>
  <si>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</si>
  <si>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</si>
  <si>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</si>
  <si>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</si>
  <si>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</si>
  <si>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</si>
  <si>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</si>
  <si>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</si>
  <si>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</si>
  <si>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</si>
  <si>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</si>
  <si>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</si>
  <si>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</si>
  <si>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</si>
  <si>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</si>
  <si>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</si>
  <si>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</si>
  <si>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</si>
  <si>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</si>
  <si>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</si>
  <si>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</si>
  <si>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</si>
  <si>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</si>
  <si>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</si>
  <si>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</si>
  <si>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</si>
  <si>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</si>
  <si>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</si>
  <si>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</si>
  <si>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</si>
  <si>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</si>
  <si>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</si>
  <si>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</si>
  <si>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</si>
  <si>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</si>
  <si>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</si>
  <si>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</si>
  <si>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</si>
  <si>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</si>
  <si>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</si>
  <si>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</si>
  <si>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</si>
  <si>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</si>
  <si>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</si>
  <si>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</si>
  <si>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</si>
  <si>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</si>
  <si>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</si>
  <si>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</si>
  <si>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</si>
  <si>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</si>
  <si>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</si>
  <si>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</si>
  <si>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</si>
  <si>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</si>
  <si>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</si>
  <si>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</si>
  <si>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</si>
  <si>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</si>
  <si>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</si>
  <si>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</si>
  <si>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</si>
  <si>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</si>
  <si>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</si>
  <si>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</si>
  <si>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</si>
  <si>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</si>
  <si>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</si>
  <si>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</si>
  <si>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</si>
  <si>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</si>
  <si>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</si>
  <si>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</si>
  <si>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</si>
  <si>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</si>
  <si>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</si>
  <si>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</si>
  <si>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</si>
  <si>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</si>
  <si>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</si>
  <si>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</si>
  <si>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</si>
  <si>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</si>
  <si>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</si>
  <si>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</si>
  <si>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</si>
  <si>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</si>
  <si>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</si>
  <si>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</si>
  <si>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</si>
  <si>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</si>
  <si>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</si>
  <si>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</si>
  <si>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</si>
  <si>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</si>
  <si>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</si>
  <si>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</si>
  <si>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</si>
  <si>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</si>
  <si>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</si>
  <si>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</si>
  <si>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</si>
  <si>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</si>
  <si>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</si>
  <si>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</si>
  <si>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</si>
  <si>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</si>
  <si>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</si>
  <si>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</si>
  <si>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</si>
  <si>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</si>
  <si>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</si>
  <si>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</si>
  <si>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</si>
  <si>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</si>
  <si>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</si>
  <si>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</si>
  <si>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</si>
  <si>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</si>
  <si>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</si>
  <si>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</si>
  <si>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</si>
  <si>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</si>
  <si>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</si>
  <si>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</si>
  <si>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</si>
  <si>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</si>
  <si>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</si>
  <si>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</si>
  <si>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</si>
  <si>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</si>
  <si>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</si>
  <si>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</si>
  <si>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</si>
  <si>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</si>
  <si>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</si>
  <si>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</si>
  <si>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</si>
  <si>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</si>
  <si>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</si>
  <si>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</si>
  <si>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</si>
  <si>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</si>
  <si>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</si>
  <si>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</si>
  <si>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</si>
  <si>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</si>
  <si>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</si>
  <si>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</si>
  <si>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</si>
  <si>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</si>
  <si>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</si>
  <si>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</si>
  <si>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</si>
  <si>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</si>
  <si>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</si>
  <si>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</si>
  <si>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</si>
  <si>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</si>
  <si>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</si>
  <si>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</si>
  <si>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</si>
  <si>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</si>
  <si>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</si>
  <si>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</si>
  <si>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</si>
  <si>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</si>
  <si>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</si>
  <si>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</si>
  <si>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</si>
  <si>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</si>
  <si>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</si>
  <si>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</si>
  <si>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</si>
  <si>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</si>
  <si>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</si>
  <si>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</si>
  <si>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</si>
  <si>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</si>
  <si>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</si>
  <si>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</si>
  <si>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</si>
  <si>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</si>
  <si>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</si>
  <si>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</si>
  <si>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</si>
  <si>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</si>
  <si>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</si>
  <si>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</si>
  <si>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</si>
  <si>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</si>
  <si>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</si>
  <si>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</si>
  <si>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</si>
  <si>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</si>
  <si>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</si>
  <si>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</si>
  <si>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</si>
  <si>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</si>
  <si>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</si>
  <si>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</si>
  <si>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</si>
  <si>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</si>
  <si>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</si>
  <si>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</si>
  <si>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</si>
  <si>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</si>
  <si>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</si>
  <si>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</si>
  <si>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</si>
  <si>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</si>
  <si>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</si>
  <si>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</si>
  <si>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</si>
  <si>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</si>
  <si>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</si>
  <si>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</si>
  <si>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</si>
  <si>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</si>
  <si>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</si>
  <si>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</si>
  <si>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</si>
  <si>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</si>
  <si>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</si>
  <si>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</si>
  <si>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</si>
  <si>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</si>
  <si>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</si>
  <si>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</si>
  <si>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</si>
  <si>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</si>
  <si>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</si>
  <si>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</si>
  <si>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</si>
  <si>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</si>
  <si>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</si>
  <si>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</si>
  <si>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</si>
  <si>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</si>
  <si>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</si>
  <si>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</si>
  <si>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</si>
  <si>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</si>
  <si>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</si>
  <si>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</si>
  <si>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</si>
  <si>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</si>
  <si>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</si>
  <si>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</si>
  <si>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</si>
  <si>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</si>
  <si>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</si>
  <si>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</si>
  <si>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</si>
  <si>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</si>
  <si>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</si>
  <si>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</si>
  <si>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</si>
  <si>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</si>
  <si>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</si>
  <si>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</si>
  <si>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</si>
  <si>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</si>
  <si>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</si>
  <si>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</si>
  <si>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</si>
  <si>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</si>
  <si>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</si>
  <si>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</si>
  <si>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</si>
  <si>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</si>
  <si>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</si>
  <si>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</si>
  <si>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</si>
  <si>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</si>
  <si>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</si>
  <si>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</si>
  <si>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</si>
  <si>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</si>
  <si>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</si>
  <si>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</si>
  <si>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</si>
  <si>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</si>
  <si>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</si>
  <si>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</si>
  <si>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</si>
  <si>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</si>
  <si>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</si>
  <si>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</si>
  <si>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</si>
  <si>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</si>
  <si>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</si>
  <si>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</si>
  <si>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</si>
  <si>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</si>
  <si>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</si>
  <si>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</si>
  <si>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</si>
  <si>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</si>
  <si>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</si>
  <si>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</si>
  <si>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</si>
  <si>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</si>
  <si>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</si>
  <si>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</si>
  <si>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</si>
  <si>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</si>
  <si>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</si>
  <si>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</si>
  <si>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</si>
  <si>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</si>
  <si>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</si>
  <si>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</si>
  <si>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</si>
  <si>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</si>
  <si>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</si>
  <si>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</si>
  <si>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</si>
  <si>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</si>
  <si>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</si>
  <si>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</si>
  <si>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</si>
  <si>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</si>
  <si>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</si>
  <si>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</si>
  <si>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</si>
  <si>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</si>
  <si>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</si>
  <si>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</si>
  <si>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</si>
  <si>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</si>
  <si>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</si>
  <si>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</si>
  <si>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</si>
  <si>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</si>
  <si>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</si>
  <si>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</si>
  <si>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</si>
  <si>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</si>
  <si>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</si>
  <si>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</si>
  <si>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</si>
  <si>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</si>
  <si>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</si>
  <si>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</si>
  <si>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</si>
  <si>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</si>
  <si>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</si>
  <si>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</si>
  <si>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</si>
  <si>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</si>
  <si>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</si>
  <si>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</si>
  <si>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</si>
  <si>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</si>
  <si>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</si>
  <si>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</si>
  <si>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</si>
  <si>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</si>
  <si>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</si>
  <si>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</si>
  <si>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</si>
  <si>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</si>
  <si>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</si>
  <si>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</si>
  <si>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</si>
  <si>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</si>
  <si>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</si>
  <si>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</si>
  <si>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</si>
  <si>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</si>
  <si>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</si>
  <si>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</si>
  <si>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</si>
  <si>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</si>
  <si>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</si>
  <si>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</si>
  <si>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</si>
  <si>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</si>
  <si>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</si>
  <si>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</si>
  <si>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</si>
  <si>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</si>
  <si>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</si>
  <si>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</si>
  <si>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</si>
  <si>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</si>
  <si>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</si>
  <si>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</si>
  <si>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</si>
  <si>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</si>
  <si>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</si>
  <si>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</si>
  <si>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</si>
  <si>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</si>
  <si>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</si>
  <si>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</si>
  <si>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</si>
  <si>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</si>
  <si>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</si>
  <si>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</si>
  <si>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</si>
  <si>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</si>
  <si>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</si>
  <si>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</si>
  <si>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</si>
  <si>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</si>
  <si>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</si>
  <si>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</si>
  <si>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</si>
  <si>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</si>
  <si>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</si>
  <si>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</si>
  <si>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</si>
  <si>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</si>
  <si>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</si>
  <si>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</si>
  <si>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</si>
  <si>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</si>
  <si>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</si>
  <si>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</si>
  <si>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</si>
  <si>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Du Lịch</t>
  </si>
  <si>
    <t>Giới tính Nữ</t>
  </si>
  <si>
    <t>Giới tính Nam</t>
  </si>
  <si>
    <t>08/07/2023</t>
  </si>
  <si>
    <t>09/07/2023</t>
  </si>
  <si>
    <t>Nguyễn Linh Nhi</t>
  </si>
  <si>
    <t>20/12/1990</t>
  </si>
  <si>
    <t>026190893045</t>
  </si>
  <si>
    <t>Nhân Đạo</t>
  </si>
  <si>
    <t>Ngô Sơn Sơn</t>
  </si>
  <si>
    <t>03/09/1982</t>
  </si>
  <si>
    <t>026082334130</t>
  </si>
  <si>
    <t>Ngô Phương Linh</t>
  </si>
  <si>
    <t>21/09/1984</t>
  </si>
  <si>
    <t>026184452190</t>
  </si>
  <si>
    <t>Đoàn Tuấn Cường</t>
  </si>
  <si>
    <t>10/11/1993</t>
  </si>
  <si>
    <t>026093190154</t>
  </si>
  <si>
    <t>Trần Quốc Hưng</t>
  </si>
  <si>
    <t>04/02/1976</t>
  </si>
  <si>
    <t>026076520412</t>
  </si>
  <si>
    <t>Trịnh Tuấn Linh</t>
  </si>
  <si>
    <t>11/10/1973</t>
  </si>
  <si>
    <t>026073585813</t>
  </si>
  <si>
    <t>Hà Thảo My</t>
  </si>
  <si>
    <t>05/05/1986</t>
  </si>
  <si>
    <t>026186985881</t>
  </si>
  <si>
    <t>Đặng Đình Thành</t>
  </si>
  <si>
    <t>14/11/1988</t>
  </si>
  <si>
    <t>026088021764</t>
  </si>
  <si>
    <t>Đinh Thảo Xuân</t>
  </si>
  <si>
    <t>05/02/1985</t>
  </si>
  <si>
    <t>026185845048</t>
  </si>
  <si>
    <t>Vũ Phương Trang</t>
  </si>
  <si>
    <t>06/09/1993</t>
  </si>
  <si>
    <t>026193292645</t>
  </si>
  <si>
    <t>Vũ Ngọc Cẩm</t>
  </si>
  <si>
    <t>17/10/1985</t>
  </si>
  <si>
    <t>026185140961</t>
  </si>
  <si>
    <t>Đặng Đức Quân</t>
  </si>
  <si>
    <t>11/11/1984</t>
  </si>
  <si>
    <t>026084363200</t>
  </si>
  <si>
    <t>Đinh Thu Trâm</t>
  </si>
  <si>
    <t>22/05/1993</t>
  </si>
  <si>
    <t>026193437961</t>
  </si>
  <si>
    <t>Võ Thành Tuấn</t>
  </si>
  <si>
    <t>10/12/1982</t>
  </si>
  <si>
    <t>026082439756</t>
  </si>
  <si>
    <t>Đinh Ngọc Diễm</t>
  </si>
  <si>
    <t>18/05/1994</t>
  </si>
  <si>
    <t>026194801514</t>
  </si>
  <si>
    <t>Cao Thị Ánh</t>
  </si>
  <si>
    <t>10/01/1977</t>
  </si>
  <si>
    <t>026177002321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</si>
</sst>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Q1" workbookViewId="0">
      <selection activeCell="G7" sqref="G7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15.3984375" style="16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9" t="s">
        <v>15</v>
      </c>
      <c r="C2" s="19" t="s">
        <v>16</v>
      </c>
      <c r="D2" s="19" t="s">
        <v>17</v>
      </c>
      <c r="E2" s="20" t="s">
        <v>18</v>
      </c>
      <c r="F2" s="20"/>
      <c r="G2" s="20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22094</v>
      </c>
      <c r="C3" s="16" t="s">
        <v>22095</v>
      </c>
      <c r="D3" s="16" t="s">
        <v>40</v>
      </c>
      <c r="E3" s="16" t="s">
        <v>22096</v>
      </c>
      <c r="I3" s="16" t="s">
        <v>369</v>
      </c>
      <c r="J3" s="17" t="s">
        <v>22051</v>
      </c>
      <c r="K3" s="16" t="s">
        <v>743</v>
      </c>
      <c r="L3" s="16" t="s">
        <v>1826</v>
      </c>
      <c r="M3" s="16" t="s">
        <v>1917</v>
      </c>
      <c r="N3" s="16" t="s">
        <v>1961</v>
      </c>
      <c r="O3" s="16" t="s">
        <v>11905</v>
      </c>
      <c r="P3" s="16" t="s">
        <v>11939</v>
      </c>
      <c r="Q3" s="17" t="s">
        <v>22051</v>
      </c>
      <c r="R3" s="16" t="s">
        <v>13</v>
      </c>
      <c r="S3" s="16" t="s">
        <v>22046</v>
      </c>
      <c r="T3" s="16" t="s">
        <v>22047</v>
      </c>
      <c r="U3" s="17" t="s">
        <v>22043</v>
      </c>
      <c r="V3" s="4">
        <v>507</v>
      </c>
    </row>
    <row r="4" spans="1:23" x14ac:dyDescent="0.3">
      <c r="A4" s="15">
        <v>2</v>
      </c>
      <c r="B4" s="16" t="s">
        <v>22048</v>
      </c>
      <c r="C4" s="16" t="s">
        <v>22049</v>
      </c>
      <c r="D4" s="16" t="s">
        <v>22044</v>
      </c>
      <c r="E4" s="16" t="s">
        <v>22050</v>
      </c>
      <c r="I4" s="16" t="s">
        <v>369</v>
      </c>
      <c r="J4" s="17" t="s">
        <v>22051</v>
      </c>
      <c r="K4" s="16" t="s">
        <v>743</v>
      </c>
      <c r="L4" s="16" t="s">
        <v>1826</v>
      </c>
      <c r="M4" s="16" t="s">
        <v>1917</v>
      </c>
      <c r="N4" s="16" t="s">
        <v>1961</v>
      </c>
      <c r="O4" s="16" t="s">
        <v>11905</v>
      </c>
      <c r="P4" s="16" t="s">
        <v>11939</v>
      </c>
      <c r="Q4" s="17" t="s">
        <v>22051</v>
      </c>
      <c r="R4" s="16" t="s">
        <v>13</v>
      </c>
      <c r="S4" s="16" t="s">
        <v>22046</v>
      </c>
      <c r="T4" s="16" t="s">
        <v>22047</v>
      </c>
      <c r="U4" s="17" t="s">
        <v>22043</v>
      </c>
      <c r="V4" s="4">
        <v>507</v>
      </c>
    </row>
    <row r="5" spans="1:23" x14ac:dyDescent="0.3">
      <c r="A5" s="15">
        <v>3</v>
      </c>
      <c r="B5" s="16" t="s">
        <v>22052</v>
      </c>
      <c r="C5" s="16" t="s">
        <v>22053</v>
      </c>
      <c r="D5" s="16" t="s">
        <v>22045</v>
      </c>
      <c r="E5" s="16" t="s">
        <v>22054</v>
      </c>
      <c r="I5" s="16" t="s">
        <v>369</v>
      </c>
      <c r="J5" s="17" t="s">
        <v>22051</v>
      </c>
      <c r="K5" s="16" t="s">
        <v>743</v>
      </c>
      <c r="L5" s="16" t="s">
        <v>1826</v>
      </c>
      <c r="M5" s="16" t="s">
        <v>1917</v>
      </c>
      <c r="N5" s="16" t="s">
        <v>1961</v>
      </c>
      <c r="O5" s="16" t="s">
        <v>11905</v>
      </c>
      <c r="P5" s="16" t="s">
        <v>11939</v>
      </c>
      <c r="Q5" s="17" t="s">
        <v>22051</v>
      </c>
      <c r="R5" s="16" t="s">
        <v>13</v>
      </c>
      <c r="S5" s="16" t="s">
        <v>22046</v>
      </c>
      <c r="T5" s="16" t="s">
        <v>22047</v>
      </c>
      <c r="U5" s="17" t="s">
        <v>22043</v>
      </c>
      <c r="V5" s="4">
        <v>507</v>
      </c>
    </row>
    <row r="6" spans="1:23" x14ac:dyDescent="0.3">
      <c r="A6" s="15">
        <v>4</v>
      </c>
      <c r="B6" s="16" t="s">
        <v>22055</v>
      </c>
      <c r="C6" s="16" t="s">
        <v>22056</v>
      </c>
      <c r="D6" s="16" t="s">
        <v>22044</v>
      </c>
      <c r="E6" s="16" t="s">
        <v>22057</v>
      </c>
      <c r="I6" s="16" t="s">
        <v>369</v>
      </c>
      <c r="J6" s="17" t="s">
        <v>22051</v>
      </c>
      <c r="K6" s="16" t="s">
        <v>743</v>
      </c>
      <c r="L6" s="16" t="s">
        <v>1826</v>
      </c>
      <c r="M6" s="16" t="s">
        <v>1917</v>
      </c>
      <c r="N6" s="16" t="s">
        <v>1961</v>
      </c>
      <c r="O6" s="16" t="s">
        <v>11905</v>
      </c>
      <c r="P6" s="16" t="s">
        <v>11939</v>
      </c>
      <c r="Q6" s="17" t="s">
        <v>22051</v>
      </c>
      <c r="R6" s="16" t="s">
        <v>13</v>
      </c>
      <c r="S6" s="16" t="s">
        <v>22046</v>
      </c>
      <c r="T6" s="16" t="s">
        <v>22047</v>
      </c>
      <c r="U6" s="17" t="s">
        <v>22043</v>
      </c>
      <c r="V6" s="4">
        <v>507</v>
      </c>
    </row>
    <row r="7" spans="1:23" x14ac:dyDescent="0.3">
      <c r="A7" s="15">
        <v>5</v>
      </c>
      <c r="B7" s="16" t="s">
        <v>22058</v>
      </c>
      <c r="C7" s="16" t="s">
        <v>22059</v>
      </c>
      <c r="D7" s="16" t="s">
        <v>22045</v>
      </c>
      <c r="E7" s="16" t="s">
        <v>22060</v>
      </c>
      <c r="I7" s="16" t="s">
        <v>369</v>
      </c>
      <c r="J7" s="17" t="s">
        <v>22051</v>
      </c>
      <c r="K7" s="16" t="s">
        <v>743</v>
      </c>
      <c r="L7" s="16" t="s">
        <v>1826</v>
      </c>
      <c r="M7" s="16" t="s">
        <v>1917</v>
      </c>
      <c r="N7" s="16" t="s">
        <v>1961</v>
      </c>
      <c r="O7" s="16" t="s">
        <v>11905</v>
      </c>
      <c r="P7" s="16" t="s">
        <v>11939</v>
      </c>
      <c r="Q7" s="17" t="s">
        <v>22051</v>
      </c>
      <c r="R7" s="16" t="s">
        <v>13</v>
      </c>
      <c r="S7" s="16" t="s">
        <v>22046</v>
      </c>
      <c r="T7" s="16" t="s">
        <v>22047</v>
      </c>
      <c r="U7" s="17" t="s">
        <v>22043</v>
      </c>
      <c r="V7" s="4">
        <v>601</v>
      </c>
    </row>
    <row r="8" spans="1:23" x14ac:dyDescent="0.3">
      <c r="A8" s="15">
        <v>6</v>
      </c>
      <c r="B8" s="16" t="s">
        <v>22061</v>
      </c>
      <c r="C8" s="16" t="s">
        <v>22062</v>
      </c>
      <c r="D8" s="16" t="s">
        <v>22045</v>
      </c>
      <c r="E8" s="16" t="s">
        <v>22063</v>
      </c>
      <c r="I8" s="16" t="s">
        <v>369</v>
      </c>
      <c r="J8" s="17" t="s">
        <v>22051</v>
      </c>
      <c r="K8" s="16" t="s">
        <v>743</v>
      </c>
      <c r="L8" s="16" t="s">
        <v>1826</v>
      </c>
      <c r="M8" s="16" t="s">
        <v>1917</v>
      </c>
      <c r="N8" s="16" t="s">
        <v>1961</v>
      </c>
      <c r="O8" s="16" t="s">
        <v>11905</v>
      </c>
      <c r="P8" s="16" t="s">
        <v>11939</v>
      </c>
      <c r="Q8" s="17" t="s">
        <v>22051</v>
      </c>
      <c r="R8" s="16" t="s">
        <v>13</v>
      </c>
      <c r="S8" s="16" t="s">
        <v>22046</v>
      </c>
      <c r="T8" s="16" t="s">
        <v>22047</v>
      </c>
      <c r="U8" s="17" t="s">
        <v>22043</v>
      </c>
      <c r="V8" s="4">
        <v>601</v>
      </c>
    </row>
    <row r="9" spans="1:23" x14ac:dyDescent="0.3">
      <c r="A9" s="15">
        <v>7</v>
      </c>
      <c r="B9" s="16" t="s">
        <v>22064</v>
      </c>
      <c r="C9" s="16" t="s">
        <v>22065</v>
      </c>
      <c r="D9" s="16" t="s">
        <v>22045</v>
      </c>
      <c r="E9" s="16" t="s">
        <v>22066</v>
      </c>
      <c r="I9" s="16" t="s">
        <v>369</v>
      </c>
      <c r="J9" s="17" t="s">
        <v>22051</v>
      </c>
      <c r="K9" s="16" t="s">
        <v>743</v>
      </c>
      <c r="L9" s="16" t="s">
        <v>1826</v>
      </c>
      <c r="M9" s="16" t="s">
        <v>1917</v>
      </c>
      <c r="N9" s="16" t="s">
        <v>1961</v>
      </c>
      <c r="O9" s="16" t="s">
        <v>11905</v>
      </c>
      <c r="P9" s="16" t="s">
        <v>11939</v>
      </c>
      <c r="Q9" s="17" t="s">
        <v>22051</v>
      </c>
      <c r="R9" s="16" t="s">
        <v>13</v>
      </c>
      <c r="S9" s="16" t="s">
        <v>22046</v>
      </c>
      <c r="T9" s="16" t="s">
        <v>22047</v>
      </c>
      <c r="U9" s="17" t="s">
        <v>22043</v>
      </c>
      <c r="V9" s="4">
        <v>601</v>
      </c>
    </row>
    <row r="10" spans="1:23" x14ac:dyDescent="0.3">
      <c r="A10" s="15">
        <v>8</v>
      </c>
      <c r="B10" s="16" t="s">
        <v>22067</v>
      </c>
      <c r="C10" s="16" t="s">
        <v>22068</v>
      </c>
      <c r="D10" s="16" t="s">
        <v>22044</v>
      </c>
      <c r="E10" s="16" t="s">
        <v>22069</v>
      </c>
      <c r="I10" s="16" t="s">
        <v>369</v>
      </c>
      <c r="J10" s="17" t="s">
        <v>22051</v>
      </c>
      <c r="K10" s="16" t="s">
        <v>743</v>
      </c>
      <c r="L10" s="16" t="s">
        <v>1826</v>
      </c>
      <c r="M10" s="16" t="s">
        <v>1917</v>
      </c>
      <c r="N10" s="16" t="s">
        <v>1961</v>
      </c>
      <c r="O10" s="16" t="s">
        <v>11905</v>
      </c>
      <c r="P10" s="16" t="s">
        <v>11939</v>
      </c>
      <c r="Q10" s="17" t="s">
        <v>22051</v>
      </c>
      <c r="R10" s="16" t="s">
        <v>13</v>
      </c>
      <c r="S10" s="16" t="s">
        <v>22046</v>
      </c>
      <c r="T10" s="16" t="s">
        <v>22047</v>
      </c>
      <c r="U10" s="17" t="s">
        <v>22043</v>
      </c>
      <c r="V10" s="4">
        <v>601</v>
      </c>
    </row>
    <row r="11" spans="1:23" x14ac:dyDescent="0.3">
      <c r="A11" s="15">
        <v>9</v>
      </c>
      <c r="B11" s="16" t="s">
        <v>22070</v>
      </c>
      <c r="C11" s="16" t="s">
        <v>22071</v>
      </c>
      <c r="D11" s="16" t="s">
        <v>22045</v>
      </c>
      <c r="E11" s="16" t="s">
        <v>22072</v>
      </c>
      <c r="I11" s="16" t="s">
        <v>369</v>
      </c>
      <c r="J11" s="17" t="s">
        <v>22051</v>
      </c>
      <c r="K11" s="16" t="s">
        <v>743</v>
      </c>
      <c r="L11" s="16" t="s">
        <v>1826</v>
      </c>
      <c r="M11" s="16" t="s">
        <v>1917</v>
      </c>
      <c r="N11" s="16" t="s">
        <v>1961</v>
      </c>
      <c r="O11" s="16" t="s">
        <v>11905</v>
      </c>
      <c r="P11" s="16" t="s">
        <v>11939</v>
      </c>
      <c r="Q11" s="17" t="s">
        <v>22051</v>
      </c>
      <c r="R11" s="16" t="s">
        <v>13</v>
      </c>
      <c r="S11" s="16" t="s">
        <v>22046</v>
      </c>
      <c r="T11" s="16" t="s">
        <v>22047</v>
      </c>
      <c r="U11" s="17" t="s">
        <v>22043</v>
      </c>
      <c r="V11" s="4">
        <v>602</v>
      </c>
    </row>
    <row r="12" spans="1:23" x14ac:dyDescent="0.3">
      <c r="A12" s="15">
        <v>10</v>
      </c>
      <c r="B12" s="16" t="s">
        <v>22073</v>
      </c>
      <c r="C12" s="16" t="s">
        <v>22074</v>
      </c>
      <c r="D12" s="16" t="s">
        <v>22044</v>
      </c>
      <c r="E12" s="16" t="s">
        <v>22075</v>
      </c>
      <c r="I12" s="16" t="s">
        <v>369</v>
      </c>
      <c r="J12" s="17" t="s">
        <v>22051</v>
      </c>
      <c r="K12" s="16" t="s">
        <v>743</v>
      </c>
      <c r="L12" s="16" t="s">
        <v>1826</v>
      </c>
      <c r="M12" s="16" t="s">
        <v>1917</v>
      </c>
      <c r="N12" s="16" t="s">
        <v>1961</v>
      </c>
      <c r="O12" s="16" t="s">
        <v>11905</v>
      </c>
      <c r="P12" s="16" t="s">
        <v>11939</v>
      </c>
      <c r="Q12" s="17" t="s">
        <v>22051</v>
      </c>
      <c r="R12" s="16" t="s">
        <v>13</v>
      </c>
      <c r="S12" s="16" t="s">
        <v>22046</v>
      </c>
      <c r="T12" s="16" t="s">
        <v>22047</v>
      </c>
      <c r="U12" s="17" t="s">
        <v>22043</v>
      </c>
      <c r="V12" s="4">
        <v>602</v>
      </c>
    </row>
    <row r="13" spans="1:23" x14ac:dyDescent="0.3">
      <c r="A13" s="15">
        <v>11</v>
      </c>
      <c r="B13" s="16" t="s">
        <v>22076</v>
      </c>
      <c r="C13" s="16" t="s">
        <v>22077</v>
      </c>
      <c r="D13" s="16" t="s">
        <v>22044</v>
      </c>
      <c r="E13" s="16" t="s">
        <v>22078</v>
      </c>
      <c r="I13" s="16" t="s">
        <v>369</v>
      </c>
      <c r="J13" s="17" t="s">
        <v>22051</v>
      </c>
      <c r="K13" s="16" t="s">
        <v>743</v>
      </c>
      <c r="L13" s="16" t="s">
        <v>1826</v>
      </c>
      <c r="M13" s="16" t="s">
        <v>1917</v>
      </c>
      <c r="N13" s="16" t="s">
        <v>1961</v>
      </c>
      <c r="O13" s="16" t="s">
        <v>11905</v>
      </c>
      <c r="P13" s="16" t="s">
        <v>11939</v>
      </c>
      <c r="Q13" s="17" t="s">
        <v>22051</v>
      </c>
      <c r="R13" s="16" t="s">
        <v>13</v>
      </c>
      <c r="S13" s="16" t="s">
        <v>22046</v>
      </c>
      <c r="T13" s="16" t="s">
        <v>22047</v>
      </c>
      <c r="U13" s="17" t="s">
        <v>22043</v>
      </c>
      <c r="V13" s="4">
        <v>602</v>
      </c>
    </row>
    <row r="14" spans="1:23" x14ac:dyDescent="0.3">
      <c r="A14" s="15">
        <v>12</v>
      </c>
      <c r="B14" s="16" t="s">
        <v>22079</v>
      </c>
      <c r="C14" s="16" t="s">
        <v>22080</v>
      </c>
      <c r="D14" s="16" t="s">
        <v>22044</v>
      </c>
      <c r="E14" s="16" t="s">
        <v>22081</v>
      </c>
      <c r="I14" s="16" t="s">
        <v>369</v>
      </c>
      <c r="J14" s="17" t="s">
        <v>22051</v>
      </c>
      <c r="K14" s="16" t="s">
        <v>743</v>
      </c>
      <c r="L14" s="16" t="s">
        <v>1826</v>
      </c>
      <c r="M14" s="16" t="s">
        <v>1917</v>
      </c>
      <c r="N14" s="16" t="s">
        <v>1961</v>
      </c>
      <c r="O14" s="16" t="s">
        <v>11905</v>
      </c>
      <c r="P14" s="16" t="s">
        <v>11939</v>
      </c>
      <c r="Q14" s="17" t="s">
        <v>22051</v>
      </c>
      <c r="R14" s="16" t="s">
        <v>13</v>
      </c>
      <c r="S14" s="16" t="s">
        <v>22046</v>
      </c>
      <c r="T14" s="16" t="s">
        <v>22047</v>
      </c>
      <c r="U14" s="17" t="s">
        <v>22043</v>
      </c>
      <c r="V14" s="4">
        <v>602</v>
      </c>
    </row>
    <row r="15" spans="1:23" x14ac:dyDescent="0.3">
      <c r="A15" s="15">
        <v>13</v>
      </c>
      <c r="B15" s="16" t="s">
        <v>22082</v>
      </c>
      <c r="C15" s="16" t="s">
        <v>22083</v>
      </c>
      <c r="D15" s="16" t="s">
        <v>22045</v>
      </c>
      <c r="E15" s="16" t="s">
        <v>22084</v>
      </c>
      <c r="I15" s="16" t="s">
        <v>369</v>
      </c>
      <c r="J15" s="17" t="s">
        <v>22051</v>
      </c>
      <c r="K15" s="16" t="s">
        <v>743</v>
      </c>
      <c r="L15" s="16" t="s">
        <v>1826</v>
      </c>
      <c r="M15" s="16" t="s">
        <v>1917</v>
      </c>
      <c r="N15" s="16" t="s">
        <v>1961</v>
      </c>
      <c r="O15" s="16" t="s">
        <v>11905</v>
      </c>
      <c r="P15" s="16" t="s">
        <v>11939</v>
      </c>
      <c r="Q15" s="17" t="s">
        <v>22051</v>
      </c>
      <c r="R15" s="16" t="s">
        <v>13</v>
      </c>
      <c r="S15" s="16" t="s">
        <v>22046</v>
      </c>
      <c r="T15" s="16" t="s">
        <v>22047</v>
      </c>
      <c r="U15" s="17" t="s">
        <v>22043</v>
      </c>
      <c r="V15" s="4">
        <v>603</v>
      </c>
    </row>
    <row r="16" spans="1:23" x14ac:dyDescent="0.3">
      <c r="A16" s="15">
        <v>14</v>
      </c>
      <c r="B16" s="16" t="s">
        <v>22085</v>
      </c>
      <c r="C16" s="16" t="s">
        <v>22086</v>
      </c>
      <c r="D16" s="16" t="s">
        <v>22044</v>
      </c>
      <c r="E16" s="16" t="s">
        <v>22087</v>
      </c>
      <c r="I16" s="16" t="s">
        <v>369</v>
      </c>
      <c r="J16" s="17" t="s">
        <v>22051</v>
      </c>
      <c r="K16" s="16" t="s">
        <v>743</v>
      </c>
      <c r="L16" s="16" t="s">
        <v>1826</v>
      </c>
      <c r="M16" s="16" t="s">
        <v>1917</v>
      </c>
      <c r="N16" s="16" t="s">
        <v>1961</v>
      </c>
      <c r="O16" s="16" t="s">
        <v>11905</v>
      </c>
      <c r="P16" s="16" t="s">
        <v>11939</v>
      </c>
      <c r="Q16" s="17" t="s">
        <v>22051</v>
      </c>
      <c r="R16" s="16" t="s">
        <v>13</v>
      </c>
      <c r="S16" s="16" t="s">
        <v>22046</v>
      </c>
      <c r="T16" s="16" t="s">
        <v>22047</v>
      </c>
      <c r="U16" s="17" t="s">
        <v>22043</v>
      </c>
      <c r="V16" s="4">
        <v>603</v>
      </c>
    </row>
    <row r="17" spans="1:22" x14ac:dyDescent="0.3">
      <c r="A17" s="15">
        <v>15</v>
      </c>
      <c r="B17" s="16" t="s">
        <v>22088</v>
      </c>
      <c r="C17" s="16" t="s">
        <v>22089</v>
      </c>
      <c r="D17" s="16" t="s">
        <v>22045</v>
      </c>
      <c r="E17" s="16" t="s">
        <v>22090</v>
      </c>
      <c r="I17" s="16" t="s">
        <v>369</v>
      </c>
      <c r="J17" s="17" t="s">
        <v>22051</v>
      </c>
      <c r="K17" s="16" t="s">
        <v>743</v>
      </c>
      <c r="L17" s="16" t="s">
        <v>1826</v>
      </c>
      <c r="M17" s="16" t="s">
        <v>1917</v>
      </c>
      <c r="N17" s="16" t="s">
        <v>1961</v>
      </c>
      <c r="O17" s="16" t="s">
        <v>11905</v>
      </c>
      <c r="P17" s="16" t="s">
        <v>11939</v>
      </c>
      <c r="Q17" s="17" t="s">
        <v>22051</v>
      </c>
      <c r="R17" s="16" t="s">
        <v>13</v>
      </c>
      <c r="S17" s="16" t="s">
        <v>22046</v>
      </c>
      <c r="T17" s="16" t="s">
        <v>22047</v>
      </c>
      <c r="U17" s="17" t="s">
        <v>22043</v>
      </c>
      <c r="V17" s="4">
        <v>603</v>
      </c>
    </row>
    <row r="18" spans="1:22" x14ac:dyDescent="0.3">
      <c r="A18" s="15">
        <v>16</v>
      </c>
      <c r="B18" s="16" t="s">
        <v>22091</v>
      </c>
      <c r="C18" s="16" t="s">
        <v>22092</v>
      </c>
      <c r="D18" s="16" t="s">
        <v>22044</v>
      </c>
      <c r="E18" s="16" t="s">
        <v>22093</v>
      </c>
      <c r="I18" s="16" t="s">
        <v>369</v>
      </c>
      <c r="J18" s="17" t="s">
        <v>22051</v>
      </c>
      <c r="K18" s="16" t="s">
        <v>743</v>
      </c>
      <c r="L18" s="16" t="s">
        <v>1826</v>
      </c>
      <c r="M18" s="16" t="s">
        <v>1917</v>
      </c>
      <c r="N18" s="16" t="s">
        <v>1961</v>
      </c>
      <c r="O18" s="16" t="s">
        <v>11905</v>
      </c>
      <c r="P18" s="16" t="s">
        <v>11939</v>
      </c>
      <c r="Q18" s="17" t="s">
        <v>22051</v>
      </c>
      <c r="R18" s="16" t="s">
        <v>13</v>
      </c>
      <c r="S18" s="16" t="s">
        <v>22046</v>
      </c>
      <c r="T18" s="16" t="s">
        <v>22047</v>
      </c>
      <c r="U18" s="17" t="s">
        <v>22043</v>
      </c>
      <c r="V18" s="4">
        <v>603</v>
      </c>
    </row>
    <row r="19" spans="1:22" x14ac:dyDescent="0.3">
      <c r="A19" s="15">
        <v>17</v>
      </c>
    </row>
    <row r="20" spans="1:22" x14ac:dyDescent="0.3">
      <c r="A20" s="15">
        <v>18</v>
      </c>
    </row>
    <row r="21" spans="1:22" x14ac:dyDescent="0.3">
      <c r="A21" s="15">
        <v>19</v>
      </c>
    </row>
    <row r="22" spans="1:22" x14ac:dyDescent="0.3">
      <c r="A22" s="15">
        <v>20</v>
      </c>
    </row>
    <row r="23" spans="1:22" x14ac:dyDescent="0.3">
      <c r="A23" s="15">
        <v>21</v>
      </c>
    </row>
    <row r="24" spans="1:22" x14ac:dyDescent="0.3">
      <c r="A24" s="15">
        <v>22</v>
      </c>
    </row>
    <row r="25" spans="1:22" x14ac:dyDescent="0.3">
      <c r="A25" s="15">
        <v>23</v>
      </c>
    </row>
    <row r="26" spans="1:22" x14ac:dyDescent="0.3">
      <c r="A26" s="15">
        <v>24</v>
      </c>
    </row>
    <row r="27" spans="1:22" x14ac:dyDescent="0.3">
      <c r="A27" s="15">
        <v>25</v>
      </c>
    </row>
    <row r="28" spans="1:22" x14ac:dyDescent="0.3">
      <c r="A28" s="15">
        <v>26</v>
      </c>
    </row>
    <row r="29" spans="1:22" x14ac:dyDescent="0.3">
      <c r="A29" s="15">
        <v>27</v>
      </c>
    </row>
    <row r="30" spans="1:22" x14ac:dyDescent="0.3">
      <c r="A30" s="15">
        <v>28</v>
      </c>
    </row>
    <row r="31" spans="1:22" x14ac:dyDescent="0.3">
      <c r="A31" s="15">
        <v>29</v>
      </c>
    </row>
    <row r="32" spans="1:22" x14ac:dyDescent="0.3">
      <c r="A32" s="15">
        <v>30</v>
      </c>
    </row>
    <row r="33" spans="1:1" x14ac:dyDescent="0.3">
      <c r="A33" s="15">
        <v>31</v>
      </c>
    </row>
    <row r="34" spans="1:1" x14ac:dyDescent="0.3">
      <c r="A34" s="15">
        <v>32</v>
      </c>
    </row>
    <row r="35" spans="1:1" x14ac:dyDescent="0.3">
      <c r="A35" s="15">
        <v>33</v>
      </c>
    </row>
    <row r="36" spans="1:1" x14ac:dyDescent="0.3">
      <c r="A36" s="15">
        <v>34</v>
      </c>
    </row>
    <row r="37" spans="1:1" x14ac:dyDescent="0.3">
      <c r="A37" s="15">
        <v>35</v>
      </c>
    </row>
    <row r="38" spans="1:1" x14ac:dyDescent="0.3">
      <c r="A38" s="15">
        <v>36</v>
      </c>
    </row>
    <row r="39" spans="1:1" x14ac:dyDescent="0.3">
      <c r="A39" s="15">
        <v>37</v>
      </c>
    </row>
    <row r="40" spans="1:1" x14ac:dyDescent="0.3">
      <c r="A40" s="15">
        <v>38</v>
      </c>
    </row>
    <row r="41" spans="1:1" x14ac:dyDescent="0.3">
      <c r="A41" s="15">
        <v>39</v>
      </c>
    </row>
    <row r="42" spans="1:1" x14ac:dyDescent="0.3">
      <c r="A42" s="15">
        <v>40</v>
      </c>
    </row>
    <row r="43" spans="1:1" x14ac:dyDescent="0.3">
      <c r="A43" s="15">
        <v>41</v>
      </c>
    </row>
    <row r="44" spans="1:1" x14ac:dyDescent="0.3">
      <c r="A44" s="15">
        <v>42</v>
      </c>
    </row>
    <row r="45" spans="1:1" x14ac:dyDescent="0.3">
      <c r="A45" s="15">
        <v>43</v>
      </c>
    </row>
    <row r="46" spans="1:1" x14ac:dyDescent="0.3">
      <c r="A46" s="15">
        <v>44</v>
      </c>
    </row>
    <row r="47" spans="1:1" x14ac:dyDescent="0.3">
      <c r="A47" s="15">
        <v>45</v>
      </c>
    </row>
    <row r="48" spans="1:1" x14ac:dyDescent="0.3">
      <c r="A48" s="15">
        <v>46</v>
      </c>
    </row>
    <row r="49" spans="1:1" x14ac:dyDescent="0.3">
      <c r="A49" s="15">
        <v>47</v>
      </c>
    </row>
    <row r="50" spans="1:1" x14ac:dyDescent="0.3">
      <c r="A50" s="15">
        <v>48</v>
      </c>
    </row>
    <row r="51" spans="1:1" x14ac:dyDescent="0.3">
      <c r="A51" s="15">
        <v>49</v>
      </c>
    </row>
    <row r="52" spans="1:1" x14ac:dyDescent="0.3">
      <c r="A52" s="15">
        <v>50</v>
      </c>
    </row>
    <row r="53" spans="1:1" x14ac:dyDescent="0.3">
      <c r="A53" s="15">
        <v>51</v>
      </c>
    </row>
    <row r="54" spans="1:1" x14ac:dyDescent="0.3">
      <c r="A54" s="15">
        <v>52</v>
      </c>
    </row>
    <row r="55" spans="1:1" x14ac:dyDescent="0.3">
      <c r="A55" s="15">
        <v>53</v>
      </c>
    </row>
    <row r="56" spans="1:1" x14ac:dyDescent="0.3">
      <c r="A56" s="15">
        <v>54</v>
      </c>
    </row>
    <row r="57" spans="1:1" x14ac:dyDescent="0.3">
      <c r="A57" s="15">
        <v>55</v>
      </c>
    </row>
    <row r="58" spans="1:1" x14ac:dyDescent="0.3">
      <c r="A58" s="15">
        <v>56</v>
      </c>
    </row>
    <row r="59" spans="1:1" x14ac:dyDescent="0.3">
      <c r="A59" s="15">
        <v>57</v>
      </c>
    </row>
    <row r="60" spans="1:1" x14ac:dyDescent="0.3">
      <c r="A60" s="15">
        <v>58</v>
      </c>
    </row>
    <row r="61" spans="1:1" x14ac:dyDescent="0.3">
      <c r="A61" s="15">
        <v>59</v>
      </c>
    </row>
    <row r="62" spans="1:1" x14ac:dyDescent="0.3">
      <c r="A62" s="15">
        <v>60</v>
      </c>
    </row>
    <row r="63" spans="1:1" x14ac:dyDescent="0.3">
      <c r="A63" s="15">
        <v>61</v>
      </c>
    </row>
    <row r="64" spans="1: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algorithmName="SHA-512" hashValue="C+m9jzOprzX+1saiZb33Li6KU9O6gGWAkGjiYcynyY+65XP41FD4UzJByZE/0Q6qvp1Gaswgk2ISBVcLWUChoQ==" saltValue="v/mNy1wxpUvGZnfeWydD8g==" spinCount="100000" sheet="1" objects="1" scenarios="1" formatCells="0" formatColumns="0"/>
  <mergeCells count="1">
    <mergeCell ref="E2:G2"/>
  </mergeCells>
  <dataValidations count="8">
    <dataValidation type="list" allowBlank="1" showInputMessage="1" showErrorMessage="1" sqref="O2:P2">
      <formula1>DsTinhThanh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Cao Thị Ánh</v>
      </c>
      <c r="B1" s="18" t="str">
        <f>DanhsachNguoiluutru!C3</f>
        <v>10/01/1977</v>
      </c>
      <c r="C1" s="18" t="str">
        <f>INDEX(GioiTinh!$A:$A,MATCH(DanhsachNguoiluutru!D3,GioiTinh!$B:$B,0))</f>
        <v>3</v>
      </c>
      <c r="D1" s="18" t="str">
        <f>DanhsachNguoiluutru!D3</f>
        <v>Giới tính nữ</v>
      </c>
      <c r="E1" s="18" t="str">
        <f>DanhsachNguoiluutru!E3</f>
        <v>026177002321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Nhân Đạo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26</v>
      </c>
      <c r="S1" s="18" t="str">
        <f ca="1">INDEX(OFFSET(QuanHuyen!$C$1,MATCH(extracted!$R1,QuanHuyen!$A:$A,0)-1,0,10000,1),MATCH(DanhsachNguoiluutru!$O3,OFFSET(QuanHuyen!$B$1,MATCH(extracted!$R1,QuanHuyen!$A:$A,0)-1,0,10000,1), 0))</f>
        <v>253</v>
      </c>
      <c r="T1" s="18" t="str">
        <f ca="1">INDEX(OFFSET(PhuongXa!$C$1,MATCH(extracted!$S1,PhuongXa!$A:$A,0)-1,0,10000,1),MATCH(DanhsachNguoiluutru!$P3,OFFSET(PhuongXa!$B$1,MATCH(extracted!$S1,PhuongXa!$A:$A,0)-1,0,10000,1), 0))</f>
        <v>08803</v>
      </c>
      <c r="U1" s="18" t="str">
        <f>DanhsachNguoiluutru!Q3</f>
        <v>Nhân Đạo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Nhân Đạo, Xã Nhân Đạo, Huyện Sông Lô, Tỉnh Vĩnh Phúc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08/07/2023</v>
      </c>
      <c r="Z1" s="18" t="str">
        <f>DanhsachNguoiluutru!T3</f>
        <v>09/07/2023</v>
      </c>
      <c r="AA1" s="18" t="str">
        <f>DanhsachNguoiluutru!U3</f>
        <v>Du Lịch</v>
      </c>
      <c r="AB1" s="18">
        <f>DanhsachNguoiluutru!V3</f>
        <v>507</v>
      </c>
    </row>
    <row r="2" spans="1:28" x14ac:dyDescent="0.3">
      <c r="A2" s="18" t="str">
        <f>DanhsachNguoiluutru!B4</f>
        <v>Nguyễn Linh Nhi</v>
      </c>
      <c r="B2" s="18" t="str">
        <f>DanhsachNguoiluutru!C4</f>
        <v>20/12/1990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026190893045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Nhân Đạo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26</v>
      </c>
      <c r="S2" s="18" t="str">
        <f ca="1">INDEX(OFFSET(QuanHuyen!$C$1,MATCH(extracted!$R2,QuanHuyen!$A:$A,0)-1,0,10000,1),MATCH(DanhsachNguoiluutru!$O4,OFFSET(QuanHuyen!$B$1,MATCH(extracted!$R2,QuanHuyen!$A:$A,0)-1,0,10000,1), 0))</f>
        <v>253</v>
      </c>
      <c r="T2" s="18" t="str">
        <f ca="1">INDEX(OFFSET(PhuongXa!$C$1,MATCH(extracted!$S2,PhuongXa!$A:$A,0)-1,0,10000,1),MATCH(DanhsachNguoiluutru!$P4,OFFSET(PhuongXa!$B$1,MATCH(extracted!$S2,PhuongXa!$A:$A,0)-1,0,10000,1), 0))</f>
        <v>08803</v>
      </c>
      <c r="U2" s="18" t="str">
        <f>DanhsachNguoiluutru!Q4</f>
        <v>Nhân Đạo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Nhân Đạo, Xã Nhân Đạo, Huyện Sông Lô, Tỉnh Vĩnh Phúc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08/07/2023</v>
      </c>
      <c r="Z2" s="18" t="str">
        <f>DanhsachNguoiluutru!T4</f>
        <v>09/07/2023</v>
      </c>
      <c r="AA2" s="18" t="str">
        <f>DanhsachNguoiluutru!U4</f>
        <v>Du Lịch</v>
      </c>
      <c r="AB2" s="18">
        <f>DanhsachNguoiluutru!V4</f>
        <v>507</v>
      </c>
    </row>
    <row r="3" spans="1:28" x14ac:dyDescent="0.3">
      <c r="A3" s="18" t="str">
        <f>DanhsachNguoiluutru!B5</f>
        <v>Ngô Sơn Sơn</v>
      </c>
      <c r="B3" s="18" t="str">
        <f>DanhsachNguoiluutru!C5</f>
        <v>03/09/1982</v>
      </c>
      <c r="C3" s="18" t="str">
        <f>INDEX(GioiTinh!$A:$A,MATCH(DanhsachNguoiluutru!D5,GioiTinh!$B:$B,0))</f>
        <v>2</v>
      </c>
      <c r="D3" s="18" t="str">
        <f>DanhsachNguoiluutru!D5</f>
        <v>Giới tính Nam</v>
      </c>
      <c r="E3" s="18" t="str">
        <f>DanhsachNguoiluutru!E5</f>
        <v>026082334130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Nhân Đạo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26</v>
      </c>
      <c r="S3" s="18" t="str">
        <f ca="1">INDEX(OFFSET(QuanHuyen!$C$1,MATCH(extracted!$R3,QuanHuyen!$A:$A,0)-1,0,10000,1),MATCH(DanhsachNguoiluutru!$O5,OFFSET(QuanHuyen!$B$1,MATCH(extracted!$R3,QuanHuyen!$A:$A,0)-1,0,10000,1), 0))</f>
        <v>253</v>
      </c>
      <c r="T3" s="18" t="str">
        <f ca="1">INDEX(OFFSET(PhuongXa!$C$1,MATCH(extracted!$S3,PhuongXa!$A:$A,0)-1,0,10000,1),MATCH(DanhsachNguoiluutru!$P5,OFFSET(PhuongXa!$B$1,MATCH(extracted!$S3,PhuongXa!$A:$A,0)-1,0,10000,1), 0))</f>
        <v>08803</v>
      </c>
      <c r="U3" s="18" t="str">
        <f>DanhsachNguoiluutru!Q5</f>
        <v>Nhân Đạo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Nhân Đạo, Xã Nhân Đạo, Huyện Sông Lô, Tỉnh Vĩnh Phúc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08/07/2023</v>
      </c>
      <c r="Z3" s="18" t="str">
        <f>DanhsachNguoiluutru!T5</f>
        <v>09/07/2023</v>
      </c>
      <c r="AA3" s="18" t="str">
        <f>DanhsachNguoiluutru!U5</f>
        <v>Du Lịch</v>
      </c>
      <c r="AB3" s="18">
        <f>DanhsachNguoiluutru!V5</f>
        <v>507</v>
      </c>
    </row>
    <row r="4" spans="1:28" x14ac:dyDescent="0.3">
      <c r="A4" s="18" t="str">
        <f>DanhsachNguoiluutru!B6</f>
        <v>Ngô Phương Linh</v>
      </c>
      <c r="B4" s="18" t="str">
        <f>DanhsachNguoiluutru!C6</f>
        <v>21/09/1984</v>
      </c>
      <c r="C4" s="18" t="str">
        <f>INDEX(GioiTinh!$A:$A,MATCH(DanhsachNguoiluutru!D6,GioiTinh!$B:$B,0))</f>
        <v>3</v>
      </c>
      <c r="D4" s="18" t="str">
        <f>DanhsachNguoiluutru!D6</f>
        <v>Giới tính Nữ</v>
      </c>
      <c r="E4" s="18" t="str">
        <f>DanhsachNguoiluutru!E6</f>
        <v>026184452190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Nhân Đạo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26</v>
      </c>
      <c r="S4" s="18" t="str">
        <f ca="1">INDEX(OFFSET(QuanHuyen!$C$1,MATCH(extracted!$R4,QuanHuyen!$A:$A,0)-1,0,10000,1),MATCH(DanhsachNguoiluutru!$O6,OFFSET(QuanHuyen!$B$1,MATCH(extracted!$R4,QuanHuyen!$A:$A,0)-1,0,10000,1), 0))</f>
        <v>253</v>
      </c>
      <c r="T4" s="18" t="str">
        <f ca="1">INDEX(OFFSET(PhuongXa!$C$1,MATCH(extracted!$S4,PhuongXa!$A:$A,0)-1,0,10000,1),MATCH(DanhsachNguoiluutru!$P6,OFFSET(PhuongXa!$B$1,MATCH(extracted!$S4,PhuongXa!$A:$A,0)-1,0,10000,1), 0))</f>
        <v>08803</v>
      </c>
      <c r="U4" s="18" t="str">
        <f>DanhsachNguoiluutru!Q6</f>
        <v>Nhân Đạo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Nhân Đạo, Xã Nhân Đạo, Huyện Sông Lô, Tỉnh Vĩnh Phúc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08/07/2023</v>
      </c>
      <c r="Z4" s="18" t="str">
        <f>DanhsachNguoiluutru!T6</f>
        <v>09/07/2023</v>
      </c>
      <c r="AA4" s="18" t="str">
        <f>DanhsachNguoiluutru!U6</f>
        <v>Du Lịch</v>
      </c>
      <c r="AB4" s="18">
        <f>DanhsachNguoiluutru!V6</f>
        <v>507</v>
      </c>
    </row>
    <row r="5" spans="1:28" x14ac:dyDescent="0.3">
      <c r="A5" s="18" t="str">
        <f>DanhsachNguoiluutru!B7</f>
        <v>Đoàn Tuấn Cường</v>
      </c>
      <c r="B5" s="18" t="str">
        <f>DanhsachNguoiluutru!C7</f>
        <v>10/11/1993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026093190154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Nhân Đạo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26</v>
      </c>
      <c r="S5" s="18" t="str">
        <f ca="1">INDEX(OFFSET(QuanHuyen!$C$1,MATCH(extracted!$R5,QuanHuyen!$A:$A,0)-1,0,10000,1),MATCH(DanhsachNguoiluutru!$O7,OFFSET(QuanHuyen!$B$1,MATCH(extracted!$R5,QuanHuyen!$A:$A,0)-1,0,10000,1), 0))</f>
        <v>253</v>
      </c>
      <c r="T5" s="18" t="str">
        <f ca="1">INDEX(OFFSET(PhuongXa!$C$1,MATCH(extracted!$S5,PhuongXa!$A:$A,0)-1,0,10000,1),MATCH(DanhsachNguoiluutru!$P7,OFFSET(PhuongXa!$B$1,MATCH(extracted!$S5,PhuongXa!$A:$A,0)-1,0,10000,1), 0))</f>
        <v>08803</v>
      </c>
      <c r="U5" s="18" t="str">
        <f>DanhsachNguoiluutru!Q7</f>
        <v>Nhân Đạo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Nhân Đạo, Xã Nhân Đạo, Huyện Sông Lô, Tỉnh Vĩnh Phúc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08/07/2023</v>
      </c>
      <c r="Z5" s="18" t="str">
        <f>DanhsachNguoiluutru!T7</f>
        <v>09/07/2023</v>
      </c>
      <c r="AA5" s="18" t="str">
        <f>DanhsachNguoiluutru!U7</f>
        <v>Du Lịch</v>
      </c>
      <c r="AB5" s="18">
        <f>DanhsachNguoiluutru!V7</f>
        <v>601</v>
      </c>
    </row>
    <row r="6" spans="1:28" x14ac:dyDescent="0.3">
      <c r="A6" s="18" t="str">
        <f>DanhsachNguoiluutru!B8</f>
        <v>Trần Quốc Hưng</v>
      </c>
      <c r="B6" s="18" t="str">
        <f>DanhsachNguoiluutru!C8</f>
        <v>04/02/1976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026076520412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Nhân Đạo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26</v>
      </c>
      <c r="S6" s="18" t="str">
        <f ca="1">INDEX(OFFSET(QuanHuyen!$C$1,MATCH(extracted!$R6,QuanHuyen!$A:$A,0)-1,0,10000,1),MATCH(DanhsachNguoiluutru!$O8,OFFSET(QuanHuyen!$B$1,MATCH(extracted!$R6,QuanHuyen!$A:$A,0)-1,0,10000,1), 0))</f>
        <v>253</v>
      </c>
      <c r="T6" s="18" t="str">
        <f ca="1">INDEX(OFFSET(PhuongXa!$C$1,MATCH(extracted!$S6,PhuongXa!$A:$A,0)-1,0,10000,1),MATCH(DanhsachNguoiluutru!$P8,OFFSET(PhuongXa!$B$1,MATCH(extracted!$S6,PhuongXa!$A:$A,0)-1,0,10000,1), 0))</f>
        <v>08803</v>
      </c>
      <c r="U6" s="18" t="str">
        <f>DanhsachNguoiluutru!Q8</f>
        <v>Nhân Đạo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Nhân Đạo, Xã Nhân Đạo, Huyện Sông Lô, Tỉnh Vĩnh Phúc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08/07/2023</v>
      </c>
      <c r="Z6" s="18" t="str">
        <f>DanhsachNguoiluutru!T8</f>
        <v>09/07/2023</v>
      </c>
      <c r="AA6" s="18" t="str">
        <f>DanhsachNguoiluutru!U8</f>
        <v>Du Lịch</v>
      </c>
      <c r="AB6" s="18">
        <f>DanhsachNguoiluutru!V8</f>
        <v>601</v>
      </c>
    </row>
    <row r="7" spans="1:28" x14ac:dyDescent="0.3">
      <c r="A7" s="18" t="str">
        <f>DanhsachNguoiluutru!B9</f>
        <v>Trịnh Tuấn Linh</v>
      </c>
      <c r="B7" s="18" t="str">
        <f>DanhsachNguoiluutru!C9</f>
        <v>11/10/1973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026073585813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Nhân Đạo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26</v>
      </c>
      <c r="S7" s="18" t="str">
        <f ca="1">INDEX(OFFSET(QuanHuyen!$C$1,MATCH(extracted!$R7,QuanHuyen!$A:$A,0)-1,0,10000,1),MATCH(DanhsachNguoiluutru!$O9,OFFSET(QuanHuyen!$B$1,MATCH(extracted!$R7,QuanHuyen!$A:$A,0)-1,0,10000,1), 0))</f>
        <v>253</v>
      </c>
      <c r="T7" s="18" t="str">
        <f ca="1">INDEX(OFFSET(PhuongXa!$C$1,MATCH(extracted!$S7,PhuongXa!$A:$A,0)-1,0,10000,1),MATCH(DanhsachNguoiluutru!$P9,OFFSET(PhuongXa!$B$1,MATCH(extracted!$S7,PhuongXa!$A:$A,0)-1,0,10000,1), 0))</f>
        <v>08803</v>
      </c>
      <c r="U7" s="18" t="str">
        <f>DanhsachNguoiluutru!Q9</f>
        <v>Nhân Đạo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Nhân Đạo, Xã Nhân Đạo, Huyện Sông Lô, Tỉnh Vĩnh Phúc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08/07/2023</v>
      </c>
      <c r="Z7" s="18" t="str">
        <f>DanhsachNguoiluutru!T9</f>
        <v>09/07/2023</v>
      </c>
      <c r="AA7" s="18" t="str">
        <f>DanhsachNguoiluutru!U9</f>
        <v>Du Lịch</v>
      </c>
      <c r="AB7" s="18">
        <f>DanhsachNguoiluutru!V9</f>
        <v>601</v>
      </c>
    </row>
    <row r="8" spans="1:28" x14ac:dyDescent="0.3">
      <c r="A8" s="18" t="str">
        <f>DanhsachNguoiluutru!B10</f>
        <v>Hà Thảo My</v>
      </c>
      <c r="B8" s="18" t="str">
        <f>DanhsachNguoiluutru!C10</f>
        <v>05/05/1986</v>
      </c>
      <c r="C8" s="18" t="str">
        <f>INDEX(GioiTinh!$A:$A,MATCH(DanhsachNguoiluutru!D10,GioiTinh!$B:$B,0))</f>
        <v>3</v>
      </c>
      <c r="D8" s="18" t="str">
        <f>DanhsachNguoiluutru!D10</f>
        <v>Giới tính Nữ</v>
      </c>
      <c r="E8" s="18" t="str">
        <f>DanhsachNguoiluutru!E10</f>
        <v>026186985881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Nhân Đạo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26</v>
      </c>
      <c r="S8" s="18" t="str">
        <f ca="1">INDEX(OFFSET(QuanHuyen!$C$1,MATCH(extracted!$R8,QuanHuyen!$A:$A,0)-1,0,10000,1),MATCH(DanhsachNguoiluutru!$O10,OFFSET(QuanHuyen!$B$1,MATCH(extracted!$R8,QuanHuyen!$A:$A,0)-1,0,10000,1), 0))</f>
        <v>253</v>
      </c>
      <c r="T8" s="18" t="str">
        <f ca="1">INDEX(OFFSET(PhuongXa!$C$1,MATCH(extracted!$S8,PhuongXa!$A:$A,0)-1,0,10000,1),MATCH(DanhsachNguoiluutru!$P10,OFFSET(PhuongXa!$B$1,MATCH(extracted!$S8,PhuongXa!$A:$A,0)-1,0,10000,1), 0))</f>
        <v>08803</v>
      </c>
      <c r="U8" s="18" t="str">
        <f>DanhsachNguoiluutru!Q10</f>
        <v>Nhân Đạo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Nhân Đạo, Xã Nhân Đạo, Huyện Sông Lô, Tỉnh Vĩnh Phúc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08/07/2023</v>
      </c>
      <c r="Z8" s="18" t="str">
        <f>DanhsachNguoiluutru!T10</f>
        <v>09/07/2023</v>
      </c>
      <c r="AA8" s="18" t="str">
        <f>DanhsachNguoiluutru!U10</f>
        <v>Du Lịch</v>
      </c>
      <c r="AB8" s="18">
        <f>DanhsachNguoiluutru!V10</f>
        <v>601</v>
      </c>
    </row>
    <row r="9" spans="1:28" x14ac:dyDescent="0.3">
      <c r="A9" s="18" t="str">
        <f>DanhsachNguoiluutru!B11</f>
        <v>Đặng Đình Thành</v>
      </c>
      <c r="B9" s="18" t="str">
        <f>DanhsachNguoiluutru!C11</f>
        <v>14/11/1988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026088021764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Nhân Đạo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26</v>
      </c>
      <c r="S9" s="18" t="str">
        <f ca="1">INDEX(OFFSET(QuanHuyen!$C$1,MATCH(extracted!$R9,QuanHuyen!$A:$A,0)-1,0,10000,1),MATCH(DanhsachNguoiluutru!$O11,OFFSET(QuanHuyen!$B$1,MATCH(extracted!$R9,QuanHuyen!$A:$A,0)-1,0,10000,1), 0))</f>
        <v>253</v>
      </c>
      <c r="T9" s="18" t="str">
        <f ca="1">INDEX(OFFSET(PhuongXa!$C$1,MATCH(extracted!$S9,PhuongXa!$A:$A,0)-1,0,10000,1),MATCH(DanhsachNguoiluutru!$P11,OFFSET(PhuongXa!$B$1,MATCH(extracted!$S9,PhuongXa!$A:$A,0)-1,0,10000,1), 0))</f>
        <v>08803</v>
      </c>
      <c r="U9" s="18" t="str">
        <f>DanhsachNguoiluutru!Q11</f>
        <v>Nhân Đạo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Nhân Đạo, Xã Nhân Đạo, Huyện Sông Lô, Tỉnh Vĩnh Phúc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08/07/2023</v>
      </c>
      <c r="Z9" s="18" t="str">
        <f>DanhsachNguoiluutru!T11</f>
        <v>09/07/2023</v>
      </c>
      <c r="AA9" s="18" t="str">
        <f>DanhsachNguoiluutru!U11</f>
        <v>Du Lịch</v>
      </c>
      <c r="AB9" s="18">
        <f>DanhsachNguoiluutru!V11</f>
        <v>602</v>
      </c>
    </row>
    <row r="10" spans="1:28" x14ac:dyDescent="0.3">
      <c r="A10" s="18" t="str">
        <f>DanhsachNguoiluutru!B12</f>
        <v>Đinh Thảo Xuân</v>
      </c>
      <c r="B10" s="18" t="str">
        <f>DanhsachNguoiluutru!C12</f>
        <v>05/02/1985</v>
      </c>
      <c r="C10" s="18" t="str">
        <f>INDEX(GioiTinh!$A:$A,MATCH(DanhsachNguoiluutru!D12,GioiTinh!$B:$B,0))</f>
        <v>3</v>
      </c>
      <c r="D10" s="18" t="str">
        <f>DanhsachNguoiluutru!D12</f>
        <v>Giới tính Nữ</v>
      </c>
      <c r="E10" s="18" t="str">
        <f>DanhsachNguoiluutru!E12</f>
        <v>026185845048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Nhân Đạo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26</v>
      </c>
      <c r="S10" s="18" t="str">
        <f ca="1">INDEX(OFFSET(QuanHuyen!$C$1,MATCH(extracted!$R10,QuanHuyen!$A:$A,0)-1,0,10000,1),MATCH(DanhsachNguoiluutru!$O12,OFFSET(QuanHuyen!$B$1,MATCH(extracted!$R10,QuanHuyen!$A:$A,0)-1,0,10000,1), 0))</f>
        <v>253</v>
      </c>
      <c r="T10" s="18" t="str">
        <f ca="1">INDEX(OFFSET(PhuongXa!$C$1,MATCH(extracted!$S10,PhuongXa!$A:$A,0)-1,0,10000,1),MATCH(DanhsachNguoiluutru!$P12,OFFSET(PhuongXa!$B$1,MATCH(extracted!$S10,PhuongXa!$A:$A,0)-1,0,10000,1), 0))</f>
        <v>08803</v>
      </c>
      <c r="U10" s="18" t="str">
        <f>DanhsachNguoiluutru!Q12</f>
        <v>Nhân Đạo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Nhân Đạo, Xã Nhân Đạo, Huyện Sông Lô, Tỉnh Vĩnh Phúc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08/07/2023</v>
      </c>
      <c r="Z10" s="18" t="str">
        <f>DanhsachNguoiluutru!T12</f>
        <v>09/07/2023</v>
      </c>
      <c r="AA10" s="18" t="str">
        <f>DanhsachNguoiluutru!U12</f>
        <v>Du Lịch</v>
      </c>
      <c r="AB10" s="18">
        <f>DanhsachNguoiluutru!V12</f>
        <v>602</v>
      </c>
    </row>
    <row r="11" spans="1:28" x14ac:dyDescent="0.3">
      <c r="A11" s="18" t="str">
        <f>DanhsachNguoiluutru!B13</f>
        <v>Vũ Phương Trang</v>
      </c>
      <c r="B11" s="18" t="str">
        <f>DanhsachNguoiluutru!C13</f>
        <v>06/09/1993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026193292645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Nhân Đạo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26</v>
      </c>
      <c r="S11" s="18" t="str">
        <f ca="1">INDEX(OFFSET(QuanHuyen!$C$1,MATCH(extracted!$R11,QuanHuyen!$A:$A,0)-1,0,10000,1),MATCH(DanhsachNguoiluutru!$O13,OFFSET(QuanHuyen!$B$1,MATCH(extracted!$R11,QuanHuyen!$A:$A,0)-1,0,10000,1), 0))</f>
        <v>253</v>
      </c>
      <c r="T11" s="18" t="str">
        <f ca="1">INDEX(OFFSET(PhuongXa!$C$1,MATCH(extracted!$S11,PhuongXa!$A:$A,0)-1,0,10000,1),MATCH(DanhsachNguoiluutru!$P13,OFFSET(PhuongXa!$B$1,MATCH(extracted!$S11,PhuongXa!$A:$A,0)-1,0,10000,1), 0))</f>
        <v>08803</v>
      </c>
      <c r="U11" s="18" t="str">
        <f>DanhsachNguoiluutru!Q13</f>
        <v>Nhân Đạo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Nhân Đạo, Xã Nhân Đạo, Huyện Sông Lô, Tỉnh Vĩnh Phúc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08/07/2023</v>
      </c>
      <c r="Z11" s="18" t="str">
        <f>DanhsachNguoiluutru!T13</f>
        <v>09/07/2023</v>
      </c>
      <c r="AA11" s="18" t="str">
        <f>DanhsachNguoiluutru!U13</f>
        <v>Du Lịch</v>
      </c>
      <c r="AB11" s="18">
        <f>DanhsachNguoiluutru!V13</f>
        <v>602</v>
      </c>
    </row>
    <row r="12" spans="1:28" x14ac:dyDescent="0.3">
      <c r="A12" s="18" t="str">
        <f>DanhsachNguoiluutru!B14</f>
        <v>Vũ Ngọc Cẩm</v>
      </c>
      <c r="B12" s="18" t="str">
        <f>DanhsachNguoiluutru!C14</f>
        <v>17/10/1985</v>
      </c>
      <c r="C12" s="18" t="str">
        <f>INDEX(GioiTinh!$A:$A,MATCH(DanhsachNguoiluutru!D14,GioiTinh!$B:$B,0))</f>
        <v>3</v>
      </c>
      <c r="D12" s="18" t="str">
        <f>DanhsachNguoiluutru!D14</f>
        <v>Giới tính Nữ</v>
      </c>
      <c r="E12" s="18" t="str">
        <f>DanhsachNguoiluutru!E14</f>
        <v>026185140961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Nhân Đạo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26</v>
      </c>
      <c r="S12" s="18" t="str">
        <f ca="1">INDEX(OFFSET(QuanHuyen!$C$1,MATCH(extracted!$R12,QuanHuyen!$A:$A,0)-1,0,10000,1),MATCH(DanhsachNguoiluutru!$O14,OFFSET(QuanHuyen!$B$1,MATCH(extracted!$R12,QuanHuyen!$A:$A,0)-1,0,10000,1), 0))</f>
        <v>253</v>
      </c>
      <c r="T12" s="18" t="str">
        <f ca="1">INDEX(OFFSET(PhuongXa!$C$1,MATCH(extracted!$S12,PhuongXa!$A:$A,0)-1,0,10000,1),MATCH(DanhsachNguoiluutru!$P14,OFFSET(PhuongXa!$B$1,MATCH(extracted!$S12,PhuongXa!$A:$A,0)-1,0,10000,1), 0))</f>
        <v>08803</v>
      </c>
      <c r="U12" s="18" t="str">
        <f>DanhsachNguoiluutru!Q14</f>
        <v>Nhân Đạo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Nhân Đạo, Xã Nhân Đạo, Huyện Sông Lô, Tỉnh Vĩnh Phúc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08/07/2023</v>
      </c>
      <c r="Z12" s="18" t="str">
        <f>DanhsachNguoiluutru!T14</f>
        <v>09/07/2023</v>
      </c>
      <c r="AA12" s="18" t="str">
        <f>DanhsachNguoiluutru!U14</f>
        <v>Du Lịch</v>
      </c>
      <c r="AB12" s="18">
        <f>DanhsachNguoiluutru!V14</f>
        <v>602</v>
      </c>
    </row>
    <row r="13" spans="1:28" x14ac:dyDescent="0.3">
      <c r="A13" s="18" t="str">
        <f>DanhsachNguoiluutru!B15</f>
        <v>Đặng Đức Quân</v>
      </c>
      <c r="B13" s="18" t="str">
        <f>DanhsachNguoiluutru!C15</f>
        <v>11/11/1984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026084363200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Nhân Đạo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26</v>
      </c>
      <c r="S13" s="18" t="str">
        <f ca="1">INDEX(OFFSET(QuanHuyen!$C$1,MATCH(extracted!$R13,QuanHuyen!$A:$A,0)-1,0,10000,1),MATCH(DanhsachNguoiluutru!$O15,OFFSET(QuanHuyen!$B$1,MATCH(extracted!$R13,QuanHuyen!$A:$A,0)-1,0,10000,1), 0))</f>
        <v>253</v>
      </c>
      <c r="T13" s="18" t="str">
        <f ca="1">INDEX(OFFSET(PhuongXa!$C$1,MATCH(extracted!$S13,PhuongXa!$A:$A,0)-1,0,10000,1),MATCH(DanhsachNguoiluutru!$P15,OFFSET(PhuongXa!$B$1,MATCH(extracted!$S13,PhuongXa!$A:$A,0)-1,0,10000,1), 0))</f>
        <v>08803</v>
      </c>
      <c r="U13" s="18" t="str">
        <f>DanhsachNguoiluutru!Q15</f>
        <v>Nhân Đạo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Nhân Đạo, Xã Nhân Đạo, Huyện Sông Lô, Tỉnh Vĩnh Phúc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08/07/2023</v>
      </c>
      <c r="Z13" s="18" t="str">
        <f>DanhsachNguoiluutru!T15</f>
        <v>09/07/2023</v>
      </c>
      <c r="AA13" s="18" t="str">
        <f>DanhsachNguoiluutru!U15</f>
        <v>Du Lịch</v>
      </c>
      <c r="AB13" s="18">
        <f>DanhsachNguoiluutru!V15</f>
        <v>603</v>
      </c>
    </row>
    <row r="14" spans="1:28" x14ac:dyDescent="0.3">
      <c r="A14" s="18" t="str">
        <f>DanhsachNguoiluutru!B16</f>
        <v>Đinh Thu Trâm</v>
      </c>
      <c r="B14" s="18" t="str">
        <f>DanhsachNguoiluutru!C16</f>
        <v>22/05/1993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026193437961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Nhân Đạo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26</v>
      </c>
      <c r="S14" s="18" t="str">
        <f ca="1">INDEX(OFFSET(QuanHuyen!$C$1,MATCH(extracted!$R14,QuanHuyen!$A:$A,0)-1,0,10000,1),MATCH(DanhsachNguoiluutru!$O16,OFFSET(QuanHuyen!$B$1,MATCH(extracted!$R14,QuanHuyen!$A:$A,0)-1,0,10000,1), 0))</f>
        <v>253</v>
      </c>
      <c r="T14" s="18" t="str">
        <f ca="1">INDEX(OFFSET(PhuongXa!$C$1,MATCH(extracted!$S14,PhuongXa!$A:$A,0)-1,0,10000,1),MATCH(DanhsachNguoiluutru!$P16,OFFSET(PhuongXa!$B$1,MATCH(extracted!$S14,PhuongXa!$A:$A,0)-1,0,10000,1), 0))</f>
        <v>08803</v>
      </c>
      <c r="U14" s="18" t="str">
        <f>DanhsachNguoiluutru!Q16</f>
        <v>Nhân Đạo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Nhân Đạo, Xã Nhân Đạo, Huyện Sông Lô, Tỉnh Vĩnh Phúc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08/07/2023</v>
      </c>
      <c r="Z14" s="18" t="str">
        <f>DanhsachNguoiluutru!T16</f>
        <v>09/07/2023</v>
      </c>
      <c r="AA14" s="18" t="str">
        <f>DanhsachNguoiluutru!U16</f>
        <v>Du Lịch</v>
      </c>
      <c r="AB14" s="18">
        <f>DanhsachNguoiluutru!V16</f>
        <v>603</v>
      </c>
    </row>
    <row r="15" spans="1:28" x14ac:dyDescent="0.3">
      <c r="A15" s="18" t="str">
        <f>DanhsachNguoiluutru!B17</f>
        <v>Võ Thành Tuấn</v>
      </c>
      <c r="B15" s="18" t="str">
        <f>DanhsachNguoiluutru!C17</f>
        <v>10/12/1982</v>
      </c>
      <c r="C15" s="18" t="str">
        <f>INDEX(GioiTinh!$A:$A,MATCH(DanhsachNguoiluutru!D17,GioiTinh!$B:$B,0))</f>
        <v>2</v>
      </c>
      <c r="D15" s="18" t="str">
        <f>DanhsachNguoiluutru!D17</f>
        <v>Giới tính Nam</v>
      </c>
      <c r="E15" s="18" t="str">
        <f>DanhsachNguoiluutru!E17</f>
        <v>026082439756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Nhân Đạo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26</v>
      </c>
      <c r="S15" s="18" t="str">
        <f ca="1">INDEX(OFFSET(QuanHuyen!$C$1,MATCH(extracted!$R15,QuanHuyen!$A:$A,0)-1,0,10000,1),MATCH(DanhsachNguoiluutru!$O17,OFFSET(QuanHuyen!$B$1,MATCH(extracted!$R15,QuanHuyen!$A:$A,0)-1,0,10000,1), 0))</f>
        <v>253</v>
      </c>
      <c r="T15" s="18" t="str">
        <f ca="1">INDEX(OFFSET(PhuongXa!$C$1,MATCH(extracted!$S15,PhuongXa!$A:$A,0)-1,0,10000,1),MATCH(DanhsachNguoiluutru!$P17,OFFSET(PhuongXa!$B$1,MATCH(extracted!$S15,PhuongXa!$A:$A,0)-1,0,10000,1), 0))</f>
        <v>08803</v>
      </c>
      <c r="U15" s="18" t="str">
        <f>DanhsachNguoiluutru!Q17</f>
        <v>Nhân Đạo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Nhân Đạo, Xã Nhân Đạo, Huyện Sông Lô, Tỉnh Vĩnh Phúc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08/07/2023</v>
      </c>
      <c r="Z15" s="18" t="str">
        <f>DanhsachNguoiluutru!T17</f>
        <v>09/07/2023</v>
      </c>
      <c r="AA15" s="18" t="str">
        <f>DanhsachNguoiluutru!U17</f>
        <v>Du Lịch</v>
      </c>
      <c r="AB15" s="18">
        <f>DanhsachNguoiluutru!V17</f>
        <v>603</v>
      </c>
    </row>
    <row r="16" spans="1:28" x14ac:dyDescent="0.3">
      <c r="A16" s="18" t="str">
        <f>DanhsachNguoiluutru!B18</f>
        <v>Đinh Ngọc Diễm</v>
      </c>
      <c r="B16" s="18" t="str">
        <f>DanhsachNguoiluutru!C18</f>
        <v>18/05/1994</v>
      </c>
      <c r="C16" s="18" t="str">
        <f>INDEX(GioiTinh!$A:$A,MATCH(DanhsachNguoiluutru!D18,GioiTinh!$B:$B,0))</f>
        <v>3</v>
      </c>
      <c r="D16" s="18" t="str">
        <f>DanhsachNguoiluutru!D18</f>
        <v>Giới tính Nữ</v>
      </c>
      <c r="E16" s="18" t="str">
        <f>DanhsachNguoiluutru!E18</f>
        <v>026194801514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Nhân Đạo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26</v>
      </c>
      <c r="S16" s="18" t="str">
        <f ca="1">INDEX(OFFSET(QuanHuyen!$C$1,MATCH(extracted!$R16,QuanHuyen!$A:$A,0)-1,0,10000,1),MATCH(DanhsachNguoiluutru!$O18,OFFSET(QuanHuyen!$B$1,MATCH(extracted!$R16,QuanHuyen!$A:$A,0)-1,0,10000,1), 0))</f>
        <v>253</v>
      </c>
      <c r="T16" s="18" t="str">
        <f ca="1">INDEX(OFFSET(PhuongXa!$C$1,MATCH(extracted!$S16,PhuongXa!$A:$A,0)-1,0,10000,1),MATCH(DanhsachNguoiluutru!$P18,OFFSET(PhuongXa!$B$1,MATCH(extracted!$S16,PhuongXa!$A:$A,0)-1,0,10000,1), 0))</f>
        <v>08803</v>
      </c>
      <c r="U16" s="18" t="str">
        <f>DanhsachNguoiluutru!Q18</f>
        <v>Nhân Đạo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Nhân Đạo, Xã Nhân Đạo, Huyện Sông Lô, Tỉnh Vĩnh Phúc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08/07/2023</v>
      </c>
      <c r="Z16" s="18" t="str">
        <f>DanhsachNguoiluutru!T18</f>
        <v>09/07/2023</v>
      </c>
      <c r="AA16" s="18" t="str">
        <f>DanhsachNguoiluutru!U18</f>
        <v>Du Lịch</v>
      </c>
      <c r="AB16" s="18">
        <f>DanhsachNguoiluutru!V18</f>
        <v>603</v>
      </c>
    </row>
    <row r="17" spans="1:28" x14ac:dyDescent="0.3">
      <c r="A17" s="18">
        <f>DanhsachNguoiluutru!B19</f>
        <v>0</v>
      </c>
      <c r="B17" s="18">
        <f>DanhsachNguoiluutru!C19</f>
        <v>0</v>
      </c>
      <c r="C17" s="18" t="e">
        <f>INDEX(GioiTinh!$A:$A,MATCH(DanhsachNguoiluutru!D19,GioiTinh!$B:$B,0))</f>
        <v>#N/A</v>
      </c>
      <c r="D17" s="18">
        <f>DanhsachNguoiluutru!D19</f>
        <v>0</v>
      </c>
      <c r="E17" s="18">
        <f>DanhsachNguoiluutru!E19</f>
        <v>0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e">
        <f>INDEX(NgheNghiep!$A:$A,MATCH(DanhsachNguoiluutru!I19,NgheNghiep!$B:$B,0))</f>
        <v>#N/A</v>
      </c>
      <c r="J17" s="18">
        <f>DanhsachNguoiluutru!I19</f>
        <v>0</v>
      </c>
      <c r="K17" s="18">
        <f>DanhsachNguoiluutru!J19</f>
        <v>0</v>
      </c>
      <c r="L17" s="18" t="e">
        <f>INDEX(DanToc!$A:$A,MATCH(DanhsachNguoiluutru!K19,DanToc!$B:$B,0))</f>
        <v>#N/A</v>
      </c>
      <c r="M17" s="18">
        <f>DanhsachNguoiluutru!K19</f>
        <v>0</v>
      </c>
      <c r="N17" s="18" t="e">
        <f>INDEX(QuocTich!$A:$A,MATCH(DanhsachNguoiluutru!L19,QuocTich!$B:$B,0))</f>
        <v>#N/A</v>
      </c>
      <c r="O17" s="18">
        <f>DanhsachNguoiluutru!L19</f>
        <v>0</v>
      </c>
      <c r="P17" s="18" t="e">
        <f>INDEX(QuocGia!$A:$A,MATCH(DanhsachNguoiluutru!M19,QuocGia!$B:$B,0))</f>
        <v>#N/A</v>
      </c>
      <c r="Q17" s="18">
        <f>DanhsachNguoiluutru!M19</f>
        <v>0</v>
      </c>
      <c r="R17" s="18" t="e">
        <f>INDEX(TinhThanh!$C:$C,MATCH(DanhsachNguoiluutru!N19,TinhThanh!$B:$B,0))</f>
        <v>#N/A</v>
      </c>
      <c r="S17" s="18" t="e">
        <f ca="1">INDEX(OFFSET(QuanHuyen!$C$1,MATCH(extracted!$R17,QuanHuyen!$A:$A,0)-1,0,10000,1),MATCH(DanhsachNguoiluutru!$O19,OFFSET(QuanHuyen!$B$1,MATCH(extracted!$R17,QuanHuyen!$A:$A,0)-1,0,10000,1), 0))</f>
        <v>#N/A</v>
      </c>
      <c r="T17" s="18" t="e">
        <f ca="1">INDEX(OFFSET(PhuongXa!$C$1,MATCH(extracted!$S17,PhuongXa!$A:$A,0)-1,0,10000,1),MATCH(DanhsachNguoiluutru!$P19,OFFSET(PhuongXa!$B$1,MATCH(extracted!$S17,PhuongXa!$A:$A,0)-1,0,10000,1), 0))</f>
        <v>#N/A</v>
      </c>
      <c r="U17" s="18">
        <f>DanhsachNguoiluutru!Q19</f>
        <v>0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/>
      </c>
      <c r="W17" s="18" t="e">
        <f>VLOOKUP(DanhsachNguoiluutru!$R19,DanhMuc!$A$2:$B$4,2,FALSE)</f>
        <v>#N/A</v>
      </c>
      <c r="X17" s="18">
        <f>DanhsachNguoiluutru!R19</f>
        <v>0</v>
      </c>
      <c r="Y17" s="18">
        <f>DanhsachNguoiluutru!S19</f>
        <v>0</v>
      </c>
      <c r="Z17" s="18">
        <f>DanhsachNguoiluutru!T19</f>
        <v>0</v>
      </c>
      <c r="AA17" s="18">
        <f>DanhsachNguoiluutru!U19</f>
        <v>0</v>
      </c>
      <c r="AB17" s="18">
        <f>DanhsachNguoiluutru!V19</f>
        <v>0</v>
      </c>
    </row>
    <row r="18" spans="1:28" x14ac:dyDescent="0.3">
      <c r="A18" s="18">
        <f>DanhsachNguoiluutru!B20</f>
        <v>0</v>
      </c>
      <c r="B18" s="18">
        <f>DanhsachNguoiluutru!C20</f>
        <v>0</v>
      </c>
      <c r="C18" s="18" t="e">
        <f>INDEX(GioiTinh!$A:$A,MATCH(DanhsachNguoiluutru!D20,GioiTinh!$B:$B,0))</f>
        <v>#N/A</v>
      </c>
      <c r="D18" s="18">
        <f>DanhsachNguoiluutru!D20</f>
        <v>0</v>
      </c>
      <c r="E18" s="18">
        <f>DanhsachNguoiluutru!E20</f>
        <v>0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e">
        <f>INDEX(NgheNghiep!$A:$A,MATCH(DanhsachNguoiluutru!I20,NgheNghiep!$B:$B,0))</f>
        <v>#N/A</v>
      </c>
      <c r="J18" s="18">
        <f>DanhsachNguoiluutru!I20</f>
        <v>0</v>
      </c>
      <c r="K18" s="18">
        <f>DanhsachNguoiluutru!J20</f>
        <v>0</v>
      </c>
      <c r="L18" s="18" t="e">
        <f>INDEX(DanToc!$A:$A,MATCH(DanhsachNguoiluutru!K20,DanToc!$B:$B,0))</f>
        <v>#N/A</v>
      </c>
      <c r="M18" s="18">
        <f>DanhsachNguoiluutru!K20</f>
        <v>0</v>
      </c>
      <c r="N18" s="18" t="e">
        <f>INDEX(QuocTich!$A:$A,MATCH(DanhsachNguoiluutru!L20,QuocTich!$B:$B,0))</f>
        <v>#N/A</v>
      </c>
      <c r="O18" s="18">
        <f>DanhsachNguoiluutru!L20</f>
        <v>0</v>
      </c>
      <c r="P18" s="18" t="e">
        <f>INDEX(QuocGia!$A:$A,MATCH(DanhsachNguoiluutru!M20,QuocGia!$B:$B,0))</f>
        <v>#N/A</v>
      </c>
      <c r="Q18" s="18">
        <f>DanhsachNguoiluutru!M20</f>
        <v>0</v>
      </c>
      <c r="R18" s="18" t="e">
        <f>INDEX(TinhThanh!$C:$C,MATCH(DanhsachNguoiluutru!N20,TinhThanh!$B:$B,0))</f>
        <v>#N/A</v>
      </c>
      <c r="S18" s="18" t="e">
        <f ca="1">INDEX(OFFSET(QuanHuyen!$C$1,MATCH(extracted!$R18,QuanHuyen!$A:$A,0)-1,0,10000,1),MATCH(DanhsachNguoiluutru!$O20,OFFSET(QuanHuyen!$B$1,MATCH(extracted!$R18,QuanHuyen!$A:$A,0)-1,0,10000,1), 0))</f>
        <v>#N/A</v>
      </c>
      <c r="T18" s="18" t="e">
        <f ca="1">INDEX(OFFSET(PhuongXa!$C$1,MATCH(extracted!$S18,PhuongXa!$A:$A,0)-1,0,10000,1),MATCH(DanhsachNguoiluutru!$P20,OFFSET(PhuongXa!$B$1,MATCH(extracted!$S18,PhuongXa!$A:$A,0)-1,0,10000,1), 0))</f>
        <v>#N/A</v>
      </c>
      <c r="U18" s="18">
        <f>DanhsachNguoiluutru!Q20</f>
        <v>0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/>
      </c>
      <c r="W18" s="18" t="e">
        <f>VLOOKUP(DanhsachNguoiluutru!$R20,DanhMuc!$A$2:$B$4,2,FALSE)</f>
        <v>#N/A</v>
      </c>
      <c r="X18" s="18">
        <f>DanhsachNguoiluutru!R20</f>
        <v>0</v>
      </c>
      <c r="Y18" s="18">
        <f>DanhsachNguoiluutru!S20</f>
        <v>0</v>
      </c>
      <c r="Z18" s="18">
        <f>DanhsachNguoiluutru!T20</f>
        <v>0</v>
      </c>
      <c r="AA18" s="18">
        <f>DanhsachNguoiluutru!U20</f>
        <v>0</v>
      </c>
      <c r="AB18" s="18">
        <f>DanhsachNguoiluutru!V20</f>
        <v>0</v>
      </c>
    </row>
    <row r="19" spans="1:28" x14ac:dyDescent="0.3">
      <c r="A19" s="18">
        <f>DanhsachNguoiluutru!B21</f>
        <v>0</v>
      </c>
      <c r="B19" s="18">
        <f>DanhsachNguoiluutru!C21</f>
        <v>0</v>
      </c>
      <c r="C19" s="18" t="e">
        <f>INDEX(GioiTinh!$A:$A,MATCH(DanhsachNguoiluutru!D21,GioiTinh!$B:$B,0))</f>
        <v>#N/A</v>
      </c>
      <c r="D19" s="18">
        <f>DanhsachNguoiluutru!D21</f>
        <v>0</v>
      </c>
      <c r="E19" s="18">
        <f>DanhsachNguoiluutru!E21</f>
        <v>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e">
        <f>INDEX(NgheNghiep!$A:$A,MATCH(DanhsachNguoiluutru!I21,NgheNghiep!$B:$B,0))</f>
        <v>#N/A</v>
      </c>
      <c r="J19" s="18">
        <f>DanhsachNguoiluutru!I21</f>
        <v>0</v>
      </c>
      <c r="K19" s="18">
        <f>DanhsachNguoiluutru!J21</f>
        <v>0</v>
      </c>
      <c r="L19" s="18" t="e">
        <f>INDEX(DanToc!$A:$A,MATCH(DanhsachNguoiluutru!K21,DanToc!$B:$B,0))</f>
        <v>#N/A</v>
      </c>
      <c r="M19" s="18">
        <f>DanhsachNguoiluutru!K21</f>
        <v>0</v>
      </c>
      <c r="N19" s="18" t="e">
        <f>INDEX(QuocTich!$A:$A,MATCH(DanhsachNguoiluutru!L21,QuocTich!$B:$B,0))</f>
        <v>#N/A</v>
      </c>
      <c r="O19" s="18">
        <f>DanhsachNguoiluutru!L21</f>
        <v>0</v>
      </c>
      <c r="P19" s="18" t="e">
        <f>INDEX(QuocGia!$A:$A,MATCH(DanhsachNguoiluutru!M21,QuocGia!$B:$B,0))</f>
        <v>#N/A</v>
      </c>
      <c r="Q19" s="18">
        <f>DanhsachNguoiluutru!M21</f>
        <v>0</v>
      </c>
      <c r="R19" s="18" t="e">
        <f>INDEX(TinhThanh!$C:$C,MATCH(DanhsachNguoiluutru!N21,TinhThanh!$B:$B,0))</f>
        <v>#N/A</v>
      </c>
      <c r="S19" s="18" t="e">
        <f ca="1">INDEX(OFFSET(QuanHuyen!$C$1,MATCH(extracted!$R19,QuanHuyen!$A:$A,0)-1,0,10000,1),MATCH(DanhsachNguoiluutru!$O21,OFFSET(QuanHuyen!$B$1,MATCH(extracted!$R19,QuanHuyen!$A:$A,0)-1,0,10000,1), 0))</f>
        <v>#N/A</v>
      </c>
      <c r="T19" s="18" t="e">
        <f ca="1">INDEX(OFFSET(PhuongXa!$C$1,MATCH(extracted!$S19,PhuongXa!$A:$A,0)-1,0,10000,1),MATCH(DanhsachNguoiluutru!$P21,OFFSET(PhuongXa!$B$1,MATCH(extracted!$S19,PhuongXa!$A:$A,0)-1,0,10000,1), 0))</f>
        <v>#N/A</v>
      </c>
      <c r="U19" s="18">
        <f>DanhsachNguoiluutru!Q21</f>
        <v>0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/>
      </c>
      <c r="W19" s="18" t="e">
        <f>VLOOKUP(DanhsachNguoiluutru!$R21,DanhMuc!$A$2:$B$4,2,FALSE)</f>
        <v>#N/A</v>
      </c>
      <c r="X19" s="18">
        <f>DanhsachNguoiluutru!R21</f>
        <v>0</v>
      </c>
      <c r="Y19" s="18">
        <f>DanhsachNguoiluutru!S21</f>
        <v>0</v>
      </c>
      <c r="Z19" s="18">
        <f>DanhsachNguoiluutru!T21</f>
        <v>0</v>
      </c>
      <c r="AA19" s="18">
        <f>DanhsachNguoiluutru!U21</f>
        <v>0</v>
      </c>
      <c r="AB19" s="18">
        <f>DanhsachNguoiluutru!V21</f>
        <v>0</v>
      </c>
    </row>
    <row r="20" spans="1:28" x14ac:dyDescent="0.3">
      <c r="A20" s="18">
        <f>DanhsachNguoiluutru!B22</f>
        <v>0</v>
      </c>
      <c r="B20" s="18">
        <f>DanhsachNguoiluutru!C22</f>
        <v>0</v>
      </c>
      <c r="C20" s="18" t="e">
        <f>INDEX(GioiTinh!$A:$A,MATCH(DanhsachNguoiluutru!D22,GioiTinh!$B:$B,0))</f>
        <v>#N/A</v>
      </c>
      <c r="D20" s="18">
        <f>DanhsachNguoiluutru!D22</f>
        <v>0</v>
      </c>
      <c r="E20" s="18">
        <f>DanhsachNguoiluutru!E22</f>
        <v>0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e">
        <f>INDEX(NgheNghiep!$A:$A,MATCH(DanhsachNguoiluutru!I22,NgheNghiep!$B:$B,0))</f>
        <v>#N/A</v>
      </c>
      <c r="J20" s="18">
        <f>DanhsachNguoiluutru!I22</f>
        <v>0</v>
      </c>
      <c r="K20" s="18">
        <f>DanhsachNguoiluutru!J22</f>
        <v>0</v>
      </c>
      <c r="L20" s="18" t="e">
        <f>INDEX(DanToc!$A:$A,MATCH(DanhsachNguoiluutru!K22,DanToc!$B:$B,0))</f>
        <v>#N/A</v>
      </c>
      <c r="M20" s="18">
        <f>DanhsachNguoiluutru!K22</f>
        <v>0</v>
      </c>
      <c r="N20" s="18" t="e">
        <f>INDEX(QuocTich!$A:$A,MATCH(DanhsachNguoiluutru!L22,QuocTich!$B:$B,0))</f>
        <v>#N/A</v>
      </c>
      <c r="O20" s="18">
        <f>DanhsachNguoiluutru!L22</f>
        <v>0</v>
      </c>
      <c r="P20" s="18" t="e">
        <f>INDEX(QuocGia!$A:$A,MATCH(DanhsachNguoiluutru!M22,QuocGia!$B:$B,0))</f>
        <v>#N/A</v>
      </c>
      <c r="Q20" s="18">
        <f>DanhsachNguoiluutru!M22</f>
        <v>0</v>
      </c>
      <c r="R20" s="18" t="e">
        <f>INDEX(TinhThanh!$C:$C,MATCH(DanhsachNguoiluutru!N22,TinhThanh!$B:$B,0))</f>
        <v>#N/A</v>
      </c>
      <c r="S20" s="18" t="e">
        <f ca="1">INDEX(OFFSET(QuanHuyen!$C$1,MATCH(extracted!$R20,QuanHuyen!$A:$A,0)-1,0,10000,1),MATCH(DanhsachNguoiluutru!$O22,OFFSET(QuanHuyen!$B$1,MATCH(extracted!$R20,QuanHuyen!$A:$A,0)-1,0,10000,1), 0))</f>
        <v>#N/A</v>
      </c>
      <c r="T20" s="18" t="e">
        <f ca="1">INDEX(OFFSET(PhuongXa!$C$1,MATCH(extracted!$S20,PhuongXa!$A:$A,0)-1,0,10000,1),MATCH(DanhsachNguoiluutru!$P22,OFFSET(PhuongXa!$B$1,MATCH(extracted!$S20,PhuongXa!$A:$A,0)-1,0,10000,1), 0))</f>
        <v>#N/A</v>
      </c>
      <c r="U20" s="18">
        <f>DanhsachNguoiluutru!Q22</f>
        <v>0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/>
      </c>
      <c r="W20" s="18" t="e">
        <f>VLOOKUP(DanhsachNguoiluutru!$R22,DanhMuc!$A$2:$B$4,2,FALSE)</f>
        <v>#N/A</v>
      </c>
      <c r="X20" s="18">
        <f>DanhsachNguoiluutru!R22</f>
        <v>0</v>
      </c>
      <c r="Y20" s="18">
        <f>DanhsachNguoiluutru!S22</f>
        <v>0</v>
      </c>
      <c r="Z20" s="18">
        <f>DanhsachNguoiluutru!T22</f>
        <v>0</v>
      </c>
      <c r="AA20" s="18">
        <f>DanhsachNguoiluutru!U22</f>
        <v>0</v>
      </c>
      <c r="AB20" s="18">
        <f>DanhsachNguoiluutru!V22</f>
        <v>0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2023-07-08T13:42:23Z</dcterms:modified>
</cp:coreProperties>
</file>