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<sst xmlns="http://schemas.openxmlformats.org/spreadsheetml/2006/main" count="37069" uniqueCount="22096">
  <si>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</si>
  <si>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</si>
  <si>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</si>
  <si>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</si>
  <si>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</si>
  <si>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</si>
  <si>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</si>
  <si>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</si>
  <si>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</si>
  <si>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</si>
  <si>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</si>
  <si>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</si>
  <si>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</si>
  <si>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</si>
  <si>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</si>
  <si>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</si>
  <si>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</si>
  <si>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</si>
  <si>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</si>
  <si>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</si>
  <si>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</si>
  <si>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</si>
  <si>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</si>
  <si>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</si>
  <si>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</si>
  <si>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</si>
  <si>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</si>
  <si>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</si>
  <si>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</si>
  <si>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</si>
  <si>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</si>
  <si>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</si>
  <si>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</si>
  <si>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</si>
  <si>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</si>
  <si>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</si>
  <si>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</si>
  <si>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</si>
  <si>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</si>
  <si>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</si>
  <si>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</si>
  <si>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</si>
  <si>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</si>
  <si>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</si>
  <si>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</si>
  <si>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</si>
  <si>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</si>
  <si>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</si>
  <si>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</si>
  <si>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</si>
  <si>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</si>
  <si>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</si>
  <si>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</si>
  <si>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</si>
  <si>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</si>
  <si>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</si>
  <si>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</si>
  <si>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</si>
  <si>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</si>
  <si>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</si>
  <si>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</si>
  <si>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</si>
  <si>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</si>
  <si>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</si>
  <si>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</si>
  <si>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</si>
  <si>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</si>
  <si>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</si>
  <si>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</si>
  <si>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</si>
  <si>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</si>
  <si>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</si>
  <si>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</si>
  <si>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</si>
  <si>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</si>
  <si>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</si>
  <si>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</si>
  <si>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</si>
  <si>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</si>
  <si>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</si>
  <si>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</si>
  <si>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</si>
  <si>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</si>
  <si>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</si>
  <si>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</si>
  <si>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</si>
  <si>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</si>
  <si>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</si>
  <si>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</si>
  <si>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</si>
  <si>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</si>
  <si>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</si>
  <si>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</si>
  <si>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</si>
  <si>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</si>
  <si>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</si>
  <si>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</si>
  <si>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</si>
  <si>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</si>
  <si>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</si>
  <si>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</si>
  <si>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</si>
  <si>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</si>
  <si>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</si>
  <si>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</si>
  <si>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</si>
  <si>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</si>
  <si>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</si>
  <si>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</si>
  <si>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</si>
  <si>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</si>
  <si>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</si>
  <si>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</si>
  <si>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</si>
  <si>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</si>
  <si>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</si>
  <si>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</si>
  <si>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</si>
  <si>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</si>
  <si>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</si>
  <si>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</si>
  <si>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</si>
  <si>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</si>
  <si>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</si>
  <si>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</si>
  <si>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</si>
  <si>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</si>
  <si>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</si>
  <si>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</si>
  <si>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</si>
  <si>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</si>
  <si>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</si>
  <si>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</si>
  <si>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</si>
  <si>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</si>
  <si>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</si>
  <si>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</si>
  <si>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</si>
  <si>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</si>
  <si>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</si>
  <si>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</si>
  <si>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</si>
  <si>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</si>
  <si>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</si>
  <si>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</si>
  <si>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</si>
  <si>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</si>
  <si>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</si>
  <si>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</si>
  <si>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</si>
  <si>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</si>
  <si>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</si>
  <si>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</si>
  <si>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</si>
  <si>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</si>
  <si>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</si>
  <si>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</si>
  <si>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</si>
  <si>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</si>
  <si>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</si>
  <si>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</si>
  <si>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</si>
  <si>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</si>
  <si>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</si>
  <si>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</si>
  <si>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</si>
  <si>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</si>
  <si>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</si>
  <si>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</si>
  <si>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</si>
  <si>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</si>
  <si>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</si>
  <si>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</si>
  <si>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</si>
  <si>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</si>
  <si>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</si>
  <si>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</si>
  <si>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</si>
  <si>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</si>
  <si>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</si>
  <si>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</si>
  <si>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</si>
  <si>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</si>
  <si>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</si>
  <si>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</si>
  <si>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</si>
  <si>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</si>
  <si>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</si>
  <si>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</si>
  <si>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</si>
  <si>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</si>
  <si>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</si>
  <si>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</si>
  <si>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</si>
  <si>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</si>
  <si>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</si>
  <si>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</si>
  <si>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</si>
  <si>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</si>
  <si>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</si>
  <si>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</si>
  <si>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</si>
  <si>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</si>
  <si>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</si>
  <si>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</si>
  <si>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</si>
  <si>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</si>
  <si>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</si>
  <si>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</si>
  <si>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</si>
  <si>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</si>
  <si>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</si>
  <si>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</si>
  <si>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</si>
  <si>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</si>
  <si>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</si>
  <si>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</si>
  <si>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</si>
  <si>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</si>
  <si>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</si>
  <si>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</si>
  <si>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</si>
  <si>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</si>
  <si>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</si>
  <si>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</si>
  <si>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</si>
  <si>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</si>
  <si>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</si>
  <si>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</si>
  <si>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</si>
  <si>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</si>
  <si>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</si>
  <si>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</si>
  <si>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</si>
  <si>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</si>
  <si>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</si>
  <si>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</si>
  <si>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</si>
  <si>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</si>
  <si>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</si>
  <si>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</si>
  <si>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</si>
  <si>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</si>
  <si>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</si>
  <si>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</si>
  <si>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</si>
  <si>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</si>
  <si>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</si>
  <si>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</si>
  <si>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</si>
  <si>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</si>
  <si>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</si>
  <si>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</si>
  <si>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</si>
  <si>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</si>
  <si>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</si>
  <si>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</si>
  <si>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</si>
  <si>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</si>
  <si>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</si>
  <si>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</si>
  <si>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</si>
  <si>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</si>
  <si>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</si>
  <si>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</si>
  <si>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</si>
  <si>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</si>
  <si>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</si>
  <si>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</si>
  <si>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</si>
  <si>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</si>
  <si>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</si>
  <si>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</si>
  <si>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</si>
  <si>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</si>
  <si>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</si>
  <si>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</si>
  <si>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</si>
  <si>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</si>
  <si>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</si>
  <si>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</si>
  <si>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</si>
  <si>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</si>
  <si>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</si>
  <si>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</si>
  <si>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</si>
  <si>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</si>
  <si>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</si>
  <si>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</si>
  <si>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</si>
  <si>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</si>
  <si>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</si>
  <si>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</si>
  <si>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</si>
  <si>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</si>
  <si>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</si>
  <si>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</si>
  <si>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</si>
  <si>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</si>
  <si>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</si>
  <si>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</si>
  <si>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</si>
  <si>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</si>
  <si>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</si>
  <si>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</si>
  <si>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</si>
  <si>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</si>
  <si>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</si>
  <si>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</si>
  <si>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</si>
  <si>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</si>
  <si>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</si>
  <si>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</si>
  <si>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</si>
  <si>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</si>
  <si>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</si>
  <si>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</si>
  <si>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</si>
  <si>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</si>
  <si>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</si>
  <si>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</si>
  <si>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</si>
  <si>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</si>
  <si>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</si>
  <si>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</si>
  <si>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</si>
  <si>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</si>
  <si>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</si>
  <si>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</si>
  <si>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</si>
  <si>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</si>
  <si>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</si>
  <si>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</si>
  <si>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</si>
  <si>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</si>
  <si>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</si>
  <si>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</si>
  <si>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</si>
  <si>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</si>
  <si>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</si>
  <si>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</si>
  <si>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</si>
  <si>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</si>
  <si>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</si>
  <si>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</si>
  <si>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</si>
  <si>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</si>
  <si>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</si>
  <si>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</si>
  <si>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</si>
  <si>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</si>
  <si>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</si>
  <si>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</si>
  <si>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</si>
  <si>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</si>
  <si>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</si>
  <si>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</si>
  <si>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</si>
  <si>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</si>
  <si>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</si>
  <si>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</si>
  <si>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</si>
  <si>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</si>
  <si>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</si>
  <si>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</si>
  <si>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</si>
  <si>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</si>
  <si>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</si>
  <si>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</si>
  <si>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</si>
  <si>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</si>
  <si>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</si>
  <si>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</si>
  <si>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</si>
  <si>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</si>
  <si>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</si>
  <si>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</si>
  <si>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</si>
  <si>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</si>
  <si>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</si>
  <si>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</si>
  <si>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</si>
  <si>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</si>
  <si>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</si>
  <si>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</si>
  <si>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</si>
  <si>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</si>
  <si>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</si>
  <si>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</si>
  <si>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</si>
  <si>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</si>
  <si>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</si>
  <si>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</si>
  <si>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</si>
  <si>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</si>
  <si>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</si>
  <si>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</si>
  <si>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</si>
  <si>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</si>
  <si>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</si>
  <si>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</si>
  <si>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</si>
  <si>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</si>
  <si>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</si>
  <si>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</si>
  <si>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</si>
  <si>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</si>
  <si>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</si>
  <si>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</si>
  <si>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</si>
  <si>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</si>
  <si>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</si>
  <si>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</si>
  <si>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</si>
  <si>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</si>
  <si>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</si>
  <si>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</si>
  <si>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</si>
  <si>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</si>
  <si>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</si>
  <si>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</si>
  <si>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</si>
  <si>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</si>
  <si>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</si>
  <si>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</si>
  <si>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</si>
  <si>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</si>
  <si>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</si>
  <si>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</si>
  <si>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</si>
  <si>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</si>
  <si>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</si>
  <si>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</si>
  <si>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</si>
  <si>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</si>
  <si>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</si>
  <si>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</si>
  <si>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</si>
  <si>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</si>
  <si>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</si>
  <si>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</si>
  <si>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</si>
  <si>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</si>
  <si>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</si>
  <si>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</si>
  <si>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</si>
  <si>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</si>
  <si>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</si>
  <si>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</si>
  <si>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</si>
  <si>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</si>
  <si>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</si>
  <si>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</si>
  <si>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</si>
  <si>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</si>
  <si>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</si>
  <si>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</si>
  <si>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</si>
  <si>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</si>
  <si>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</si>
  <si>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</si>
  <si>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</si>
  <si>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</si>
  <si>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</si>
  <si>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</si>
  <si>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</si>
  <si>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</si>
  <si>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</si>
  <si>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</si>
  <si>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</si>
  <si>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</si>
  <si>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</si>
  <si>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</si>
  <si>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</si>
  <si>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</si>
  <si>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</si>
  <si>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</si>
  <si>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</si>
  <si>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</si>
  <si>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</si>
  <si>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</si>
  <si>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</si>
  <si>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</si>
  <si>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</si>
  <si>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</si>
  <si>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</si>
  <si>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</si>
  <si>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</si>
  <si>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</si>
  <si>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</si>
  <si>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</si>
  <si>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</si>
  <si>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</si>
  <si>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</si>
  <si>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</si>
  <si>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</si>
  <si>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</si>
  <si>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</si>
  <si>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</si>
  <si>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</si>
  <si>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</si>
  <si>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</si>
  <si>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</si>
  <si>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</si>
  <si>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</si>
  <si>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</si>
  <si>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</si>
  <si>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</si>
  <si>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</si>
  <si>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</si>
  <si>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</si>
  <si>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</si>
  <si>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</si>
  <si>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</si>
  <si>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</si>
  <si>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</si>
  <si>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</si>
  <si>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</si>
  <si>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</si>
  <si>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</si>
  <si>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</si>
  <si>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</si>
  <si>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</si>
  <si>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</si>
  <si>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</si>
  <si>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</si>
  <si>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</si>
  <si>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</si>
  <si>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</si>
  <si>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</si>
  <si>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</si>
  <si>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</si>
  <si>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</si>
  <si>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</si>
  <si>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</si>
  <si>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</si>
  <si>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</si>
  <si>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</si>
  <si>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</si>
  <si>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</si>
  <si>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</si>
  <si>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</si>
  <si>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</si>
  <si>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</si>
  <si>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</si>
  <si>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</si>
  <si>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</si>
  <si>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</si>
  <si>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</si>
  <si>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</si>
  <si>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</si>
  <si>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</si>
  <si>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</si>
  <si>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</si>
  <si>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</si>
  <si>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</si>
  <si>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</si>
  <si>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</si>
  <si>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</si>
  <si>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</si>
  <si>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</si>
  <si>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</si>
  <si>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</si>
  <si>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</si>
  <si>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</si>
  <si>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</si>
  <si>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</si>
  <si>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</si>
  <si>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</si>
  <si>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</si>
  <si>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</si>
  <si>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</si>
  <si>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</si>
  <si>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</si>
  <si>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</si>
  <si>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</si>
  <si>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</si>
  <si>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</si>
  <si>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</si>
  <si>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</si>
  <si>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</si>
  <si>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</si>
  <si>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</si>
  <si>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</si>
  <si>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</si>
  <si>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</si>
  <si>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</si>
  <si>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</si>
  <si>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</si>
  <si>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</si>
  <si>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</si>
  <si>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</si>
  <si>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</si>
  <si>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</si>
  <si>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</si>
  <si>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</si>
  <si>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</si>
  <si>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</si>
  <si>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</si>
  <si>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</si>
  <si>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</si>
  <si>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</si>
  <si>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</si>
  <si>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</si>
  <si>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</si>
  <si>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</si>
  <si>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</si>
  <si>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</si>
  <si>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</si>
  <si>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</si>
  <si>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</si>
  <si>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</si>
  <si>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</si>
  <si>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</si>
  <si>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</si>
  <si>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</si>
  <si>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</si>
  <si>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</si>
  <si>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</si>
  <si>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</si>
  <si>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</si>
  <si>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</si>
  <si>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</si>
  <si>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</si>
  <si>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</si>
  <si>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</si>
  <si>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</si>
  <si>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</si>
  <si>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</si>
  <si>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</si>
  <si>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</si>
  <si>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</si>
  <si>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</si>
  <si>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</si>
  <si>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</si>
  <si>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</si>
  <si>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</si>
  <si>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</si>
  <si>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</si>
  <si>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</si>
  <si>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</si>
  <si>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</si>
  <si>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</si>
  <si>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</si>
  <si>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</si>
  <si>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</si>
  <si>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</si>
  <si>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</si>
  <si>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</si>
  <si>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</si>
  <si>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</si>
  <si>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</si>
  <si>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</si>
  <si>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</si>
  <si>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</si>
  <si>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</si>
  <si>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</si>
  <si>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</si>
  <si>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</si>
  <si>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</si>
  <si>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</si>
  <si>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</si>
  <si>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</si>
  <si>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</si>
  <si>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</si>
  <si>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</si>
  <si>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</si>
  <si>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</si>
  <si>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</si>
  <si>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</si>
  <si>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</si>
  <si>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</si>
  <si>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</si>
  <si>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</si>
  <si>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</si>
  <si>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</si>
  <si>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</si>
  <si>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</si>
  <si>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</si>
  <si>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</si>
  <si>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</si>
  <si>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</si>
  <si>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</si>
  <si>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</si>
  <si>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</si>
  <si>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</si>
  <si>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</si>
  <si>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</si>
  <si>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</si>
  <si>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</si>
  <si>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</si>
  <si>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</si>
  <si>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</si>
  <si>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</si>
  <si>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</si>
  <si>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</si>
  <si>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</si>
  <si>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</si>
  <si>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</si>
  <si>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</si>
  <si>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</si>
  <si>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</si>
  <si>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</si>
  <si>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</si>
  <si>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</si>
  <si>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</si>
  <si>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</si>
  <si>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</si>
  <si>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</si>
  <si>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</si>
  <si>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</si>
  <si>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</si>
  <si>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</si>
  <si>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</si>
  <si>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</si>
  <si>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</si>
  <si>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</si>
  <si>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</si>
  <si>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</si>
  <si>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</si>
  <si>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</si>
  <si>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</si>
  <si>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</si>
  <si>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</si>
  <si>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</si>
  <si>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</si>
  <si>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</si>
  <si>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</si>
  <si>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</si>
  <si>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</si>
  <si>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</si>
  <si>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</si>
  <si>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</si>
  <si>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</si>
  <si>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</si>
  <si>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</si>
  <si>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</si>
  <si>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</si>
  <si>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</si>
  <si>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</si>
  <si>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</si>
  <si>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</si>
  <si>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</si>
  <si>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</si>
  <si>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</si>
  <si>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</si>
  <si>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</si>
  <si>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</si>
  <si>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</si>
  <si>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</si>
  <si>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</si>
  <si>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</si>
  <si>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</si>
  <si>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</si>
  <si>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</si>
  <si>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</si>
  <si>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</si>
  <si>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</si>
  <si>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</si>
  <si>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</si>
  <si>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</si>
  <si>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</si>
  <si>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</si>
  <si>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</si>
  <si>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</si>
  <si>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</si>
  <si>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</si>
  <si>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</si>
  <si>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</si>
  <si>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</si>
  <si>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</si>
  <si>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</si>
  <si>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</si>
  <si>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</si>
  <si>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</si>
  <si>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</si>
  <si>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</si>
  <si>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</si>
  <si>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</si>
  <si>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</si>
  <si>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</si>
  <si>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</si>
  <si>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</si>
  <si>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</si>
  <si>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</si>
  <si>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</si>
  <si>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</si>
  <si>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</si>
  <si>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</si>
  <si>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</si>
  <si>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</si>
  <si>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</si>
  <si>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</si>
  <si>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</si>
  <si>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</si>
  <si>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</si>
  <si>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</si>
  <si>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</si>
  <si>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</si>
  <si>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</si>
  <si>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</si>
  <si>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</si>
  <si>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</si>
  <si>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</si>
  <si>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</si>
  <si>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</si>
  <si>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</si>
  <si>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</si>
  <si>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</si>
  <si>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</si>
  <si>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</si>
  <si>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</si>
  <si>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</si>
  <si>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</si>
  <si>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</si>
  <si>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</si>
  <si>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</si>
  <si>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</si>
  <si>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</si>
  <si>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</si>
  <si>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</si>
  <si>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</si>
  <si>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</si>
  <si>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</si>
  <si>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</si>
  <si>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</si>
  <si>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</si>
  <si>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</si>
  <si>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</si>
  <si>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</si>
  <si>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</si>
  <si>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</si>
  <si>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</si>
  <si>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</si>
  <si>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</si>
  <si>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</si>
  <si>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</si>
  <si>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</si>
  <si>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</si>
  <si>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</si>
  <si>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</si>
  <si>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</si>
  <si>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</si>
  <si>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</si>
  <si>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</si>
  <si>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</si>
  <si>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</si>
  <si>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</si>
  <si>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</si>
  <si>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</si>
  <si>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</si>
  <si>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</si>
  <si>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</si>
  <si>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</si>
  <si>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</si>
  <si>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</si>
  <si>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</si>
  <si>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</si>
  <si>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</si>
  <si>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</si>
  <si>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</si>
  <si>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</si>
  <si>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</si>
  <si>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</si>
  <si>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</si>
  <si>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</si>
  <si>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</si>
  <si>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</si>
  <si>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</si>
  <si>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</si>
  <si>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</si>
  <si>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</si>
  <si>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</si>
  <si>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</si>
  <si>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</si>
  <si>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</si>
  <si>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</si>
  <si>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</si>
  <si>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</si>
  <si>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</si>
  <si>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</si>
  <si>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</si>
  <si>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</si>
  <si>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</si>
  <si>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</si>
  <si>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</si>
  <si>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</si>
  <si>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</si>
  <si>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</si>
  <si>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</si>
  <si>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</si>
  <si>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</si>
  <si>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</si>
  <si>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</si>
  <si>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</si>
  <si>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</si>
  <si>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</si>
  <si>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</si>
  <si>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</si>
  <si>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</si>
  <si>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</si>
  <si>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</si>
  <si>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</si>
  <si>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</si>
  <si>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</si>
  <si>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</si>
  <si>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</si>
  <si>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</si>
  <si>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</si>
  <si>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</si>
  <si>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</si>
  <si>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</si>
  <si>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</si>
  <si>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</si>
  <si>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</si>
  <si>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</si>
  <si>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</si>
  <si>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</si>
  <si>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</si>
  <si>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</si>
  <si>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</si>
  <si>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</si>
  <si>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</si>
  <si>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</si>
  <si>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</si>
  <si>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</si>
  <si>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</si>
  <si>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</si>
  <si>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</si>
  <si>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</si>
  <si>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</si>
  <si>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</si>
  <si>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</si>
  <si>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</si>
  <si>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</si>
  <si>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</si>
  <si>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</si>
  <si>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</si>
  <si>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</si>
  <si>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</si>
  <si>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</si>
  <si>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</si>
  <si>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</si>
  <si>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</si>
  <si>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</si>
  <si>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</si>
  <si>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</si>
  <si>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</si>
  <si>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</si>
  <si>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</si>
  <si>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</si>
  <si>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</si>
  <si>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</si>
  <si>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</si>
  <si>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</si>
  <si>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</si>
  <si>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</si>
  <si>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</si>
  <si>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</si>
  <si>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</si>
  <si>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</si>
  <si>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</si>
  <si>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</si>
  <si>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</si>
  <si>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</si>
  <si>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</si>
  <si>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</si>
  <si>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</si>
  <si>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</si>
  <si>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</si>
  <si>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</si>
  <si>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</si>
  <si>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</si>
  <si>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</si>
  <si>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</si>
  <si>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</si>
  <si>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</si>
  <si>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</si>
  <si>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</si>
  <si>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</si>
  <si>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</si>
  <si>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</si>
  <si>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</si>
  <si>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</si>
  <si>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</si>
  <si>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</si>
  <si>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</si>
  <si>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</si>
  <si>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</si>
  <si>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</si>
  <si>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</si>
  <si>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</si>
  <si>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</si>
  <si>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</si>
  <si>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</si>
  <si>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</si>
  <si>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</si>
  <si>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</si>
  <si>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</si>
  <si>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</si>
  <si>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</si>
  <si>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</si>
  <si>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</si>
  <si>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</si>
  <si>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</si>
  <si>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</si>
  <si>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</si>
  <si>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</si>
  <si>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</si>
  <si>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</si>
  <si>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</si>
  <si>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</si>
  <si>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</si>
  <si>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</si>
  <si>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</si>
  <si>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</si>
  <si>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</si>
  <si>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</si>
  <si>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</si>
  <si>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</si>
  <si>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</si>
  <si>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</si>
  <si>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</si>
  <si>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</si>
  <si>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</si>
  <si>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</si>
  <si>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</si>
  <si>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</si>
  <si>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</si>
  <si>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</si>
  <si>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</si>
  <si>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</si>
  <si>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</si>
  <si>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</si>
  <si>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</si>
  <si>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</si>
  <si>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</si>
  <si>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</si>
  <si>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</si>
  <si>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</si>
  <si>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</si>
  <si>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</si>
  <si>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</si>
  <si>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</si>
  <si>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</si>
  <si>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</si>
  <si>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</si>
  <si>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</si>
  <si>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</si>
  <si>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</si>
  <si>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</si>
  <si>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</si>
  <si>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</si>
  <si>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</si>
  <si>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</si>
  <si>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</si>
  <si>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</si>
  <si>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</si>
  <si>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</si>
  <si>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</si>
  <si>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</si>
  <si>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</si>
  <si>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</si>
  <si>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</si>
  <si>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</si>
  <si>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</si>
  <si>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</si>
  <si>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</si>
  <si>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</si>
  <si>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</si>
  <si>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</si>
  <si>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</si>
  <si>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</si>
  <si>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</si>
  <si>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</si>
  <si>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</si>
  <si>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</si>
  <si>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</si>
  <si>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</si>
  <si>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</si>
  <si>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</si>
  <si>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</si>
  <si>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</si>
  <si>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</si>
  <si>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</si>
  <si>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</si>
  <si>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</si>
  <si>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</si>
  <si>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</si>
  <si>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</si>
  <si>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</si>
  <si>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</si>
  <si>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</si>
  <si>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</si>
  <si>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</si>
  <si>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</si>
  <si>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</si>
  <si>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</si>
  <si>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</si>
  <si>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</si>
  <si>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</si>
  <si>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</si>
  <si>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</si>
  <si>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</si>
  <si>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</si>
  <si>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</si>
  <si>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</si>
  <si>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</si>
  <si>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</si>
  <si>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</si>
  <si>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</si>
  <si>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</si>
  <si>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</si>
  <si>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</si>
  <si>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</si>
  <si>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</si>
  <si>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</si>
  <si>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</si>
  <si>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</si>
  <si>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</si>
  <si>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</si>
  <si>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</si>
  <si>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</si>
  <si>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</si>
  <si>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</si>
  <si>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</si>
  <si>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</si>
  <si>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</si>
  <si>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</si>
  <si>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</si>
  <si>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</si>
  <si>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</si>
  <si>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</si>
  <si>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</si>
  <si>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</si>
  <si>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</si>
  <si>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</si>
  <si>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</si>
  <si>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</si>
  <si>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</si>
  <si>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</si>
  <si>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</si>
  <si>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</si>
  <si>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</si>
  <si>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</si>
  <si>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</si>
  <si>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</si>
  <si>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</si>
  <si>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</si>
  <si>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</si>
  <si>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</si>
  <si>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</si>
  <si>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</si>
  <si>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</si>
  <si>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</si>
  <si>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</si>
  <si>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</si>
  <si>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</si>
  <si>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</si>
  <si>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</si>
  <si>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</si>
  <si>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</si>
  <si>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</si>
  <si>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</si>
  <si>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</si>
  <si>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</si>
  <si>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</si>
  <si>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</si>
  <si>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</si>
  <si>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</si>
  <si>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</si>
  <si>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</si>
  <si>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</si>
  <si>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</si>
  <si>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</si>
  <si>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</si>
  <si>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</si>
  <si>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</si>
  <si>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</si>
  <si>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</si>
  <si>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</si>
  <si>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</si>
  <si>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</si>
  <si>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</si>
  <si>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</si>
  <si>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</si>
  <si>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</si>
  <si>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</si>
  <si>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</si>
  <si>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</si>
  <si>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</si>
  <si>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</si>
  <si>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</si>
  <si>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</si>
  <si>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</si>
  <si>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</si>
  <si>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</si>
  <si>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</si>
  <si>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</si>
  <si>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</si>
  <si>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</si>
  <si>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</si>
  <si>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</si>
  <si>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</si>
  <si>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</si>
  <si>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</si>
  <si>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</si>
  <si>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</si>
  <si>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</si>
  <si>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</si>
  <si>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</si>
  <si>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</si>
  <si>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</si>
  <si>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</si>
  <si>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</si>
  <si>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</si>
  <si>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</si>
  <si>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</si>
  <si>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</si>
  <si>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</si>
  <si>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</si>
  <si>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</si>
  <si>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</si>
  <si>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</si>
  <si>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</si>
  <si>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</si>
  <si>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</si>
  <si>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</si>
  <si>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</si>
  <si>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</si>
  <si>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</si>
  <si>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</si>
  <si>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</si>
  <si>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</si>
  <si>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</si>
  <si>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</si>
  <si>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</si>
  <si>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</si>
  <si>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</si>
  <si>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</si>
  <si>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</si>
  <si>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</si>
  <si>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</si>
  <si>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</si>
  <si>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</si>
  <si>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</si>
  <si>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</si>
  <si>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</si>
  <si>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</si>
  <si>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</si>
  <si>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</si>
  <si>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</si>
  <si>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</si>
  <si>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</si>
  <si>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</si>
  <si>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</si>
  <si>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</si>
  <si>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</si>
  <si>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</si>
  <si>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</si>
  <si>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</si>
  <si>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</si>
  <si>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</si>
  <si>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</si>
  <si>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</si>
  <si>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</si>
  <si>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</si>
  <si>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</si>
  <si>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</si>
  <si>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</si>
  <si>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</si>
  <si>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</si>
  <si>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</si>
  <si>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</si>
  <si>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</si>
  <si>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</si>
  <si>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</si>
  <si>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</si>
  <si>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</si>
  <si>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</si>
  <si>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</si>
  <si>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</si>
  <si>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</si>
  <si>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</si>
  <si>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</si>
  <si>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</si>
  <si>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</si>
  <si>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</si>
  <si>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</si>
  <si>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</si>
  <si>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</si>
  <si>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</si>
  <si>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</si>
  <si>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</si>
  <si>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</si>
  <si>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</si>
  <si>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</si>
  <si>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</si>
  <si>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</si>
  <si>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</si>
  <si>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</si>
  <si>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</si>
  <si>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</si>
  <si>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</si>
  <si>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</si>
  <si>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</si>
  <si>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</si>
  <si>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</si>
  <si>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</si>
  <si>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</si>
  <si>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</si>
  <si>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</si>
  <si>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</si>
  <si>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</si>
  <si>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</si>
  <si>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</si>
  <si>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</si>
  <si>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</si>
  <si>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</si>
  <si>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</si>
  <si>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</si>
  <si>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</si>
  <si>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</si>
  <si>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</si>
  <si>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</si>
  <si>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</si>
  <si>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</si>
  <si>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</si>
  <si>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</si>
  <si>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</si>
  <si>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</si>
  <si>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</si>
  <si>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</si>
  <si>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</si>
  <si>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</si>
  <si>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</si>
  <si>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</si>
  <si>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</si>
  <si>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</si>
  <si>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</si>
  <si>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</si>
  <si>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</si>
  <si>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</si>
  <si>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</si>
  <si>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</si>
  <si>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</si>
  <si>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</si>
  <si>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</si>
  <si>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</si>
  <si>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</si>
  <si>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</si>
  <si>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</si>
  <si>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</si>
  <si>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</si>
  <si>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</si>
  <si>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</si>
  <si>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</si>
  <si>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</si>
  <si>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</si>
  <si>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</si>
  <si>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</si>
  <si>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</si>
  <si>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</si>
  <si>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</si>
  <si>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</si>
  <si>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</si>
  <si>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</si>
  <si>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</si>
  <si>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</si>
  <si>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</si>
  <si>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</si>
  <si>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</si>
  <si>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</si>
  <si>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</si>
  <si>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</si>
  <si>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</si>
  <si>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</si>
  <si>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</si>
  <si>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</si>
  <si>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</si>
  <si>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</si>
  <si>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</si>
  <si>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</si>
  <si>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</si>
  <si>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</si>
  <si>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</si>
  <si>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</si>
  <si>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</si>
  <si>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</si>
  <si>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</si>
  <si>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</si>
  <si>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</si>
  <si>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</si>
  <si>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</si>
  <si>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</si>
  <si>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</si>
  <si>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</si>
  <si>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</si>
  <si>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</si>
  <si>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</si>
  <si>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</si>
  <si>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</si>
  <si>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</si>
  <si>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</si>
  <si>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</si>
  <si>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</si>
  <si>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</si>
  <si>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</si>
  <si>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</si>
  <si>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</si>
  <si>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</si>
  <si>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</si>
  <si>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</si>
  <si>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</si>
  <si>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</si>
  <si>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</si>
  <si>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</si>
  <si>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</si>
  <si>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</si>
  <si>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</si>
  <si>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</si>
  <si>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</si>
  <si>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</si>
  <si>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</si>
  <si>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</si>
  <si>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</si>
  <si>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</si>
  <si>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</si>
  <si>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</si>
  <si>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</si>
  <si>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</si>
  <si>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</si>
  <si>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</si>
  <si>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</si>
  <si>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</si>
  <si>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</si>
  <si>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</si>
  <si>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</si>
  <si>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</si>
  <si>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</si>
  <si>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</si>
  <si>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</si>
  <si>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</si>
  <si>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</si>
  <si>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</si>
  <si>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</si>
  <si>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</si>
  <si>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</si>
  <si>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</si>
  <si>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</si>
  <si>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</si>
  <si>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</si>
  <si>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</si>
  <si>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</si>
  <si>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</si>
  <si>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</si>
  <si>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</si>
  <si>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</si>
  <si>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</si>
  <si>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</si>
  <si>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</si>
  <si>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</si>
  <si>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</si>
  <si>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</si>
  <si>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</si>
  <si>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</si>
  <si>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</si>
  <si>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</si>
  <si>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</si>
  <si>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</si>
  <si>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</si>
  <si>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</si>
  <si>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</si>
  <si>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</si>
  <si>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</si>
  <si>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</si>
  <si>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</si>
  <si>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</si>
  <si>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</si>
  <si>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</si>
  <si>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</si>
  <si>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</si>
  <si>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</si>
  <si>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</si>
  <si>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</si>
  <si>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</si>
  <si>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</si>
  <si>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</si>
  <si>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</si>
  <si>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</si>
  <si>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</si>
  <si>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</si>
  <si>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</si>
  <si>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</si>
  <si>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</si>
  <si>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</si>
  <si>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</si>
  <si>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</si>
  <si>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</si>
  <si>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</si>
  <si>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</si>
  <si>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</si>
  <si>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</si>
  <si>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</si>
  <si>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</si>
  <si>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</si>
  <si>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</si>
  <si>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</si>
  <si>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</si>
  <si>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</si>
  <si>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</si>
  <si>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</si>
  <si>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</si>
  <si>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</si>
  <si>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</si>
  <si>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</si>
  <si>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</si>
  <si>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</si>
  <si>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</si>
  <si>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</si>
  <si>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</si>
  <si>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</si>
  <si>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</si>
  <si>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</si>
  <si>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</si>
  <si>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</si>
  <si>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</si>
  <si>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</si>
  <si>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</si>
  <si>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</si>
  <si>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</si>
  <si>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</si>
  <si>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</si>
  <si>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</si>
  <si>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</si>
  <si>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</si>
  <si>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</si>
  <si>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</si>
  <si>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</si>
  <si>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</si>
  <si>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</si>
  <si>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</si>
  <si>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</si>
  <si>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</si>
  <si>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</si>
  <si>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</si>
  <si>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</si>
  <si>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</si>
  <si>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</si>
  <si>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</si>
  <si>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</si>
  <si>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</si>
  <si>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</si>
  <si>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</si>
  <si>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</si>
  <si>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</si>
  <si>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</si>
  <si>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</si>
  <si>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</si>
  <si>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</si>
  <si>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</si>
  <si>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</si>
  <si>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</si>
  <si>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</si>
  <si>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</si>
  <si>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</si>
  <si>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</si>
  <si>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</si>
  <si>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</si>
  <si>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</si>
  <si>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</si>
  <si>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</si>
  <si>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</si>
  <si>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</si>
  <si>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</si>
  <si>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</si>
  <si>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</si>
  <si>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</si>
  <si>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</si>
  <si>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</si>
  <si>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</si>
  <si>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</si>
  <si>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</si>
  <si>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</si>
  <si>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</si>
  <si>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</si>
  <si>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</si>
  <si>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</si>
  <si>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</si>
  <si>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</si>
  <si>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</si>
  <si>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</si>
  <si>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</si>
  <si>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</si>
  <si>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</si>
  <si>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</si>
  <si>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</si>
  <si>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</si>
  <si>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</si>
  <si>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</si>
  <si>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</si>
  <si>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</si>
  <si>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</si>
  <si>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</si>
  <si>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</si>
  <si>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</si>
  <si>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</si>
  <si>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</si>
  <si>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</si>
  <si>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</si>
  <si>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</si>
  <si>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</si>
  <si>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</si>
  <si>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</si>
  <si>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</si>
  <si>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</si>
  <si>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</si>
  <si>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</si>
  <si>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</si>
  <si>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</si>
  <si>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</si>
  <si>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</si>
  <si>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</si>
  <si>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</si>
  <si>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</si>
  <si>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</si>
  <si>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</si>
  <si>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</si>
  <si>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</si>
  <si>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</si>
  <si>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</si>
  <si>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</si>
  <si>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</si>
  <si>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</si>
  <si>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</si>
  <si>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</si>
  <si>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</si>
  <si>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</si>
  <si>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</si>
  <si>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</si>
  <si>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</si>
  <si>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</si>
  <si>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</si>
  <si>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</si>
  <si>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</si>
  <si>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</si>
  <si>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</si>
  <si>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</si>
  <si>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</si>
  <si>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</si>
  <si>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</si>
  <si>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</si>
  <si>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</si>
  <si>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</si>
  <si>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</si>
  <si>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</si>
  <si>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</si>
  <si>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</si>
  <si>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</si>
  <si>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</si>
  <si>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</si>
  <si>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</si>
  <si>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</si>
  <si>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</si>
  <si>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</si>
  <si>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</si>
  <si>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</si>
  <si>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</si>
  <si>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</si>
  <si>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</si>
  <si>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</si>
  <si>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</si>
  <si>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</si>
  <si>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</si>
  <si>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</si>
  <si>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</si>
  <si>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</si>
  <si>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</si>
  <si>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</si>
  <si>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</si>
  <si>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</si>
  <si>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</si>
  <si>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</si>
  <si>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</si>
  <si>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</si>
  <si>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</si>
  <si>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</si>
  <si>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</si>
  <si>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</si>
  <si>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</si>
  <si>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</si>
  <si>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</si>
  <si>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</si>
  <si>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</si>
  <si>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</si>
  <si>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</si>
  <si>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</si>
  <si>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</si>
  <si>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</si>
  <si>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</si>
  <si>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</si>
  <si>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</si>
  <si>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</si>
  <si>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</si>
  <si>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</si>
  <si>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</si>
  <si>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</si>
  <si>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</si>
  <si>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</si>
  <si>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</si>
  <si>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</si>
  <si>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</si>
  <si>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</si>
  <si>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</si>
  <si>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</si>
  <si>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</si>
  <si>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</si>
  <si>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</si>
  <si>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</si>
  <si>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</si>
  <si>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</si>
  <si>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</si>
  <si>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</si>
  <si>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</si>
  <si>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</si>
  <si>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</si>
  <si>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</si>
  <si>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</si>
  <si>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</si>
  <si>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</si>
  <si>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</si>
  <si>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</si>
  <si>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</si>
  <si>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</si>
  <si>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</si>
  <si>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</si>
  <si>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</si>
  <si>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</si>
  <si>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</si>
  <si>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</si>
  <si>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</si>
  <si>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</si>
  <si>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</si>
  <si>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</si>
  <si>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</si>
  <si>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</si>
  <si>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</si>
  <si>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</si>
  <si>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</si>
  <si>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</si>
  <si>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</si>
  <si>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</si>
  <si>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</si>
  <si>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</si>
  <si>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</si>
  <si>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</si>
  <si>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</si>
  <si>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</si>
  <si>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</si>
  <si>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</si>
  <si>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</si>
  <si>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</si>
  <si>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</si>
  <si>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</si>
  <si>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</si>
  <si>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</si>
  <si>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</si>
  <si>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</si>
  <si>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</si>
  <si>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</si>
  <si>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</si>
  <si>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</si>
  <si>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</si>
  <si>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</si>
  <si>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</si>
  <si>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</si>
  <si>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</si>
  <si>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</si>
  <si>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</si>
  <si>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</si>
  <si>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</si>
  <si>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</si>
  <si>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</si>
  <si>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</si>
  <si>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</si>
  <si>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</si>
  <si>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</si>
  <si>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</si>
  <si>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</si>
  <si>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</si>
  <si>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</si>
  <si>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</si>
  <si>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</si>
  <si>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</si>
  <si>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</si>
  <si>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</si>
  <si>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</si>
  <si>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</si>
  <si>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</si>
  <si>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</si>
  <si>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</si>
  <si>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</si>
  <si>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</si>
  <si>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</si>
  <si>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</si>
  <si>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</si>
  <si>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</si>
  <si>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</si>
  <si>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</si>
  <si>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</si>
  <si>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</si>
  <si>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</si>
  <si>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</si>
  <si>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</si>
  <si>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</si>
  <si>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</si>
  <si>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</si>
  <si>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</si>
  <si>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</si>
  <si>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</si>
  <si>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</si>
  <si>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</si>
  <si>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</si>
  <si>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</si>
  <si>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</si>
  <si>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</si>
  <si>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</si>
  <si>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</si>
  <si>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</si>
  <si>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</si>
  <si>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</si>
  <si>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</si>
  <si>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</si>
  <si>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</si>
  <si>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</si>
  <si>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</si>
  <si>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</si>
  <si>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</si>
  <si>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</si>
  <si>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</si>
  <si>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</si>
  <si>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</si>
  <si>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</si>
  <si>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</si>
  <si>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</si>
  <si>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</si>
  <si>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</si>
  <si>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</si>
  <si>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</si>
  <si>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</si>
  <si>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</si>
  <si>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</si>
  <si>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</si>
  <si>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</si>
  <si>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</si>
  <si>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</si>
  <si>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</si>
  <si>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</si>
  <si>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</si>
  <si>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</si>
  <si>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</si>
  <si>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</si>
  <si>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</si>
  <si>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</si>
  <si>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</si>
  <si>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</si>
  <si>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</si>
  <si>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</si>
  <si>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</si>
  <si>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</si>
  <si>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</si>
  <si>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</si>
  <si>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</si>
  <si>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</si>
  <si>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</si>
  <si>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</si>
  <si>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</si>
  <si>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</si>
  <si>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</si>
  <si>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</si>
  <si>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</si>
  <si>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</si>
  <si>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</si>
  <si>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</si>
  <si>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</si>
  <si>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</si>
  <si>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</si>
  <si>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</si>
  <si>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</si>
  <si>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</si>
  <si>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</si>
  <si>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</si>
  <si>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</si>
  <si>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</si>
  <si>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</si>
  <si>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</si>
  <si>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</si>
  <si>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</si>
  <si>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</si>
  <si>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</si>
  <si>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</si>
  <si>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</si>
  <si>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</si>
  <si>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</si>
  <si>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</si>
  <si>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</si>
  <si>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</si>
  <si>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</si>
  <si>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</si>
  <si>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</si>
  <si>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</si>
  <si>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</si>
  <si>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</si>
  <si>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</si>
  <si>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</si>
  <si>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</si>
  <si>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</si>
  <si>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</si>
  <si>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</si>
  <si>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</si>
  <si>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</si>
  <si>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</si>
  <si>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</si>
  <si>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</si>
  <si>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</si>
  <si>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</si>
  <si>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</si>
  <si>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</si>
  <si>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</si>
  <si>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</si>
  <si>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</si>
  <si>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</si>
  <si>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</si>
  <si>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</si>
  <si>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</si>
  <si>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</si>
  <si>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</si>
  <si>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</si>
  <si>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</si>
  <si>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</si>
  <si>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</si>
  <si>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</si>
  <si>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</si>
  <si>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</si>
  <si>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</si>
  <si>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</si>
  <si>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</si>
  <si>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</si>
  <si>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</si>
  <si>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</si>
  <si>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</si>
  <si>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</si>
  <si>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</si>
  <si>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</si>
  <si>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</si>
  <si>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</si>
  <si>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</si>
  <si>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</si>
  <si>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</si>
  <si>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</si>
  <si>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</si>
  <si>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</si>
  <si>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</si>
  <si>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</si>
  <si>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</si>
  <si>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</si>
  <si>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</si>
  <si>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</si>
  <si>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</si>
  <si>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</si>
  <si>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</si>
  <si>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</si>
  <si>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</si>
  <si>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</si>
  <si>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</si>
  <si>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</si>
  <si>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</si>
  <si>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</si>
  <si>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</si>
  <si>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</si>
  <si>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</si>
  <si>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</si>
  <si>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</si>
  <si>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</si>
  <si>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</si>
  <si>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</si>
  <si>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</si>
  <si>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</si>
  <si>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</si>
  <si>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</si>
  <si>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</si>
  <si>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</si>
  <si>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</si>
  <si>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</si>
  <si>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</si>
  <si>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</si>
  <si>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</si>
  <si>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</si>
  <si>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</si>
  <si>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</si>
  <si>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</si>
  <si>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</si>
  <si>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</si>
  <si>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</si>
  <si>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</si>
  <si>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</si>
  <si>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</si>
  <si>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</si>
  <si>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</si>
  <si>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</si>
  <si>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</si>
  <si>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</si>
  <si>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</si>
  <si>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</si>
  <si>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</si>
  <si>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</si>
  <si>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</si>
  <si>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</si>
  <si>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</si>
  <si>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</si>
  <si>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</si>
  <si>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</si>
  <si>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</si>
  <si>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</si>
  <si>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</si>
  <si>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</si>
  <si>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</si>
  <si>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</si>
  <si>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</si>
  <si>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</si>
  <si>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</si>
  <si>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</si>
  <si>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</si>
  <si>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</si>
  <si>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</si>
  <si>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</si>
  <si>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</si>
  <si>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</si>
  <si>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</si>
  <si>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</si>
  <si>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</si>
  <si>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</si>
  <si>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</si>
  <si>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</si>
  <si>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</si>
  <si>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</si>
  <si>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</si>
  <si>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</si>
  <si>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</si>
  <si>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</si>
  <si>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</si>
  <si>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</si>
  <si>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</si>
  <si>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</si>
  <si>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</si>
  <si>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</si>
  <si>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</si>
  <si>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</si>
  <si>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</si>
  <si>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</si>
  <si>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</si>
  <si>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</si>
  <si>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</si>
  <si>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</si>
  <si>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</si>
  <si>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</si>
  <si>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</si>
  <si>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</si>
  <si>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</si>
  <si>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</si>
  <si>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</si>
  <si>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</si>
  <si>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</si>
  <si>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</si>
  <si>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</si>
  <si>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</si>
  <si>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</si>
  <si>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</si>
  <si>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</si>
  <si>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</si>
  <si>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</si>
  <si>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</si>
  <si>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</si>
  <si>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</si>
  <si>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</si>
  <si>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</si>
  <si>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</si>
  <si>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</si>
  <si>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</si>
  <si>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</si>
  <si>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</si>
  <si>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</si>
  <si>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</si>
  <si>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</si>
  <si>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</si>
  <si>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</si>
  <si>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</si>
  <si>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</si>
  <si>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</si>
  <si>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</si>
  <si>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</si>
  <si>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</si>
  <si>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</si>
  <si>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</si>
  <si>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</si>
  <si>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</si>
  <si>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</si>
  <si>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</si>
  <si>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</si>
  <si>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</si>
  <si>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</si>
  <si>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</si>
  <si>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</si>
  <si>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</si>
  <si>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</si>
  <si>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</si>
  <si>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</si>
  <si>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</si>
  <si>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</si>
  <si>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</si>
  <si>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</si>
  <si>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</si>
  <si>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</si>
  <si>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</si>
  <si>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</si>
  <si>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</si>
  <si>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</si>
  <si>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</si>
  <si>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</si>
  <si>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</si>
  <si>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</si>
  <si>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</si>
  <si>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</si>
  <si>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</si>
  <si>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</si>
  <si>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</si>
  <si>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</si>
  <si>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</si>
  <si>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</si>
  <si>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</si>
  <si>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</si>
  <si>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</si>
  <si>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</si>
  <si>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</si>
  <si>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</si>
  <si>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</si>
  <si>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</si>
  <si>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</si>
  <si>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</si>
  <si>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</si>
  <si>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</si>
  <si>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</si>
  <si>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</si>
  <si>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</si>
  <si>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</si>
  <si>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</si>
  <si>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</si>
  <si>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</si>
  <si>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</si>
  <si>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</si>
  <si>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</si>
  <si>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</si>
  <si>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</si>
  <si>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</si>
  <si>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</si>
  <si>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</si>
  <si>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</si>
  <si>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</si>
  <si>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</si>
  <si>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</si>
  <si>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</si>
  <si>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</si>
  <si>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</si>
  <si>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</si>
  <si>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</si>
  <si>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</si>
  <si>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</si>
  <si>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</si>
  <si>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</si>
  <si>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</si>
  <si>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</si>
  <si>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</si>
  <si>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</si>
  <si>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</si>
  <si>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</si>
  <si>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</si>
  <si>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</si>
  <si>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</si>
  <si>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</si>
  <si>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</si>
  <si>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</si>
  <si>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</si>
  <si>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</si>
  <si>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</si>
  <si>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</si>
  <si>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</si>
  <si>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</si>
  <si>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</si>
  <si>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</si>
  <si>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</si>
  <si>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</si>
  <si>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</si>
  <si>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</si>
  <si>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</si>
  <si>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</si>
  <si>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</si>
  <si>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</si>
  <si>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</si>
  <si>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</si>
  <si>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</si>
  <si>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</si>
  <si>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</si>
  <si>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</si>
  <si>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</si>
  <si>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</si>
  <si>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</si>
  <si>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</si>
  <si>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</si>
  <si>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</si>
  <si>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</si>
  <si>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</si>
  <si>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</si>
  <si>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</si>
  <si>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</si>
  <si>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</si>
  <si>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</si>
  <si>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</si>
  <si>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</si>
  <si>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</si>
  <si>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</si>
  <si>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</si>
  <si>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</si>
  <si>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</si>
  <si>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</si>
  <si>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</si>
  <si>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</si>
  <si>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</si>
  <si>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</si>
  <si>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</si>
  <si>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</si>
  <si>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</si>
  <si>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</si>
  <si>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</si>
  <si>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</si>
  <si>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</si>
  <si>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</si>
  <si>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</si>
  <si>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</si>
  <si>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</si>
  <si>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</si>
  <si>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</si>
  <si>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</si>
  <si>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</si>
  <si>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</si>
  <si>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</si>
  <si>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</si>
  <si>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</si>
  <si>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</si>
  <si>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</si>
  <si>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</si>
  <si>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</si>
  <si>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</si>
  <si>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</si>
  <si>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</si>
  <si>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</si>
  <si>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</si>
  <si>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</si>
  <si>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</si>
  <si>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</si>
  <si>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</si>
  <si>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</si>
  <si>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</si>
  <si>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</si>
  <si>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</si>
  <si>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</si>
  <si>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</si>
  <si>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</si>
  <si>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</si>
  <si>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</si>
  <si>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</si>
  <si>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</si>
  <si>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</si>
  <si>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</si>
  <si>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</si>
  <si>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</si>
  <si>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</si>
  <si>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</si>
  <si>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</si>
  <si>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</si>
  <si>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</si>
  <si>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</si>
  <si>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</si>
  <si>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</si>
  <si>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</si>
  <si>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</si>
  <si>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</si>
  <si>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</si>
  <si>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</si>
  <si>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</si>
  <si>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</si>
  <si>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</si>
  <si>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</si>
  <si>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</si>
  <si>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</si>
  <si>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</si>
  <si>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</si>
  <si>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</si>
  <si>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</si>
  <si>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</si>
  <si>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</si>
  <si>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</si>
  <si>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</si>
  <si>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</si>
  <si>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</si>
  <si>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</si>
  <si>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</si>
  <si>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</si>
  <si>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</si>
  <si>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</si>
  <si>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</si>
  <si>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</si>
  <si>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</si>
  <si>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</si>
  <si>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</si>
  <si>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</si>
  <si>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</si>
  <si>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</si>
  <si>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</si>
  <si>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</si>
  <si>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</si>
  <si>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</si>
  <si>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</si>
  <si>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</si>
  <si>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</si>
  <si>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</si>
  <si>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</si>
  <si>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</si>
  <si>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</si>
  <si>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</si>
  <si>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</si>
  <si>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</si>
  <si>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</si>
  <si>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</si>
  <si>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</si>
  <si>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</si>
  <si>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</si>
  <si>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</si>
  <si>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</si>
  <si>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</si>
  <si>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</si>
  <si>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</si>
  <si>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</si>
  <si>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</si>
  <si>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</si>
  <si>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</si>
  <si>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</si>
  <si>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</si>
  <si>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</si>
  <si>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</si>
  <si>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</si>
  <si>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</si>
  <si>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</si>
  <si>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</si>
  <si>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</si>
  <si>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</si>
  <si>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</si>
  <si>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</si>
  <si>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</si>
  <si>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</si>
  <si>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</si>
  <si>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</si>
  <si>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</si>
  <si>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</si>
  <si>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</si>
  <si>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</si>
  <si>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</si>
  <si>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</si>
  <si>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</si>
  <si>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</si>
  <si>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</si>
  <si>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</si>
  <si>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</si>
  <si>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</si>
  <si>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</si>
  <si>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</si>
  <si>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</si>
  <si>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</si>
  <si>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</si>
  <si>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</si>
  <si>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</si>
  <si>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</si>
  <si>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</si>
  <si>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</si>
  <si>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</si>
  <si>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</si>
  <si>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</si>
  <si>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</si>
  <si>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</si>
  <si>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</si>
  <si>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</si>
  <si>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</si>
  <si>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</si>
  <si>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</si>
  <si>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</si>
  <si>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</si>
  <si>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</si>
  <si>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</si>
  <si>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</si>
  <si>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</si>
  <si>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</si>
  <si>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</si>
  <si>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</si>
  <si>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</si>
  <si>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</si>
  <si>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</si>
  <si>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</si>
  <si>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</si>
  <si>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</si>
  <si>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</si>
  <si>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</si>
  <si>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</si>
  <si>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</si>
  <si>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</si>
  <si>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</si>
  <si>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</si>
  <si>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</si>
  <si>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</si>
  <si>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</si>
  <si>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</si>
  <si>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</si>
  <si>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</si>
  <si>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</si>
  <si>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</si>
  <si>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</si>
  <si>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</si>
  <si>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</si>
  <si>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</si>
  <si>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</si>
  <si>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</si>
  <si>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</si>
  <si>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</si>
  <si>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</si>
  <si>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</si>
  <si>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</si>
  <si>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</si>
  <si>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</si>
  <si>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</si>
  <si>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</si>
  <si>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</si>
  <si>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</si>
  <si>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</si>
  <si>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</si>
  <si>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</si>
  <si>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</si>
  <si>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</si>
  <si>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</si>
  <si>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</si>
  <si>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</si>
  <si>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</si>
  <si>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</si>
  <si>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</si>
  <si>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</si>
  <si>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</si>
  <si>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</si>
  <si>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</si>
  <si>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</si>
  <si>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</si>
  <si>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</si>
  <si>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</si>
  <si>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</si>
  <si>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</si>
  <si>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</si>
  <si>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</si>
  <si>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</si>
  <si>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</si>
  <si>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</si>
  <si>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</si>
  <si>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</si>
  <si>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</si>
  <si>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</si>
  <si>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</si>
  <si>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</si>
  <si>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</si>
  <si>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</si>
  <si>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</si>
  <si>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</si>
  <si>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</si>
  <si>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</si>
  <si>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</si>
  <si>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</si>
  <si>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</si>
  <si>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</si>
  <si>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</si>
  <si>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</si>
  <si>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</si>
  <si>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</si>
  <si>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</si>
  <si>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</si>
  <si>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</si>
  <si>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</si>
  <si>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</si>
  <si>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</si>
  <si>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</si>
  <si>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</si>
  <si>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</si>
  <si>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</si>
  <si>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</si>
  <si>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</si>
  <si>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</si>
  <si>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</si>
  <si>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</si>
  <si>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</si>
  <si>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</si>
  <si>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</si>
  <si>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</si>
  <si>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</si>
  <si>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</si>
  <si>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</si>
  <si>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</si>
  <si>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</si>
  <si>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</si>
  <si>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</si>
  <si>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</si>
  <si>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</si>
  <si>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</si>
  <si>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</si>
  <si>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</si>
  <si>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</si>
  <si>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</si>
  <si>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</si>
  <si>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</si>
  <si>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</si>
  <si>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</si>
  <si>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</si>
  <si>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</si>
  <si>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</si>
  <si>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</si>
  <si>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</si>
  <si>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</si>
  <si>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</si>
  <si>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</si>
  <si>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</si>
  <si>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</si>
  <si>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</si>
  <si>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</si>
  <si>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</si>
  <si>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</si>
  <si>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</si>
  <si>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</si>
  <si>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</si>
  <si>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</si>
  <si>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</si>
  <si>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</si>
  <si>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</si>
  <si>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</si>
  <si>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</si>
  <si>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</si>
  <si>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</si>
  <si>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</si>
  <si>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</si>
  <si>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</si>
  <si>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</si>
  <si>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</si>
  <si>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</si>
  <si>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</si>
  <si>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</si>
  <si>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</si>
  <si>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</si>
  <si>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</si>
  <si>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</si>
  <si>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</si>
  <si>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</si>
  <si>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</si>
  <si>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</si>
  <si>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</si>
  <si>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</si>
  <si>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</si>
  <si>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</si>
  <si>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</si>
  <si>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</si>
  <si>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</si>
  <si>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</si>
  <si>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</si>
  <si>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</si>
  <si>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</si>
  <si>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</si>
  <si>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</si>
  <si>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</si>
  <si>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</si>
  <si>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</si>
  <si>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</si>
  <si>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</si>
  <si>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</si>
  <si>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</si>
  <si>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</si>
  <si>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</si>
  <si>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</si>
  <si>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</si>
  <si>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</si>
  <si>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</si>
  <si>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</si>
  <si>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</si>
  <si>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</si>
  <si>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</si>
  <si>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</si>
  <si>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</si>
  <si>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</si>
  <si>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</si>
  <si>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</si>
  <si>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</si>
  <si>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</si>
  <si>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</si>
  <si>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</si>
  <si>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</si>
  <si>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</si>
  <si>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</si>
  <si>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</si>
  <si>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</si>
  <si>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</si>
  <si>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</si>
  <si>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</si>
  <si>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</si>
  <si>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</si>
  <si>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</si>
  <si>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</si>
  <si>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</si>
  <si>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</si>
  <si>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</si>
  <si>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</si>
  <si>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</si>
  <si>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</si>
  <si>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</si>
  <si>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</si>
  <si>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</si>
  <si>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</si>
  <si>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</si>
  <si>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</si>
  <si>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</si>
  <si>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</si>
  <si>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</si>
  <si>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</si>
  <si>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</si>
  <si>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</si>
  <si>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</si>
  <si>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</si>
  <si>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</si>
  <si>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</si>
  <si>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</si>
  <si>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</si>
  <si>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</si>
  <si>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</si>
  <si>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</si>
  <si>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</si>
  <si>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</si>
  <si>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</si>
  <si>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</si>
  <si>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</si>
  <si>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</si>
  <si>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</si>
  <si>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</si>
  <si>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</si>
  <si>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</si>
  <si>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</si>
  <si>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</si>
  <si>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</si>
  <si>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</si>
  <si>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</si>
  <si>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</si>
  <si>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</si>
  <si>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</si>
  <si>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</si>
  <si>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</si>
  <si>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</si>
  <si>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</si>
  <si>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</si>
  <si>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</si>
  <si>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</si>
  <si>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</si>
  <si>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</si>
  <si>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</si>
  <si>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</si>
  <si>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</si>
  <si>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</si>
  <si>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</si>
  <si>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</si>
  <si>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</si>
  <si>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</si>
  <si>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</si>
  <si>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</si>
  <si>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</si>
  <si>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</si>
  <si>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</si>
  <si>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</si>
  <si>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</si>
  <si>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</si>
  <si>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</si>
  <si>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</si>
  <si>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</si>
  <si>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</si>
  <si>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</si>
  <si>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</si>
  <si>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</si>
  <si>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</si>
  <si>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</si>
  <si>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</si>
  <si>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</si>
  <si>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</si>
  <si>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</si>
  <si>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</si>
  <si>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</si>
  <si>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</si>
  <si>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</si>
  <si>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</si>
  <si>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</si>
  <si>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</si>
  <si>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</si>
  <si>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</si>
  <si>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</si>
  <si>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</si>
  <si>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</si>
  <si>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</si>
  <si>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</si>
  <si>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</si>
  <si>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</si>
  <si>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</si>
  <si>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</si>
  <si>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</si>
  <si>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</si>
  <si>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</si>
  <si>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</si>
  <si>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</si>
  <si>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</si>
  <si>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</si>
  <si>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</si>
  <si>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</si>
  <si>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</si>
  <si>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</si>
  <si>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</si>
  <si>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</si>
  <si>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</si>
  <si>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</si>
  <si>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</si>
  <si>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</si>
  <si>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</si>
  <si>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</si>
  <si>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</si>
  <si>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</si>
  <si>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</si>
  <si>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</si>
  <si>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</si>
  <si>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</si>
  <si>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</si>
  <si>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</si>
  <si>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</si>
  <si>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</si>
  <si>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</si>
  <si>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</si>
  <si>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</si>
  <si>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</si>
  <si>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</si>
  <si>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</si>
  <si>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</si>
  <si>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</si>
  <si>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</si>
  <si>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</si>
  <si>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</si>
  <si>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</si>
  <si>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</si>
  <si>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</si>
  <si>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</si>
  <si>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</si>
  <si>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</si>
  <si>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</si>
  <si>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</si>
  <si>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</si>
  <si>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</si>
  <si>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</si>
  <si>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</si>
  <si>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</si>
  <si>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</si>
  <si>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</si>
  <si>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</si>
  <si>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</si>
  <si>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</si>
  <si>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</si>
  <si>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</si>
  <si>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</si>
  <si>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</si>
  <si>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</si>
  <si>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</si>
  <si>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</si>
  <si>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</si>
  <si>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</si>
  <si>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</si>
  <si>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</si>
  <si>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</si>
  <si>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</si>
  <si>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</si>
  <si>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</si>
  <si>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</si>
  <si>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</si>
  <si>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</si>
  <si>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</si>
  <si>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</si>
  <si>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</si>
  <si>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</si>
  <si>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</si>
  <si>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</si>
  <si>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</si>
  <si>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</si>
  <si>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</si>
  <si>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</si>
  <si>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</si>
  <si>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</si>
  <si>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</si>
  <si>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</si>
  <si>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</si>
  <si>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</si>
  <si>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</si>
  <si>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</si>
  <si>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</si>
  <si>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</si>
  <si>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</si>
  <si>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</si>
  <si>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</si>
  <si>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</si>
  <si>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</si>
  <si>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</si>
  <si>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</si>
  <si>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</si>
  <si>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</si>
  <si>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</si>
  <si>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</si>
  <si>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</si>
  <si>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</si>
  <si>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</si>
  <si>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</si>
  <si>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</si>
  <si>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</si>
  <si>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</si>
  <si>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</si>
  <si>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</si>
  <si>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</si>
  <si>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</si>
  <si>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</si>
  <si>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</si>
  <si>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</si>
  <si>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</si>
  <si>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</si>
  <si>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</si>
  <si>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</si>
  <si>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</si>
  <si>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</si>
  <si>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</si>
  <si>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</si>
  <si>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</si>
  <si>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</si>
  <si>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</si>
  <si>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</si>
  <si>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</si>
  <si>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</si>
  <si>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</si>
  <si>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</si>
  <si>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</si>
  <si>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</si>
  <si>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</si>
  <si>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</si>
  <si>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</si>
  <si>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</si>
  <si>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</si>
  <si>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</si>
  <si>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</si>
  <si>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</si>
  <si>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</si>
  <si>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</si>
  <si>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</si>
  <si>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</si>
  <si>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</si>
  <si>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</si>
  <si>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</si>
  <si>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</si>
  <si>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</si>
  <si>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</si>
  <si>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</si>
  <si>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</si>
  <si>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</si>
  <si>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</si>
  <si>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</si>
  <si>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</si>
  <si>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</si>
  <si>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</si>
  <si>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</si>
  <si>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</si>
  <si>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</si>
  <si>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</si>
  <si>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</si>
  <si>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</si>
  <si>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</si>
  <si>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</si>
  <si>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</si>
  <si>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</si>
  <si>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</si>
  <si>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</si>
  <si>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</si>
  <si>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</si>
  <si>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</si>
  <si>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</si>
  <si>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</si>
  <si>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</si>
  <si>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</si>
  <si>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</si>
  <si>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</si>
  <si>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</si>
  <si>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</si>
  <si>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</si>
  <si>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</si>
  <si>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</si>
  <si>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</si>
  <si>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</si>
  <si>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</si>
  <si>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</si>
  <si>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</si>
  <si>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</si>
  <si>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</si>
  <si>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</si>
  <si>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</si>
  <si>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</si>
  <si>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</si>
  <si>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</si>
  <si>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</si>
  <si>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</si>
  <si>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</si>
  <si>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</si>
  <si>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</si>
  <si>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</si>
  <si>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</si>
  <si>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</si>
  <si>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</si>
  <si>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</si>
  <si>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</si>
  <si>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</si>
  <si>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</si>
  <si>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</si>
  <si>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</si>
  <si>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</si>
  <si>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</si>
  <si>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</si>
  <si>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</si>
  <si>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</si>
  <si>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</si>
  <si>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</si>
  <si>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</si>
  <si>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</si>
  <si>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</si>
  <si>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</si>
  <si>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</si>
  <si>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</si>
  <si>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</si>
  <si>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</si>
  <si>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</si>
  <si>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</si>
  <si>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</si>
  <si>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</si>
  <si>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</si>
  <si>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</si>
  <si>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</si>
  <si>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</si>
  <si>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</si>
  <si>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</si>
  <si>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</si>
  <si>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</si>
  <si>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</si>
  <si>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</si>
  <si>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</si>
  <si>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</si>
  <si>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</si>
  <si>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</si>
  <si>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</si>
  <si>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</si>
  <si>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</si>
  <si>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</si>
  <si>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</si>
  <si>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</si>
  <si>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</si>
  <si>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</si>
  <si>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</si>
  <si>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</si>
  <si>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</si>
  <si>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</si>
  <si>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</si>
  <si>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</si>
  <si>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</si>
  <si>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</si>
  <si>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</si>
  <si>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</si>
  <si>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</si>
  <si>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</si>
  <si>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</si>
  <si>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</si>
  <si>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</si>
  <si>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</si>
  <si>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</si>
  <si>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</si>
  <si>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</si>
  <si>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</si>
  <si>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</si>
  <si>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</si>
  <si>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</si>
  <si>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</si>
  <si>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</si>
  <si>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</si>
  <si>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</si>
  <si>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</si>
  <si>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</si>
  <si>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</si>
  <si>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</si>
  <si>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</si>
  <si>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</si>
  <si>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</si>
  <si>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</si>
  <si>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</si>
  <si>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</si>
  <si>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</si>
  <si>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</si>
  <si>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</si>
  <si>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</si>
  <si>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</si>
  <si>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</si>
  <si>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</si>
  <si>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</si>
  <si>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</si>
  <si>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</si>
  <si>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</si>
  <si>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</si>
  <si>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</si>
  <si>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</si>
  <si>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</si>
  <si>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</si>
  <si>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</si>
  <si>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</si>
  <si>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</si>
  <si>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</si>
  <si>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</si>
  <si>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</si>
  <si>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</si>
  <si>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</si>
  <si>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</si>
  <si>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</si>
  <si>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</si>
  <si>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</si>
  <si>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</si>
  <si>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</si>
  <si>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</si>
  <si>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</si>
  <si>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</si>
  <si>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</si>
  <si>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</si>
  <si>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</si>
  <si>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</si>
  <si>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</si>
  <si>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</si>
  <si>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</si>
  <si>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</si>
  <si>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</si>
  <si>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</si>
  <si>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</si>
  <si>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</si>
  <si>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</si>
  <si>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</si>
  <si>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</si>
  <si>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</si>
  <si>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</si>
  <si>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</si>
  <si>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</si>
  <si>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</si>
  <si>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</si>
  <si>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</si>
  <si>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</si>
  <si>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</si>
  <si>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</si>
  <si>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</si>
  <si>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</si>
  <si>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</si>
  <si>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</si>
  <si>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</si>
  <si>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</si>
  <si>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</si>
  <si>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</si>
  <si>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</si>
  <si>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</si>
  <si>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</si>
  <si>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</si>
  <si>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</si>
  <si>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</si>
  <si>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</si>
  <si>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</si>
  <si>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</si>
  <si>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</si>
  <si>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</si>
  <si>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</si>
  <si>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</si>
  <si>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</si>
  <si>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</si>
  <si>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</si>
  <si>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</si>
  <si>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</si>
  <si>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</si>
  <si>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</si>
  <si>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</si>
  <si>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</si>
  <si>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</si>
  <si>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</si>
  <si>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</si>
  <si>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</si>
  <si>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</si>
  <si>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</si>
  <si>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</si>
  <si>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</si>
  <si>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</si>
  <si>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</si>
  <si>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</si>
  <si>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</si>
  <si>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</si>
  <si>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</si>
  <si>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</si>
  <si>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</si>
  <si>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</si>
  <si>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</si>
  <si>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</si>
  <si>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</si>
  <si>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</si>
  <si>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</si>
  <si>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</si>
  <si>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</si>
  <si>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</si>
  <si>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</si>
  <si>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</si>
  <si>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</si>
  <si>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</si>
  <si>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</si>
  <si>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</si>
  <si>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</si>
  <si>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</si>
  <si>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</si>
  <si>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</si>
  <si>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</si>
  <si>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</si>
  <si>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</si>
  <si>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</si>
  <si>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</si>
  <si>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</si>
  <si>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</si>
  <si>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</si>
  <si>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</si>
  <si>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</si>
  <si>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</si>
  <si>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</si>
  <si>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</si>
  <si>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</si>
  <si>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</si>
  <si>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</si>
  <si>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</si>
  <si>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</si>
  <si>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</si>
  <si>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</si>
  <si>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</si>
  <si>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</si>
  <si>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</si>
  <si>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</si>
  <si>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</si>
  <si>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</si>
  <si>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</si>
  <si>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</si>
  <si>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</si>
  <si>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</si>
  <si>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</si>
  <si>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</si>
  <si>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</si>
  <si>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</si>
  <si>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</si>
  <si>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</si>
  <si>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</si>
  <si>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</si>
  <si>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</si>
  <si>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</si>
  <si>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</si>
  <si>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</si>
  <si>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</si>
  <si>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</si>
  <si>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</si>
  <si>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</si>
  <si>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</si>
  <si>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</si>
  <si>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</si>
  <si>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</si>
  <si>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</si>
  <si>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</si>
  <si>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</si>
  <si>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</si>
  <si>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</si>
  <si>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</si>
  <si>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</si>
  <si>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</si>
  <si>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</si>
  <si>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</si>
  <si>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</si>
  <si>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</si>
  <si>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</si>
  <si>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</si>
  <si>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</si>
  <si>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</si>
  <si>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</si>
  <si>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</si>
  <si>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</si>
  <si>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</si>
  <si>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</si>
  <si>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</si>
  <si>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</si>
  <si>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</si>
  <si>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</si>
  <si>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</si>
  <si>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</si>
  <si>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</si>
  <si>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</si>
  <si>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</si>
  <si>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</si>
  <si>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</si>
  <si>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</si>
  <si>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</si>
  <si>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</si>
  <si>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</si>
  <si>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</si>
  <si>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</si>
  <si>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</si>
  <si>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</si>
  <si>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</si>
  <si>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</si>
  <si>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</si>
  <si>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</si>
  <si>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</si>
  <si>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</si>
  <si>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</si>
  <si>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</si>
  <si>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</si>
  <si>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</si>
  <si>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</si>
  <si>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</si>
  <si>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</si>
  <si>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</si>
  <si>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</si>
  <si>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</si>
  <si>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</si>
  <si>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</si>
  <si>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</si>
  <si>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</si>
  <si>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</si>
  <si>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</si>
  <si>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</si>
  <si>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</si>
  <si>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</si>
  <si>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</si>
  <si>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</si>
  <si>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</si>
  <si>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</si>
  <si>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</si>
  <si>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</si>
  <si>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</si>
  <si>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</si>
  <si>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</si>
  <si>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</si>
  <si>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</si>
  <si>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</si>
  <si>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</si>
  <si>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</si>
  <si>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</si>
  <si>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</si>
  <si>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</si>
  <si>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</si>
  <si>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</si>
  <si>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</si>
  <si>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</si>
  <si>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</si>
  <si>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</si>
  <si>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</si>
  <si>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</si>
  <si>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</si>
  <si>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</si>
  <si>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</si>
  <si>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</si>
  <si>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</si>
  <si>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</si>
  <si>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</si>
  <si>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</si>
  <si>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</si>
  <si>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</si>
  <si>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</si>
  <si>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</si>
  <si>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</si>
  <si>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</si>
  <si>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</si>
  <si>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</si>
  <si>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</si>
  <si>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</si>
  <si>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</si>
  <si>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</si>
  <si>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</si>
  <si>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</si>
  <si>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</si>
  <si>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</si>
  <si>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</si>
  <si>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</si>
  <si>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</si>
  <si>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</si>
  <si>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</si>
  <si>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</si>
  <si>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</si>
  <si>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</si>
  <si>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</si>
  <si>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</si>
  <si>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</si>
  <si>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</si>
  <si>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</si>
  <si>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</si>
  <si>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</si>
  <si>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</si>
  <si>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</si>
  <si>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</si>
  <si>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</si>
  <si>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</si>
  <si>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</si>
  <si>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</si>
  <si>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</si>
  <si>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</si>
  <si>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</si>
  <si>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</si>
  <si>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</si>
  <si>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</si>
  <si>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</si>
  <si>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</si>
  <si>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</si>
  <si>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</si>
  <si>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</si>
  <si>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</si>
  <si>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</si>
  <si>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</si>
  <si>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</si>
  <si>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</si>
  <si>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</si>
  <si>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</si>
  <si>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</si>
  <si>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</si>
  <si>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</si>
  <si>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</si>
  <si>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</si>
  <si>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</si>
  <si>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</si>
  <si>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</si>
  <si>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</si>
  <si>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</si>
  <si>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</si>
  <si>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</si>
  <si>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</si>
  <si>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</si>
  <si>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</si>
  <si>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</si>
  <si>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</si>
  <si>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</si>
  <si>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</si>
  <si>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</si>
  <si>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</si>
  <si>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</si>
  <si>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</si>
  <si>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</si>
  <si>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</si>
  <si>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</si>
  <si>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</si>
  <si>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</si>
  <si>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</si>
  <si>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</si>
  <si>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</si>
  <si>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</si>
  <si>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</si>
  <si>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</si>
  <si>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</si>
  <si>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</si>
  <si>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</si>
  <si>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</si>
  <si>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</si>
  <si>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</si>
  <si>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</si>
  <si>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</si>
  <si>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</si>
  <si>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</si>
  <si>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</si>
  <si>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</si>
  <si>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</si>
  <si>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</si>
  <si>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</si>
  <si>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</si>
  <si>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</si>
  <si>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</si>
  <si>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</si>
  <si>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</si>
  <si>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</si>
  <si>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</si>
  <si>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</si>
  <si>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</si>
  <si>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</si>
  <si>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</si>
  <si>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</si>
  <si>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</si>
  <si>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</si>
  <si>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</si>
  <si>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</si>
  <si>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</si>
  <si>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</si>
  <si>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</si>
  <si>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</si>
  <si>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</si>
  <si>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</si>
  <si>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</si>
  <si>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</si>
  <si>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</si>
  <si>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</si>
  <si>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</si>
  <si>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</si>
  <si>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</si>
  <si>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</si>
  <si>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</si>
  <si>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</si>
  <si>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</si>
  <si>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</si>
  <si>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</si>
  <si>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</si>
  <si>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</si>
  <si>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</si>
  <si>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</si>
  <si>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</si>
  <si>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</si>
  <si>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</si>
  <si>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</si>
  <si>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</si>
  <si>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</si>
  <si>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</si>
  <si>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</si>
  <si>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</si>
  <si>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</si>
  <si>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</si>
  <si>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</si>
  <si>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</si>
  <si>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</si>
  <si>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</si>
  <si>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</si>
  <si>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</si>
  <si>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</si>
  <si>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</si>
  <si>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</si>
  <si>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</si>
  <si>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</si>
  <si>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</si>
  <si>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</si>
  <si>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</si>
  <si>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</si>
  <si>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</si>
  <si>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</si>
  <si>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</si>
  <si>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</si>
  <si>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</si>
  <si>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</si>
  <si>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</si>
  <si>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</si>
  <si>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</si>
  <si>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</si>
  <si>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</si>
  <si>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</si>
  <si>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</si>
  <si>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</si>
  <si>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</si>
  <si>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</si>
  <si>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</si>
  <si>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</si>
  <si>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</si>
  <si>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</si>
  <si>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</si>
  <si>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</si>
  <si>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</si>
  <si>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</si>
  <si>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</si>
  <si>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</si>
  <si>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</si>
  <si>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</si>
  <si>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</si>
  <si>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</si>
  <si>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</si>
  <si>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</si>
  <si>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</si>
  <si>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</si>
  <si>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</si>
  <si>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</si>
  <si>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</si>
  <si>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</si>
  <si>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</si>
  <si>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</si>
  <si>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</si>
  <si>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</si>
  <si>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</si>
  <si>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</si>
  <si>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</si>
  <si>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</si>
  <si>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</si>
  <si>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</si>
  <si>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</si>
  <si>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</si>
  <si>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</si>
  <si>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</si>
  <si>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</si>
  <si>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</si>
  <si>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</si>
  <si>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</si>
  <si>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</si>
  <si>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</si>
  <si>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</si>
  <si>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</si>
  <si>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</si>
  <si>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</si>
  <si>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</si>
  <si>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</si>
  <si>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</si>
  <si>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</si>
  <si>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</si>
  <si>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</si>
  <si>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</si>
  <si>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</si>
  <si>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</si>
  <si>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</si>
  <si>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</si>
  <si>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</si>
  <si>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</si>
  <si>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</si>
  <si>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</si>
  <si>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</si>
  <si>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</si>
  <si>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</si>
  <si>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</si>
  <si>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</si>
  <si>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</si>
  <si>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</si>
  <si>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</si>
  <si>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</si>
  <si>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</si>
  <si>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</si>
  <si>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</si>
  <si>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</si>
  <si>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</si>
  <si>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</si>
  <si>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</si>
  <si>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</si>
  <si>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</si>
  <si>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</si>
  <si>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</si>
  <si>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</si>
  <si>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</si>
  <si>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</si>
  <si>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</si>
  <si>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</si>
  <si>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</si>
  <si>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</si>
  <si>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</si>
  <si>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</si>
  <si>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</si>
  <si>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</si>
  <si>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</si>
  <si>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</si>
  <si>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</si>
  <si>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</si>
  <si>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</si>
  <si>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</si>
  <si>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</si>
  <si>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</si>
  <si>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</si>
  <si>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</si>
  <si>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</si>
  <si>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</si>
  <si>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</si>
  <si>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</si>
  <si>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</si>
  <si>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</si>
  <si>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</si>
  <si>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</si>
  <si>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</si>
  <si>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</si>
  <si>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</si>
  <si>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</si>
  <si>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</si>
  <si>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</si>
  <si>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</si>
  <si>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</si>
  <si>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</si>
  <si>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</si>
  <si>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</si>
  <si>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</si>
  <si>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</si>
  <si>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</si>
  <si>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</si>
  <si>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</si>
  <si>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</si>
  <si>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</si>
  <si>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</si>
  <si>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</si>
  <si>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</si>
  <si>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</si>
  <si>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</si>
  <si>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</si>
  <si>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</si>
  <si>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</si>
  <si>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</si>
  <si>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</si>
  <si>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</si>
  <si>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</si>
  <si>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</si>
  <si>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</si>
  <si>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</si>
  <si>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</si>
  <si>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</si>
  <si>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</si>
  <si>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</si>
  <si>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</si>
  <si>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</si>
  <si>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</si>
  <si>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</si>
  <si>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</si>
  <si>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</si>
  <si>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</si>
  <si>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</si>
  <si>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</si>
  <si>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</si>
  <si>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</si>
  <si>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</si>
  <si>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</si>
  <si>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</si>
  <si>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</si>
  <si>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</si>
  <si>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</si>
  <si>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</si>
  <si>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</si>
  <si>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</si>
  <si>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</si>
  <si>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</si>
  <si>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</si>
  <si>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</si>
  <si>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</si>
  <si>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</si>
  <si>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</si>
  <si>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</si>
  <si>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</si>
  <si>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</si>
  <si>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</si>
  <si>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</si>
  <si>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</si>
  <si>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</si>
  <si>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</si>
  <si>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</si>
  <si>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</si>
  <si>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</si>
  <si>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</si>
  <si>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</si>
  <si>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</si>
  <si>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</si>
  <si>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</si>
  <si>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</si>
  <si>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</si>
  <si>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</si>
  <si>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</si>
  <si>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</si>
  <si>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</si>
  <si>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</si>
  <si>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</si>
  <si>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</si>
  <si>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</si>
  <si>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</si>
  <si>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</si>
  <si>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</si>
  <si>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</si>
  <si>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</si>
  <si>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</si>
  <si>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</si>
  <si>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</si>
  <si>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</si>
  <si>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</si>
  <si>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</si>
  <si>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</si>
  <si>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</si>
  <si>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</si>
  <si>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</si>
  <si>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</si>
  <si>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</si>
  <si>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</si>
  <si>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</si>
  <si>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</si>
  <si>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</si>
  <si>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</si>
  <si>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</si>
  <si>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</si>
  <si>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</si>
  <si>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</si>
  <si>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</si>
  <si>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</si>
  <si>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</si>
  <si>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</si>
  <si>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</si>
  <si>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</si>
  <si>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</si>
  <si>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</si>
  <si>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</si>
  <si>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</si>
  <si>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</si>
  <si>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</si>
  <si>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</si>
  <si>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</si>
  <si>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</si>
  <si>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</si>
  <si>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</si>
  <si>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</si>
  <si>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</si>
  <si>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</si>
  <si>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</si>
  <si>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</si>
  <si>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</si>
  <si>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</si>
  <si>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</si>
  <si>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</si>
  <si>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</si>
  <si>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</si>
  <si>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</si>
  <si>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</si>
  <si>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</si>
  <si>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</si>
  <si>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</si>
  <si>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</si>
  <si>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</si>
  <si>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</si>
  <si>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</si>
  <si>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</si>
  <si>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</si>
  <si>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</si>
  <si>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</si>
  <si>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</si>
  <si>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</si>
  <si>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</si>
  <si>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</si>
  <si>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</si>
  <si>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</si>
  <si>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</si>
  <si>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</si>
  <si>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</si>
  <si>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</si>
  <si>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</si>
  <si>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</si>
  <si>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</si>
  <si>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</si>
  <si>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</si>
  <si>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</si>
  <si>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</si>
  <si>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</si>
  <si>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</si>
  <si>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</si>
  <si>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</si>
  <si>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</si>
  <si>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</si>
  <si>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</si>
  <si>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</si>
  <si>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</si>
  <si>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</si>
  <si>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</si>
  <si>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</si>
  <si>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</si>
  <si>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</si>
  <si>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</si>
  <si>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</si>
  <si>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</si>
  <si>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</si>
  <si>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</si>
  <si>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</si>
  <si>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</si>
  <si>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</si>
  <si>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</si>
  <si>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</si>
  <si>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</si>
  <si>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</si>
  <si>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</si>
  <si>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</si>
  <si>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</si>
  <si>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</si>
  <si>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</si>
  <si>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</si>
  <si>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</si>
  <si>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</si>
  <si>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</si>
  <si>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</si>
  <si>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</si>
  <si>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</si>
  <si>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</si>
  <si>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</si>
  <si>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</si>
  <si>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</si>
  <si>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</si>
  <si>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</si>
  <si>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</si>
  <si>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</si>
  <si>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</si>
  <si>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</si>
  <si>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</si>
  <si>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</si>
  <si>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</si>
  <si>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</si>
  <si>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</si>
  <si>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</si>
  <si>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</si>
  <si>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</si>
  <si>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</si>
  <si>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</si>
  <si>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</si>
  <si>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</si>
  <si>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</si>
  <si>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</si>
  <si>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</si>
  <si>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</si>
  <si>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</si>
  <si>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</si>
  <si>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</si>
  <si>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</si>
  <si>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</si>
  <si>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</si>
  <si>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</si>
  <si>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</si>
  <si>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</si>
  <si>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</si>
  <si>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</si>
  <si>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</si>
  <si>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</si>
  <si>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</si>
  <si>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</si>
  <si>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</si>
  <si>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</si>
  <si>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</si>
  <si>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</si>
  <si>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</si>
  <si>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</si>
  <si>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</si>
  <si>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</si>
  <si>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</si>
  <si>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</si>
  <si>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</si>
  <si>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</si>
  <si>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</si>
  <si>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</si>
  <si>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</si>
  <si>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</si>
  <si>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</si>
  <si>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</si>
  <si>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</si>
  <si>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</si>
  <si>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</si>
  <si>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</si>
  <si>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</si>
  <si>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</si>
  <si>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</si>
  <si>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</si>
  <si>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</si>
  <si>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</si>
  <si>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</si>
  <si>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</si>
  <si>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</si>
  <si>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</si>
  <si>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</si>
  <si>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</si>
  <si>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</si>
  <si>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</si>
  <si>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</si>
  <si>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</si>
  <si>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</si>
  <si>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</si>
  <si>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</si>
  <si>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</si>
  <si>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</si>
  <si>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</si>
  <si>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</si>
  <si>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</si>
  <si>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</si>
  <si>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</si>
  <si>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</si>
  <si>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</si>
  <si>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</si>
  <si>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</si>
  <si>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</si>
  <si>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</si>
  <si>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</si>
  <si>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</si>
  <si>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</si>
  <si>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</si>
  <si>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</si>
  <si>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</si>
  <si>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</si>
  <si>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</si>
  <si>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</si>
  <si>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</si>
  <si>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</si>
  <si>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</si>
  <si>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</si>
  <si>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</si>
  <si>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</si>
  <si>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</si>
  <si>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</si>
  <si>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</si>
  <si>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</si>
  <si>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</si>
  <si>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</si>
  <si>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</si>
  <si>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</si>
  <si>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</si>
  <si>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</si>
  <si>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</si>
  <si>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</si>
  <si>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</si>
  <si>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</si>
  <si>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</si>
  <si>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</si>
  <si>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</si>
  <si>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</si>
  <si>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</si>
  <si>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</si>
  <si>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</si>
  <si>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</si>
  <si>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</si>
  <si>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</si>
  <si>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</si>
  <si>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</si>
  <si>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</si>
  <si>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</si>
  <si>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</si>
  <si>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</si>
  <si>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</si>
  <si>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</si>
  <si>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</si>
  <si>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</si>
  <si>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</si>
  <si>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</si>
  <si>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</si>
  <si>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</si>
  <si>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</si>
  <si>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</si>
  <si>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</si>
  <si>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</si>
  <si>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</si>
  <si>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</si>
  <si>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</si>
  <si>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</si>
  <si>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</si>
  <si>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</si>
  <si>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</si>
  <si>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</si>
  <si>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</si>
  <si>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</si>
  <si>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</si>
  <si>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</si>
  <si>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</si>
  <si>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</si>
  <si>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</si>
  <si>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</si>
  <si>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</si>
  <si>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</si>
  <si>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</si>
  <si>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</si>
  <si>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</si>
  <si>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</si>
  <si>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</si>
  <si>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</si>
  <si>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</si>
  <si>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</si>
  <si>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</si>
  <si>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</si>
  <si>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</si>
  <si>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</si>
  <si>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</si>
  <si>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</si>
  <si>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</si>
  <si>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</si>
  <si>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</si>
  <si>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</si>
  <si>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</si>
  <si>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</si>
  <si>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</si>
  <si>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</si>
  <si>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</si>
  <si>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</si>
  <si>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</si>
  <si>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</si>
  <si>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</si>
  <si>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</si>
  <si>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</si>
  <si>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</si>
  <si>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</si>
  <si>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</si>
  <si>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</si>
  <si>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</si>
  <si>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</si>
  <si>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</si>
  <si>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</si>
  <si>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</si>
  <si>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</si>
  <si>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</si>
  <si>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</si>
  <si>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</si>
  <si>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</si>
  <si>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</si>
  <si>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</si>
  <si>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</si>
  <si>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</si>
  <si>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</si>
  <si>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</si>
  <si>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</si>
  <si>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</si>
  <si>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</si>
  <si>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</si>
  <si>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</si>
  <si>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</si>
  <si>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</si>
  <si>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</si>
  <si>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</si>
  <si>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</si>
  <si>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</si>
  <si>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</si>
  <si>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</si>
  <si>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</si>
  <si>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</si>
  <si>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</si>
  <si>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</si>
  <si>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</si>
  <si>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</si>
  <si>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</si>
  <si>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</si>
  <si>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</si>
  <si>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</si>
  <si>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</si>
  <si>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</si>
  <si>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</si>
  <si>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</si>
  <si>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</si>
  <si>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</si>
  <si>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</si>
  <si>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</si>
  <si>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</si>
  <si>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</si>
  <si>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</si>
  <si>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</si>
  <si>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</si>
  <si>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</si>
  <si>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</si>
  <si>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</si>
  <si>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</si>
  <si>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</si>
  <si>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</si>
  <si>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</si>
  <si>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</si>
  <si>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</si>
  <si>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</si>
  <si>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</si>
  <si>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</si>
  <si>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</si>
  <si>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</si>
  <si>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</si>
  <si>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</si>
  <si>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</si>
  <si>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</si>
  <si>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</si>
  <si>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</si>
  <si>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</si>
  <si>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</si>
  <si>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</si>
  <si>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</si>
  <si>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</si>
  <si>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</si>
  <si>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</si>
  <si>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</si>
  <si>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</si>
  <si>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</si>
  <si>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</si>
  <si>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</si>
  <si>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</si>
  <si>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</si>
  <si>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</si>
  <si>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</si>
  <si>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</si>
  <si>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</si>
  <si>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</si>
  <si>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</si>
  <si>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</si>
  <si>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</si>
  <si>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</si>
  <si>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</si>
  <si>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</si>
  <si>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</si>
  <si>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</si>
  <si>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</si>
  <si>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</si>
  <si>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</si>
  <si>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</si>
  <si>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</si>
  <si>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</si>
  <si>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</si>
  <si>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</si>
  <si>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</si>
  <si>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</si>
  <si>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</si>
  <si>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</si>
  <si>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</si>
  <si>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</si>
  <si>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</si>
  <si>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</si>
  <si>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</si>
  <si>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</si>
  <si>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</si>
  <si>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</si>
  <si>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</si>
  <si>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</si>
  <si>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</si>
  <si>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</si>
  <si>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</si>
  <si>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</si>
  <si>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</si>
  <si>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</si>
  <si>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</si>
  <si>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</si>
  <si>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</si>
  <si>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</si>
  <si>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</si>
  <si>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</si>
  <si>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</si>
  <si>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</si>
  <si>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</si>
  <si>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</si>
  <si>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</si>
  <si>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</si>
  <si>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</si>
  <si>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</si>
  <si>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</si>
  <si>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</si>
  <si>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</si>
  <si>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</si>
  <si>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</si>
  <si>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</si>
  <si>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</si>
  <si>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</si>
  <si>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</si>
  <si>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</si>
  <si>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</si>
  <si>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</si>
  <si>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</si>
  <si>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</si>
  <si>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</si>
  <si>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</si>
  <si>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</si>
  <si>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</si>
  <si>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</si>
  <si>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</si>
  <si>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</si>
  <si>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</si>
  <si>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</si>
  <si>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</si>
  <si>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</si>
  <si>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</si>
  <si>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</si>
  <si>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</si>
  <si>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</si>
  <si>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</si>
  <si>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</si>
  <si>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</si>
  <si>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</si>
  <si>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</si>
  <si>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</si>
  <si>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</si>
  <si>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</si>
  <si>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</si>
  <si>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</si>
  <si>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</si>
  <si>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</si>
  <si>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</si>
  <si>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</si>
  <si>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</si>
  <si>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</si>
  <si>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</si>
  <si>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</si>
  <si>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</si>
  <si>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</si>
  <si>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</si>
  <si>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</si>
  <si>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</si>
  <si>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</si>
  <si>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</si>
  <si>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</si>
  <si>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</si>
  <si>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</si>
  <si>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</si>
  <si>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</si>
  <si>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</si>
  <si>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</si>
  <si>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</si>
  <si>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</si>
  <si>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</si>
  <si>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</si>
  <si>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</si>
  <si>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</si>
  <si>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</si>
  <si>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</si>
  <si>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</si>
  <si>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</si>
  <si>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</si>
  <si>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</si>
  <si>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</si>
  <si>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</si>
  <si>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</si>
  <si>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</si>
  <si>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</si>
  <si>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</si>
  <si>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</si>
  <si>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</si>
  <si>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</si>
  <si>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</si>
  <si>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</si>
  <si>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</si>
  <si>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</si>
  <si>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</si>
  <si>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</si>
  <si>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</si>
  <si>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</si>
  <si>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</si>
  <si>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</si>
  <si>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</si>
  <si>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</si>
  <si>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</si>
  <si>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</si>
  <si>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</si>
  <si>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</si>
  <si>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</si>
  <si>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</si>
  <si>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</si>
  <si>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</si>
  <si>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</si>
  <si>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</si>
  <si>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</si>
  <si>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</si>
  <si>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</si>
  <si>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</si>
  <si>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</si>
  <si>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</si>
  <si>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</si>
  <si>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</si>
  <si>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</si>
  <si>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</si>
  <si>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</si>
  <si>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</si>
  <si>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</si>
  <si>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</si>
  <si>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</si>
  <si>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</si>
  <si>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</si>
  <si>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</si>
  <si>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</si>
  <si>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</si>
  <si>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</si>
  <si>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</si>
  <si>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</si>
  <si>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</si>
  <si>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</si>
  <si>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</si>
  <si>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</si>
  <si>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</si>
  <si>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</si>
  <si>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</si>
  <si>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</si>
  <si>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</si>
  <si>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</si>
  <si>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</si>
  <si>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</si>
  <si>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</si>
  <si>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</si>
  <si>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</si>
  <si>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</si>
  <si>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</si>
  <si>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</si>
  <si>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</si>
  <si>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</si>
  <si>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</si>
  <si>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</si>
  <si>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</si>
  <si>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</si>
  <si>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</si>
  <si>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</si>
  <si>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</si>
  <si>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</si>
  <si>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</si>
  <si>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</si>
  <si>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</si>
  <si>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</si>
  <si>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</si>
  <si>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</si>
  <si>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</si>
  <si>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</si>
  <si>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</si>
  <si>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</si>
  <si>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</si>
  <si>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</si>
  <si>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</si>
  <si>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</si>
  <si>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</si>
  <si>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</si>
  <si>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</si>
  <si>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</si>
  <si>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</si>
  <si>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</si>
  <si>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</si>
  <si>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</si>
  <si>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</si>
  <si>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</si>
  <si>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</si>
  <si>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</si>
  <si>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</si>
  <si>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</si>
  <si>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</si>
  <si>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</si>
  <si>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</si>
  <si>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</si>
  <si>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</si>
  <si>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</si>
  <si>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</si>
  <si>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</si>
  <si>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</si>
  <si>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</si>
  <si>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</si>
  <si>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</si>
  <si>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</si>
  <si>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</si>
  <si>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</si>
  <si>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</si>
  <si>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</si>
  <si>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</si>
  <si>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</si>
  <si>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</si>
  <si>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</si>
  <si>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</si>
  <si>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</si>
  <si>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</si>
  <si>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</si>
  <si>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</si>
  <si>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</si>
  <si>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</si>
  <si>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</si>
  <si>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</si>
  <si>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</si>
  <si>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</si>
  <si>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</si>
  <si>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</si>
  <si>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</si>
  <si>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</si>
  <si>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</si>
  <si>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</si>
  <si>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</si>
  <si>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</si>
  <si>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</si>
  <si>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</si>
  <si>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</si>
  <si>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</si>
  <si>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</si>
  <si>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</si>
  <si>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</si>
  <si>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</si>
  <si>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</si>
  <si>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</si>
  <si>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</si>
  <si>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</si>
  <si>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</si>
  <si>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</si>
  <si>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</si>
  <si>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</si>
  <si>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</si>
  <si>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</si>
  <si>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</si>
  <si>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</si>
  <si>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</si>
  <si>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</si>
  <si>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</si>
  <si>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</si>
  <si>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</si>
  <si>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</si>
  <si>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</si>
  <si>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</si>
  <si>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</si>
  <si>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</si>
  <si>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</si>
  <si>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</si>
  <si>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</si>
  <si>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</si>
  <si>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</si>
  <si>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</si>
  <si>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</si>
  <si>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</si>
  <si>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</si>
  <si>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</si>
  <si>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</si>
  <si>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</si>
  <si>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</si>
  <si>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</si>
  <si>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</si>
  <si>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</si>
  <si>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</si>
  <si>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</si>
  <si>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</si>
  <si>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</si>
  <si>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</si>
  <si>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</si>
  <si>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</si>
  <si>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</si>
  <si>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</si>
  <si>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</si>
  <si>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</si>
  <si>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</si>
  <si>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</si>
  <si>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</si>
  <si>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</si>
  <si>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</si>
  <si>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</si>
  <si>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</si>
  <si>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</si>
  <si>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</si>
  <si>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</si>
  <si>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</si>
  <si>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</si>
  <si>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</si>
  <si>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</si>
  <si>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</si>
  <si>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</si>
  <si>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</si>
  <si>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</si>
  <si>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</si>
  <si>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</si>
  <si>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</si>
  <si>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</si>
  <si>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</si>
  <si>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</si>
  <si>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</si>
  <si>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</si>
  <si>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</si>
  <si>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</si>
  <si>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</si>
  <si>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</si>
  <si>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</si>
  <si>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</si>
  <si>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</si>
  <si>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</si>
  <si>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</si>
  <si>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</si>
  <si>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</si>
  <si>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</si>
  <si>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</si>
  <si>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</si>
  <si>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</si>
  <si>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</si>
  <si>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</si>
  <si>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</si>
  <si>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</si>
  <si>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</si>
  <si>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</si>
  <si>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</si>
  <si>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</si>
  <si>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</si>
  <si>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</si>
  <si>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</si>
  <si>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</si>
  <si>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</si>
  <si>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</si>
  <si>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</si>
  <si>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</si>
  <si>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</si>
  <si>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</si>
  <si>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</si>
  <si>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</si>
  <si>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</si>
  <si>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</si>
  <si>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</si>
  <si>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</si>
  <si>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</si>
  <si>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</si>
  <si>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</si>
  <si>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</si>
  <si>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</si>
  <si>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</si>
  <si>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</si>
  <si>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</si>
  <si>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</si>
  <si>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</si>
  <si>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</si>
  <si>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</si>
  <si>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</si>
  <si>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</si>
  <si>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</si>
  <si>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</si>
  <si>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</si>
  <si>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</si>
  <si>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</si>
  <si>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</si>
  <si>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</si>
  <si>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</si>
  <si>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</si>
  <si>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</si>
  <si>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</si>
  <si>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</si>
  <si>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</si>
  <si>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</si>
  <si>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</si>
  <si>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</si>
  <si>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</si>
  <si>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</si>
  <si>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</si>
  <si>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</si>
  <si>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</si>
  <si>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</si>
  <si>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</si>
  <si>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</si>
  <si>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</si>
  <si>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</si>
  <si>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</si>
  <si>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</si>
  <si>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</si>
  <si>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</si>
  <si>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</si>
  <si>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</si>
  <si>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</si>
  <si>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</si>
  <si>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</si>
  <si>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</si>
  <si>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</si>
  <si>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</si>
  <si>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</si>
  <si>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</si>
  <si>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</si>
  <si>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</si>
  <si>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</si>
  <si>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</si>
  <si>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</si>
  <si>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</si>
  <si>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</si>
  <si>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</si>
  <si>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</si>
  <si>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</si>
  <si>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</si>
  <si>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</si>
  <si>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</si>
  <si>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</si>
  <si>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</si>
  <si>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</si>
  <si>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</si>
  <si>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</si>
  <si>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</si>
  <si>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</si>
  <si>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</si>
  <si>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</si>
  <si>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</si>
  <si>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</si>
  <si>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</si>
  <si>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</si>
  <si>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</si>
  <si>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</si>
  <si>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</si>
  <si>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</si>
  <si>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</si>
  <si>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</si>
  <si>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</si>
  <si>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</si>
  <si>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</si>
  <si>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</si>
  <si>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</si>
  <si>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</si>
  <si>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</si>
  <si>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</si>
  <si>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</si>
  <si>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</si>
  <si>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</si>
  <si>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</si>
  <si>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</si>
  <si>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</si>
  <si>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</si>
  <si>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</si>
  <si>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</si>
  <si>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</si>
  <si>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</si>
  <si>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</si>
  <si>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</si>
  <si>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</si>
  <si>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</si>
  <si>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</si>
  <si>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</si>
  <si>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</si>
  <si>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</si>
  <si>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</si>
  <si>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</si>
  <si>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</si>
  <si>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</si>
  <si>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</si>
  <si>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</si>
  <si>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</si>
  <si>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</si>
  <si>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</si>
  <si>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</si>
  <si>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</si>
  <si>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</si>
  <si>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</si>
  <si>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</si>
  <si>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</si>
  <si>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</si>
  <si>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</si>
  <si>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</si>
  <si>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</si>
  <si>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</si>
  <si>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</si>
  <si>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</si>
  <si>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</si>
  <si>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</si>
  <si>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</si>
  <si>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</si>
  <si>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</si>
  <si>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</si>
  <si>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</si>
  <si>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</si>
  <si>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</si>
  <si>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</si>
  <si>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</si>
  <si>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</si>
  <si>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</si>
  <si>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</si>
  <si>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</si>
  <si>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</si>
  <si>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</si>
  <si>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</si>
  <si>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</si>
  <si>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</si>
  <si>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</si>
  <si>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</si>
  <si>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</si>
  <si>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</si>
  <si>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</si>
  <si>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</si>
  <si>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</si>
  <si>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</si>
  <si>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</si>
  <si>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</si>
  <si>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</si>
  <si>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</si>
  <si>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</si>
  <si>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</si>
  <si>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</si>
  <si>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</si>
  <si>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</si>
  <si>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</si>
  <si>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</si>
  <si>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</si>
  <si>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</si>
  <si>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</si>
  <si>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</si>
  <si>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</si>
  <si>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</si>
  <si>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</si>
  <si>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</si>
  <si>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</si>
  <si>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</si>
  <si>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</si>
  <si>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</si>
  <si>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</si>
  <si>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</si>
  <si>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</si>
  <si>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</si>
  <si>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</si>
  <si>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</si>
  <si>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</si>
  <si>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</si>
  <si>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</si>
  <si>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</si>
  <si>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</si>
  <si>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</si>
  <si>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</si>
  <si>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</si>
  <si>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</si>
  <si>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</si>
  <si>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</si>
  <si>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</si>
  <si>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</si>
  <si>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</si>
  <si>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</si>
  <si>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</si>
  <si>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</si>
  <si>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</si>
  <si>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</si>
  <si>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</si>
  <si>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</si>
  <si>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</si>
  <si>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</si>
  <si>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</si>
  <si>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</si>
  <si>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</si>
  <si>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</si>
  <si>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</si>
  <si>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</si>
  <si>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</si>
  <si>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</si>
  <si>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</si>
  <si>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</si>
  <si>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</si>
  <si>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</si>
  <si>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</si>
  <si>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</si>
  <si>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</si>
  <si>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</si>
  <si>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</si>
  <si>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</si>
  <si>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</si>
  <si>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</si>
  <si>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</si>
  <si>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</si>
  <si>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</si>
  <si>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</si>
  <si>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</si>
  <si>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</si>
  <si>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</si>
  <si>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</si>
  <si>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</si>
  <si>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</si>
  <si>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</si>
  <si>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</si>
  <si>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</si>
  <si>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</si>
  <si>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</si>
  <si>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</si>
  <si>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</si>
  <si>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</si>
  <si>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</si>
  <si>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</si>
  <si>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</si>
  <si>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</si>
  <si>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</si>
  <si>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</si>
  <si>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</si>
  <si>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</si>
  <si>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</si>
  <si>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</si>
  <si>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</si>
  <si>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</si>
  <si>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</si>
  <si>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</si>
  <si>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</si>
  <si>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</si>
  <si>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</si>
  <si>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</si>
  <si>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</si>
  <si>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</si>
  <si>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</si>
  <si>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</si>
  <si>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</si>
  <si>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</si>
  <si>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</si>
  <si>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</si>
  <si>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</si>
  <si>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</si>
  <si>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</si>
  <si>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</si>
  <si>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</si>
  <si>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</si>
  <si>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</si>
  <si>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</si>
  <si>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</si>
  <si>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</si>
  <si>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</si>
  <si>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</si>
  <si>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</si>
  <si>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</si>
  <si>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</si>
  <si>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</si>
  <si>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</si>
  <si>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</si>
  <si>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</si>
  <si>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</si>
  <si>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</si>
  <si>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</si>
  <si>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</si>
  <si>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</si>
  <si>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</si>
  <si>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</si>
  <si>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</si>
  <si>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</si>
  <si>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</si>
  <si>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</si>
  <si>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</si>
  <si>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</si>
  <si>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</si>
  <si>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</si>
  <si>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</si>
  <si>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</si>
  <si>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</si>
  <si>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</si>
  <si>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</si>
  <si>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</si>
  <si>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</si>
  <si>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</si>
  <si>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</si>
  <si>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</si>
  <si>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</si>
  <si>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</si>
  <si>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</si>
  <si>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</si>
  <si>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</si>
  <si>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</si>
  <si>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</si>
  <si>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</si>
  <si>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</si>
  <si>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</si>
  <si>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</si>
  <si>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</si>
  <si>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</si>
  <si>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</si>
  <si>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</si>
  <si>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</si>
  <si>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</si>
  <si>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</si>
  <si>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</si>
  <si>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</si>
  <si>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</si>
  <si>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</si>
  <si>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</si>
  <si>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</si>
  <si>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</si>
  <si>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</si>
  <si>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</si>
  <si>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</si>
  <si>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</si>
  <si>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</si>
  <si>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</si>
  <si>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</si>
  <si>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</si>
  <si>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</si>
  <si>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</si>
  <si>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</si>
  <si>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</si>
  <si>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</si>
  <si>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</si>
  <si>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</si>
  <si>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</si>
  <si>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</si>
  <si>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</si>
  <si>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</si>
  <si>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</si>
  <si>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</si>
  <si>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</si>
  <si>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</si>
  <si>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</si>
  <si>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</si>
  <si>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</si>
  <si>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</si>
  <si>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</si>
  <si>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</si>
  <si>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</si>
  <si>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</si>
  <si>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</si>
  <si>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</si>
  <si>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</si>
  <si>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</si>
  <si>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</si>
  <si>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</si>
  <si>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</si>
  <si>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</si>
  <si>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</si>
  <si>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</si>
  <si>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</si>
  <si>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</si>
  <si>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</si>
  <si>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</si>
  <si>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</si>
  <si>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</si>
  <si>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</si>
  <si>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</si>
  <si>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</si>
  <si>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</si>
  <si>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</si>
  <si>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</si>
  <si>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</si>
  <si>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</si>
  <si>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</si>
  <si>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</si>
  <si>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</si>
  <si>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</si>
  <si>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</si>
  <si>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</si>
  <si>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</si>
  <si>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</si>
  <si>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</si>
  <si>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</si>
  <si>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</si>
  <si>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</si>
  <si>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</si>
  <si>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</si>
  <si>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</si>
  <si>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</si>
  <si>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</si>
  <si>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</si>
  <si>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</si>
  <si>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</si>
  <si>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</si>
  <si>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</si>
  <si>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</si>
  <si>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</si>
  <si>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</si>
  <si>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</si>
  <si>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</si>
  <si>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</si>
  <si>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</si>
  <si>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</si>
  <si>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</si>
  <si>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</si>
  <si>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</si>
  <si>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</si>
  <si>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</si>
  <si>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</si>
  <si>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</si>
  <si>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</si>
  <si>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</si>
  <si>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</si>
  <si>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</si>
  <si>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</si>
  <si>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</si>
  <si>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</si>
  <si>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</si>
  <si>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</si>
  <si>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</si>
  <si>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</si>
  <si>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</si>
  <si>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</si>
  <si>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</si>
  <si>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</si>
  <si>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</si>
  <si>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</si>
  <si>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</si>
  <si>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</si>
  <si>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</si>
  <si>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</si>
  <si>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</si>
  <si>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</si>
  <si>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</si>
  <si>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</si>
  <si>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</si>
  <si>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</si>
  <si>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</si>
  <si>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</si>
  <si>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</si>
  <si>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</si>
  <si>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</si>
  <si>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</si>
  <si>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</si>
  <si>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</si>
  <si>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</si>
  <si>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</si>
  <si>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</si>
  <si>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</si>
  <si>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</si>
  <si>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</si>
  <si>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</si>
  <si>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</si>
  <si>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</si>
  <si>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</si>
  <si>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</si>
  <si>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</si>
  <si>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</si>
  <si>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</si>
  <si>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</si>
  <si>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</si>
  <si>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</si>
  <si>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</si>
  <si>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</si>
  <si>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</si>
  <si>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</si>
  <si>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</si>
  <si>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</si>
  <si>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</si>
  <si>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</si>
  <si>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</si>
  <si>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</si>
  <si>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</si>
  <si>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</si>
  <si>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</si>
  <si>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</si>
  <si>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</si>
  <si>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</si>
  <si>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</si>
  <si>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</si>
  <si>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</si>
  <si>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</si>
  <si>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</si>
  <si>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</si>
  <si>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</si>
  <si>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</si>
  <si>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</si>
  <si>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</si>
  <si>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</si>
  <si>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</si>
  <si>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</si>
  <si>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</si>
  <si>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</si>
  <si>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</si>
  <si>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</si>
  <si>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</si>
  <si>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</si>
  <si>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</si>
  <si>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</si>
  <si>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</si>
  <si>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</si>
  <si>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</si>
  <si>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</si>
  <si>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</si>
  <si>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</si>
  <si>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</si>
  <si>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</si>
  <si>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</si>
  <si>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</si>
  <si>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</si>
  <si>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</si>
  <si>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</si>
  <si>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</si>
  <si>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</si>
  <si>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</si>
  <si>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</si>
  <si>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</si>
  <si>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</si>
  <si>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</si>
  <si>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</si>
  <si>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</si>
  <si>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</si>
  <si>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</si>
  <si>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</si>
  <si>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</si>
  <si>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</si>
  <si>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</si>
  <si>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</si>
  <si>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</si>
  <si>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</si>
  <si>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</si>
  <si>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</si>
  <si>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</si>
  <si>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</si>
  <si>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</si>
  <si>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</si>
  <si>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</si>
  <si>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</si>
  <si>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</si>
  <si>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</si>
  <si>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</si>
  <si>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</si>
  <si>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</si>
  <si>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</si>
  <si>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</si>
  <si>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</si>
  <si>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</si>
  <si>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</si>
  <si>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</si>
  <si>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</si>
  <si>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</si>
  <si>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</si>
  <si>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</si>
  <si>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</si>
  <si>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</si>
  <si>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</si>
  <si>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</si>
  <si>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</si>
  <si>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</si>
  <si>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</si>
  <si>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</si>
  <si>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</si>
  <si>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</si>
  <si>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</si>
  <si>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</si>
  <si>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</si>
  <si>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</si>
  <si>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</si>
  <si>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</si>
  <si>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</si>
  <si>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</si>
  <si>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</si>
  <si>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</si>
  <si>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</si>
  <si>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</si>
  <si>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</si>
  <si>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</si>
  <si>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</si>
  <si>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</si>
  <si>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</si>
  <si>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</si>
  <si>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</si>
  <si>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</si>
  <si>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</si>
  <si>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</si>
  <si>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</si>
  <si>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</si>
  <si>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</si>
  <si>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</si>
  <si>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</si>
  <si>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</si>
  <si>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</si>
  <si>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</si>
  <si>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</si>
  <si>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</si>
  <si>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</si>
  <si>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</si>
  <si>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</si>
  <si>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</si>
  <si>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</si>
  <si>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</si>
  <si>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</si>
  <si>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</si>
  <si>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</si>
  <si>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</si>
  <si>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</si>
  <si>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</si>
  <si>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</si>
  <si>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</si>
  <si>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</si>
  <si>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</si>
  <si>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</si>
  <si>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</si>
  <si>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</si>
  <si>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</si>
  <si>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</si>
  <si>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</si>
  <si>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</si>
  <si>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</si>
  <si>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</si>
  <si>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</si>
  <si>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</si>
  <si>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</si>
  <si>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</si>
  <si>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</si>
  <si>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</si>
  <si>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</si>
  <si>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</si>
  <si>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</si>
  <si>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</si>
  <si>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</si>
  <si>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</si>
  <si>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</si>
  <si>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</si>
  <si>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</si>
  <si>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</si>
  <si>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</si>
  <si>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</si>
  <si>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</si>
  <si>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</si>
  <si>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</si>
  <si>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</si>
  <si>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</si>
  <si>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</si>
  <si>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</si>
  <si>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</si>
  <si>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</si>
  <si>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</si>
  <si>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</si>
  <si>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</si>
  <si>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</si>
  <si>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</si>
  <si>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</si>
  <si>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</si>
  <si>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</si>
  <si>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</si>
  <si>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</si>
  <si>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</si>
  <si>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</si>
  <si>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</si>
  <si>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</si>
  <si>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</si>
  <si>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</si>
  <si>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</si>
  <si>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</si>
  <si>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</si>
  <si>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</si>
  <si>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</si>
  <si>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</si>
  <si>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</si>
  <si>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</si>
  <si>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</si>
  <si>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</si>
  <si>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</si>
  <si>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</si>
  <si>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</si>
  <si>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</si>
  <si>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</si>
  <si>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</si>
  <si>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</si>
  <si>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</si>
  <si>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</si>
  <si>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</si>
  <si>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</si>
  <si>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</si>
  <si>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</si>
  <si>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</si>
  <si>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</si>
  <si>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</si>
  <si>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</si>
  <si>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</si>
  <si>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</si>
  <si>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</si>
  <si>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</si>
  <si>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</si>
  <si>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</si>
  <si>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</si>
  <si>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</si>
  <si>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</si>
  <si>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</si>
  <si>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</si>
  <si>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</si>
  <si>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</si>
  <si>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</si>
  <si>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</si>
  <si>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</si>
  <si>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</si>
  <si>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</si>
  <si>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</si>
  <si>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</si>
  <si>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</si>
  <si>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</si>
  <si>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</si>
  <si>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</si>
  <si>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</si>
  <si>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</si>
  <si>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</si>
  <si>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</si>
  <si>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</si>
  <si>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</si>
  <si>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</si>
  <si>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</si>
  <si>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</si>
  <si>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</si>
  <si>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</si>
  <si>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</si>
  <si>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</si>
  <si>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</si>
  <si>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</si>
  <si>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</si>
  <si>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</si>
  <si>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</si>
  <si>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</si>
  <si>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</si>
  <si>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</si>
  <si>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</si>
  <si>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</si>
  <si>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</si>
  <si>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</si>
  <si>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</si>
  <si>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</si>
  <si>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</si>
  <si>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</si>
  <si>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</si>
  <si>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</si>
  <si>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</si>
  <si>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</si>
  <si>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</si>
  <si>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</si>
  <si>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</si>
  <si>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</si>
  <si>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</si>
  <si>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</si>
  <si>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</si>
  <si>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</si>
  <si>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</si>
  <si>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</si>
  <si>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</si>
  <si>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</si>
  <si>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</si>
  <si>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</si>
  <si>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</si>
  <si>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</si>
  <si>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</si>
  <si>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</si>
  <si>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</si>
  <si>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</si>
  <si>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</si>
  <si>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</si>
  <si>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</si>
  <si>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</si>
  <si>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</si>
  <si>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</si>
  <si>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</si>
  <si>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</si>
  <si>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</si>
  <si>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</si>
  <si>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</si>
  <si>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</si>
  <si>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</si>
  <si>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</si>
  <si>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</si>
  <si>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</si>
  <si>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</si>
  <si>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</si>
  <si>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</si>
  <si>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</si>
  <si>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</si>
  <si>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</si>
  <si>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</si>
  <si>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</si>
  <si>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</si>
  <si>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</si>
  <si>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</si>
  <si>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</si>
  <si>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</si>
  <si>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</si>
  <si>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</si>
  <si>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</si>
  <si>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</si>
  <si>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</si>
  <si>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</si>
  <si>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</si>
  <si>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</si>
  <si>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</si>
  <si>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</si>
  <si>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</si>
  <si>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</si>
  <si>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</si>
  <si>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</si>
  <si>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</si>
  <si>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</si>
  <si>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</si>
  <si>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</si>
  <si>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</si>
  <si>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</si>
  <si>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</si>
  <si>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</si>
  <si>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</si>
  <si>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</si>
  <si>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</si>
  <si>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</si>
  <si>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</si>
  <si>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</si>
  <si>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</si>
  <si>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</si>
  <si>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</si>
  <si>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</si>
  <si>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</si>
  <si>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</si>
  <si>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</si>
  <si>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</si>
  <si>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</si>
  <si>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</si>
  <si>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</si>
  <si>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</si>
  <si>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</si>
  <si>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</si>
  <si>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</si>
  <si>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</si>
  <si>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</si>
  <si>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</si>
  <si>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</si>
  <si>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</si>
  <si>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</si>
  <si>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</si>
  <si>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</si>
  <si>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</si>
  <si>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</si>
  <si>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</si>
  <si>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</si>
  <si>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</si>
  <si>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</si>
  <si>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</si>
  <si>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</si>
  <si>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</si>
  <si>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</si>
  <si>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</si>
  <si>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</si>
  <si>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</si>
  <si>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</si>
  <si>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</si>
  <si>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</si>
  <si>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</si>
  <si>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</si>
  <si>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</si>
  <si>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</si>
  <si>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</si>
  <si>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</si>
  <si>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</si>
  <si>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</si>
  <si>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</si>
  <si>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</si>
  <si>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</si>
  <si>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</si>
  <si>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</si>
  <si>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</si>
  <si>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</si>
  <si>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</si>
  <si>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</si>
  <si>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</si>
  <si>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</si>
  <si>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</si>
  <si>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</si>
  <si>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</si>
  <si>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</si>
  <si>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</si>
  <si>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</si>
  <si>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</si>
  <si>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</si>
  <si>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</si>
  <si>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</si>
  <si>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</si>
  <si>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</si>
  <si>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</si>
  <si>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</si>
  <si>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</si>
  <si>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</si>
  <si>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</si>
  <si>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</si>
  <si>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</si>
  <si>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</si>
  <si>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</si>
  <si>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</si>
  <si>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</si>
  <si>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</si>
  <si>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</si>
  <si>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</si>
  <si>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</si>
  <si>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</si>
  <si>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</si>
  <si>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</si>
  <si>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</si>
  <si>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</si>
  <si>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</si>
  <si>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</si>
  <si>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</si>
  <si>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</si>
  <si>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</si>
  <si>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</si>
  <si>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</si>
  <si>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</si>
  <si>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</si>
  <si>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</si>
  <si>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</si>
  <si>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</si>
  <si>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</si>
  <si>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</si>
  <si>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</si>
  <si>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</si>
  <si>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</si>
  <si>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</si>
  <si>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</si>
  <si>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</si>
  <si>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</si>
  <si>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</si>
  <si>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</si>
  <si>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</si>
  <si>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</si>
  <si>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</si>
  <si>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</si>
  <si>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</si>
  <si>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</si>
  <si>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</si>
  <si>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</si>
  <si>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</si>
  <si>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</si>
  <si>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</si>
  <si>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</si>
  <si>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</si>
  <si>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</si>
  <si>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</si>
  <si>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</si>
  <si>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</si>
  <si>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</si>
  <si>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</si>
  <si>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</si>
  <si>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</si>
  <si>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</si>
  <si>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</si>
  <si>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</si>
  <si>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</si>
  <si>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</si>
  <si>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</si>
  <si>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</si>
  <si>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</si>
  <si>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</si>
  <si>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</si>
  <si>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</si>
  <si>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</si>
  <si>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</si>
  <si>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</si>
  <si>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</si>
  <si>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</si>
  <si>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</si>
  <si>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</si>
  <si>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</si>
  <si>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</si>
  <si>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</si>
  <si>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</si>
  <si>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</si>
  <si>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</si>
  <si>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</si>
  <si>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</si>
  <si>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</si>
  <si>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</si>
  <si>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</si>
  <si>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</si>
  <si>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</si>
  <si>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</si>
  <si>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</si>
  <si>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</si>
  <si>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</si>
  <si>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</si>
  <si>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</si>
  <si>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</si>
  <si>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</si>
  <si>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</si>
  <si>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</si>
  <si>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</si>
  <si>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</si>
  <si>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</si>
  <si>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</si>
  <si>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</si>
  <si>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</si>
  <si>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</si>
  <si>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</si>
  <si>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</si>
  <si>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</si>
  <si>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</si>
  <si>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</si>
  <si>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</si>
  <si>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</si>
  <si>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</si>
  <si>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</si>
  <si>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</si>
  <si>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</si>
  <si>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</si>
  <si>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</si>
  <si>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</si>
  <si>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</si>
  <si>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</si>
  <si>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</si>
  <si>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</si>
  <si>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</si>
  <si>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</si>
  <si>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</si>
  <si>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</si>
  <si>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</si>
  <si>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</si>
  <si>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</si>
  <si>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</si>
  <si>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</si>
  <si>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</si>
  <si>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</si>
  <si>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</si>
  <si>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</si>
  <si>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</si>
  <si>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</si>
  <si>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</si>
  <si>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</si>
  <si>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</si>
  <si>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</si>
  <si>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</si>
  <si>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</si>
  <si>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</si>
  <si>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</si>
  <si>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</si>
  <si>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</si>
  <si>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</si>
  <si>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</si>
  <si>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</si>
  <si>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</si>
  <si>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</si>
  <si>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</si>
  <si>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</si>
  <si>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</si>
  <si>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</si>
  <si>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</si>
  <si>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</si>
  <si>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</si>
  <si>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</si>
  <si>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</si>
  <si>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</si>
  <si>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</si>
  <si>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</si>
  <si>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</si>
  <si>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</si>
  <si>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</si>
  <si>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</si>
  <si>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</si>
  <si>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</si>
  <si>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</si>
  <si>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</si>
  <si>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</si>
  <si>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</si>
  <si>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</si>
  <si>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</si>
  <si>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</si>
  <si>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</si>
  <si>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</si>
  <si>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</si>
  <si>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</si>
  <si>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</si>
  <si>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</si>
  <si>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</si>
  <si>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</si>
  <si>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</si>
  <si>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</si>
  <si>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</si>
  <si>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</si>
  <si>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</si>
  <si>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</si>
  <si>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</si>
  <si>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</si>
  <si>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</si>
  <si>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</si>
  <si>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</si>
  <si>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</si>
  <si>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</si>
  <si>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</si>
  <si>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</si>
  <si>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</si>
  <si>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</si>
  <si>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</si>
  <si>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</si>
  <si>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</si>
  <si>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</si>
  <si>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</si>
  <si>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</si>
  <si>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</si>
  <si>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</si>
  <si>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</si>
  <si>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</si>
  <si>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</si>
  <si>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</si>
  <si>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</si>
  <si>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</si>
  <si>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</si>
  <si>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</si>
  <si>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</si>
  <si>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</si>
  <si>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</si>
  <si>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</si>
  <si>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</si>
  <si>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</si>
  <si>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</si>
  <si>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</si>
  <si>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</si>
  <si>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</si>
  <si>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</si>
  <si>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</si>
  <si>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</si>
  <si>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</si>
  <si>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</si>
  <si>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</si>
  <si>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</si>
  <si>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</si>
  <si>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</si>
  <si>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</si>
  <si>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</si>
  <si>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</si>
  <si>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</si>
  <si>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</si>
  <si>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</si>
  <si>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</si>
  <si>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</si>
  <si>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</si>
  <si>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</si>
  <si>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</si>
  <si>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</si>
  <si>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</si>
  <si>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</si>
  <si>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</si>
  <si>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</si>
  <si>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</si>
  <si>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</si>
  <si>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</si>
  <si>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</si>
  <si>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</si>
  <si>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</si>
  <si>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</si>
  <si>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</si>
  <si>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</si>
  <si>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</si>
  <si>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</si>
  <si>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</si>
  <si>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</si>
  <si>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</si>
  <si>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</si>
  <si>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</si>
  <si>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</si>
  <si>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</si>
  <si>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</si>
  <si>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</si>
  <si>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</si>
  <si>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</si>
  <si>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</si>
  <si>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</si>
  <si>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</si>
  <si>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</si>
  <si>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</si>
  <si>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</si>
  <si>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</si>
  <si>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</si>
  <si>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</si>
  <si>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</si>
  <si>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</si>
  <si>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</si>
  <si>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</si>
  <si>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</si>
  <si>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</si>
  <si>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</si>
  <si>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</si>
  <si>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</si>
  <si>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</si>
  <si>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</si>
  <si>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</si>
  <si>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</si>
  <si>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</si>
  <si>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</si>
  <si>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</si>
  <si>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</si>
  <si>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</si>
  <si>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</si>
  <si>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</si>
  <si>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</si>
  <si>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</si>
  <si>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</si>
  <si>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</si>
  <si>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</si>
  <si>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</si>
  <si>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</si>
  <si>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</si>
  <si>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</si>
  <si>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</si>
  <si>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</si>
  <si>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</si>
  <si>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</si>
  <si>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</si>
  <si>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</si>
  <si>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</si>
  <si>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</si>
  <si>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</si>
  <si>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</si>
  <si>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</si>
  <si>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</si>
  <si>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</si>
  <si>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</si>
  <si>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</si>
  <si>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</si>
  <si>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</si>
  <si>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</si>
  <si>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</si>
  <si>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</si>
  <si>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</si>
  <si>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</si>
  <si>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</si>
  <si>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</si>
  <si>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</si>
  <si>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</si>
  <si>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</si>
  <si>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</si>
  <si>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</si>
  <si>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</si>
  <si>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</si>
  <si>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</si>
  <si>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</si>
  <si>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</si>
  <si>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</si>
  <si>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</si>
  <si>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</si>
  <si>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</si>
  <si>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</si>
  <si>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</si>
  <si>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</si>
  <si>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</si>
  <si>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</si>
  <si>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</si>
  <si>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</si>
  <si>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</si>
  <si>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</si>
  <si>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</si>
  <si>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</si>
  <si>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</si>
  <si>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</si>
  <si>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</si>
  <si>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</si>
  <si>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</si>
  <si>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</si>
  <si>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</si>
  <si>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</si>
  <si>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</si>
  <si>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</si>
  <si>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</si>
  <si>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</si>
  <si>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</si>
  <si>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</si>
  <si>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</si>
  <si>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</si>
  <si>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</si>
  <si>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</si>
  <si>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</si>
  <si>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</si>
  <si>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</si>
  <si>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</si>
  <si>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</si>
  <si>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</si>
  <si>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</si>
  <si>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</si>
  <si>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</si>
  <si>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</si>
  <si>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</si>
  <si>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</si>
  <si>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</si>
  <si>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</si>
  <si>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</si>
  <si>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</si>
  <si>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</si>
  <si>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</si>
  <si>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</si>
  <si>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</si>
  <si>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</si>
  <si>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</si>
  <si>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</si>
  <si>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</si>
  <si>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</si>
  <si>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</si>
  <si>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</si>
  <si>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</si>
  <si>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</si>
  <si>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</si>
  <si>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</si>
  <si>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</si>
  <si>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</si>
  <si>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</si>
  <si>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</si>
  <si>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</si>
  <si>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</si>
  <si>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</si>
  <si>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</si>
  <si>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</si>
  <si>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</si>
  <si>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</si>
  <si>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</si>
  <si>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</si>
  <si>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</si>
  <si>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</si>
  <si>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</si>
  <si>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</si>
  <si>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</si>
  <si>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</si>
  <si>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</si>
  <si>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</si>
  <si>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</si>
  <si>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</si>
  <si>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</si>
  <si>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</si>
  <si>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</si>
  <si>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</si>
  <si>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</si>
  <si>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</si>
  <si>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</si>
  <si>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</si>
  <si>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</si>
  <si>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</si>
  <si>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</si>
  <si>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</si>
  <si>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</si>
  <si>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</si>
  <si>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</si>
  <si>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</si>
  <si>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</si>
  <si>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</si>
  <si>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</si>
  <si>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</si>
  <si>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</si>
  <si>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</si>
  <si>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</si>
  <si>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</si>
  <si>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</si>
  <si>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</si>
  <si>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</si>
  <si>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</si>
  <si>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</si>
  <si>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</si>
  <si>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</si>
  <si>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</si>
  <si>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</si>
  <si>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</si>
  <si>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</si>
  <si>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</si>
  <si>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</si>
  <si>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</si>
  <si>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</si>
  <si>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</si>
  <si>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</si>
  <si>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</si>
  <si>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</si>
  <si>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</si>
  <si>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</si>
  <si>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</si>
  <si>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</si>
  <si>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</si>
  <si>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</si>
  <si>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</si>
  <si>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</si>
  <si>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</si>
  <si>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</si>
  <si>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</si>
  <si>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</si>
  <si>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</si>
  <si>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</si>
  <si>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</si>
  <si>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</si>
  <si>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</si>
  <si>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</si>
  <si>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</si>
  <si>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</si>
  <si>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</si>
  <si>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</si>
  <si>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</si>
  <si>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</si>
  <si>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</si>
  <si>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</si>
  <si>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</si>
  <si>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</si>
  <si>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</si>
  <si>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</si>
  <si>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</si>
  <si>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</si>
  <si>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</si>
  <si>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</si>
  <si>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</si>
  <si>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</si>
  <si>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</si>
  <si>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</si>
  <si>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</si>
  <si>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</si>
  <si>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</si>
  <si>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</si>
  <si>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</si>
  <si>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</si>
  <si>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</si>
  <si>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</si>
  <si>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</si>
  <si>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</si>
  <si>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</si>
  <si>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</si>
  <si>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</si>
  <si>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</si>
  <si>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</si>
  <si>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</si>
  <si>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</si>
  <si>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</si>
  <si>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</si>
  <si>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</si>
  <si>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</si>
  <si>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</si>
  <si>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</si>
  <si>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</si>
  <si>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</si>
  <si>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</si>
  <si>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</si>
  <si>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</si>
  <si>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</si>
  <si>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</si>
  <si>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</si>
  <si>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</si>
  <si>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</si>
  <si>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</si>
  <si>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</si>
  <si>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</si>
  <si>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</si>
  <si>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</si>
  <si>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</si>
  <si>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</si>
  <si>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</si>
  <si>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</si>
  <si>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</si>
  <si>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</si>
  <si>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</si>
  <si>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</si>
  <si>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</si>
  <si>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</si>
  <si>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</si>
  <si>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</si>
  <si>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</si>
  <si>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</si>
  <si>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</si>
  <si>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</si>
  <si>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</si>
  <si>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</si>
  <si>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</si>
  <si>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</si>
  <si>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</si>
  <si>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</si>
  <si>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</si>
  <si>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</si>
  <si>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</si>
  <si>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</si>
  <si>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</si>
  <si>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</si>
  <si>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</si>
  <si>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</si>
  <si>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</si>
  <si>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</si>
  <si>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</si>
  <si>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</si>
  <si>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</si>
  <si>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</si>
  <si>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</si>
  <si>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</si>
  <si>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</si>
  <si>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</si>
  <si>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</si>
  <si>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</si>
  <si>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</si>
  <si>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</si>
  <si>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</si>
  <si>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</si>
  <si>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</si>
  <si>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</si>
  <si>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</si>
  <si>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</si>
  <si>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</si>
  <si>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</si>
  <si>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</si>
  <si>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</si>
  <si>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</si>
  <si>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</si>
  <si>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</si>
  <si>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</si>
  <si>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</si>
  <si>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</si>
  <si>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</si>
  <si>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</si>
  <si>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</si>
  <si>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</si>
  <si>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</si>
  <si>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</si>
  <si>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</si>
  <si>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</si>
  <si>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</si>
  <si>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</si>
  <si>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</si>
  <si>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</si>
  <si>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</si>
  <si>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</si>
  <si>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</si>
  <si>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</si>
  <si>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</si>
  <si>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</si>
  <si>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</si>
  <si>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</si>
  <si>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</si>
  <si>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</si>
  <si>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</si>
  <si>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</si>
  <si>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</si>
  <si>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</si>
  <si>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</si>
  <si>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</si>
  <si>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</si>
  <si>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</si>
  <si>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</si>
  <si>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</si>
  <si>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</si>
  <si>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</si>
  <si>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</si>
  <si>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</si>
  <si>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</si>
  <si>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</si>
  <si>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</si>
  <si>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</si>
  <si>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</si>
  <si>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</si>
  <si>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</si>
  <si>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</si>
  <si>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</si>
  <si>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</si>
  <si>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</si>
  <si>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</si>
  <si>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</si>
  <si>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</si>
  <si>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</si>
  <si>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</si>
  <si>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</si>
  <si>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</si>
  <si>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</si>
  <si>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</si>
  <si>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</si>
  <si>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</si>
  <si>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</si>
  <si>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</si>
  <si>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</si>
  <si>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</si>
  <si>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</si>
  <si>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</si>
  <si>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</si>
  <si>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</si>
  <si>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</si>
  <si>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</si>
  <si>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</si>
  <si>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</si>
  <si>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</si>
  <si>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</si>
  <si>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</si>
  <si>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</si>
  <si>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</si>
  <si>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</si>
  <si>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</si>
  <si>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</si>
  <si>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</si>
  <si>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</si>
  <si>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</si>
  <si>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</si>
  <si>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</si>
  <si>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</si>
  <si>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</si>
  <si>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</si>
  <si>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</si>
  <si>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</si>
  <si>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</si>
  <si>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</si>
  <si>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</si>
  <si>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</si>
  <si>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</si>
  <si>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</si>
  <si>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</si>
  <si>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</si>
  <si>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</si>
  <si>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</si>
  <si>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</si>
  <si>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</si>
  <si>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</si>
  <si>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</si>
  <si>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</si>
  <si>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</si>
  <si>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</si>
  <si>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</si>
  <si>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</si>
  <si>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</si>
  <si>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</si>
  <si>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</si>
  <si>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</si>
  <si>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</si>
  <si>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</si>
  <si>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</si>
  <si>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</si>
  <si>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</si>
  <si>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</si>
  <si>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</si>
  <si>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</si>
  <si>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</si>
  <si>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</si>
  <si>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</si>
  <si>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</si>
  <si>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</si>
  <si>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</si>
  <si>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</si>
  <si>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</si>
  <si>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</si>
  <si>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</si>
  <si>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</si>
  <si>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</si>
  <si>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</si>
  <si>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</si>
  <si>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</si>
  <si>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</si>
  <si>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</si>
  <si>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</si>
  <si>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</si>
  <si>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</si>
  <si>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</si>
  <si>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</si>
  <si>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</si>
  <si>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</si>
  <si>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</si>
  <si>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</si>
  <si>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</si>
  <si>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</si>
  <si>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</si>
  <si>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</si>
  <si>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</si>
  <si>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</si>
  <si>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</si>
  <si>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</si>
  <si>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</si>
  <si>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</si>
  <si>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</si>
  <si>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</si>
  <si>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</si>
  <si>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</si>
  <si>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</si>
  <si>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</si>
  <si>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</si>
  <si>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</si>
  <si>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</si>
  <si>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</si>
  <si>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</si>
  <si>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</si>
  <si>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</si>
  <si>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</si>
  <si>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</si>
  <si>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</si>
  <si>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</si>
  <si>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</si>
  <si>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</si>
  <si>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</si>
  <si>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</si>
  <si>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</si>
  <si>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</si>
  <si>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</si>
  <si>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</si>
  <si>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</si>
  <si>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</si>
  <si>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</si>
  <si>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</si>
  <si>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</si>
  <si>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</si>
  <si>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</si>
  <si>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</si>
  <si>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</si>
  <si>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</si>
  <si>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</si>
  <si>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</si>
  <si>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</si>
  <si>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</si>
  <si>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</si>
  <si>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</si>
  <si>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</si>
  <si>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</si>
  <si>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</si>
  <si>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</si>
  <si>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</si>
  <si>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</si>
  <si>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</si>
  <si>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</si>
  <si>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</si>
  <si>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</si>
  <si>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</si>
  <si>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</si>
  <si>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</si>
  <si>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</si>
  <si>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</si>
  <si>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</si>
  <si>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</si>
  <si>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</si>
  <si>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</si>
  <si>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</si>
  <si>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</si>
  <si>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</si>
  <si>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</si>
  <si>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</si>
  <si>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</si>
  <si>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</si>
  <si>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</si>
  <si>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</si>
  <si>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</si>
  <si>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</si>
  <si>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</si>
  <si>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</si>
  <si>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</si>
  <si>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</si>
  <si>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</si>
  <si>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</si>
  <si>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</si>
  <si>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</si>
  <si>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</si>
  <si>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</si>
  <si>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</si>
  <si>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</si>
  <si>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</si>
  <si>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</si>
  <si>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</si>
  <si>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</si>
  <si>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</si>
  <si>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</si>
  <si>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</si>
  <si>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</si>
  <si>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</si>
  <si>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</si>
  <si>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</si>
  <si>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</si>
  <si>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</si>
  <si>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</si>
  <si>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</si>
  <si>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</si>
  <si>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</si>
  <si>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</si>
  <si>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</si>
  <si>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</si>
  <si>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</si>
  <si>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</si>
  <si>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</si>
  <si>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</si>
  <si>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</si>
  <si>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</si>
  <si>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</si>
  <si>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</si>
  <si>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</si>
  <si>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</si>
  <si>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</si>
  <si>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</si>
  <si>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</si>
  <si>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</si>
  <si>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</si>
  <si>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</si>
  <si>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</si>
  <si>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</si>
  <si>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</si>
  <si>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</si>
  <si>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</si>
  <si>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</si>
  <si>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</si>
  <si>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</si>
  <si>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</si>
  <si>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</si>
  <si>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</si>
  <si>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</si>
  <si>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</si>
  <si>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</si>
  <si>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</si>
  <si>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</si>
  <si>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</si>
  <si>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</si>
  <si>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</si>
  <si>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</si>
  <si>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</si>
  <si>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</si>
  <si>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</si>
  <si>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</si>
  <si>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</si>
  <si>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</si>
  <si>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</si>
  <si>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</si>
  <si>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</si>
  <si>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</si>
  <si>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</si>
  <si>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</si>
  <si>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</si>
  <si>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</si>
  <si>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</si>
  <si>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</si>
  <si>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</si>
  <si>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</si>
  <si>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</si>
  <si>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</si>
  <si>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</si>
  <si>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</si>
  <si>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</si>
  <si>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</si>
  <si>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</si>
  <si>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</si>
  <si>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</si>
  <si>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</si>
  <si>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</si>
  <si>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</si>
  <si>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</si>
  <si>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</si>
  <si>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</si>
  <si>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</si>
  <si>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</si>
  <si>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</si>
  <si>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</si>
  <si>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</si>
  <si>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</si>
  <si>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</si>
  <si>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</si>
  <si>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</si>
  <si>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</si>
  <si>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</si>
  <si>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</si>
  <si>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</si>
  <si>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</si>
  <si>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</si>
  <si>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</si>
  <si>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</si>
  <si>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</si>
  <si>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</si>
  <si>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</si>
  <si>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</si>
  <si>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</si>
  <si>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</si>
  <si>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</si>
  <si>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</si>
  <si>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</si>
  <si>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</si>
  <si>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</si>
  <si>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</si>
  <si>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</si>
  <si>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</si>
  <si>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</si>
  <si>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</si>
  <si>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</si>
  <si>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</si>
  <si>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</si>
  <si>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</si>
  <si>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</si>
  <si>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</si>
  <si>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</si>
  <si>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</si>
  <si>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</si>
  <si>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</si>
  <si>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</si>
  <si>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</si>
  <si>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</si>
  <si>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</si>
  <si>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</si>
  <si>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</si>
  <si>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</si>
  <si>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</si>
  <si>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</si>
  <si>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</si>
  <si>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</si>
  <si>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</si>
  <si>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</si>
  <si>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</si>
  <si>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</si>
  <si>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</si>
  <si>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</si>
  <si>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</si>
  <si>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</si>
  <si>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</si>
  <si>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</si>
  <si>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</si>
  <si>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</si>
  <si>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</si>
  <si>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</si>
  <si>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</si>
  <si>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</si>
  <si>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</si>
  <si>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</si>
  <si>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</si>
  <si>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</si>
  <si>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</si>
  <si>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</si>
  <si>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</si>
  <si>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</si>
  <si>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</si>
  <si>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</si>
  <si>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</si>
  <si>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</si>
  <si>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</si>
  <si>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</si>
  <si>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</si>
  <si>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</si>
  <si>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</si>
  <si>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</si>
  <si>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</si>
  <si>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</si>
  <si>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</si>
  <si>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</si>
  <si>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</si>
  <si>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</si>
  <si>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</si>
  <si>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</si>
  <si>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</si>
  <si>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</si>
  <si>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</si>
  <si>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</si>
  <si>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</si>
  <si>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</si>
  <si>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</si>
  <si>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</si>
  <si>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</si>
  <si>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</si>
  <si>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</si>
  <si>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</si>
  <si>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</si>
  <si>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</si>
  <si>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</si>
  <si>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</si>
  <si>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</si>
  <si>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</si>
  <si>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</si>
  <si>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</si>
  <si>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</si>
  <si>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</si>
  <si>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</si>
  <si>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</si>
  <si>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</si>
  <si>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</si>
  <si>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</si>
  <si>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</si>
  <si>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</si>
  <si>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</si>
  <si>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</si>
  <si>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</si>
  <si>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</si>
  <si>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</si>
  <si>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</si>
  <si>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</si>
  <si>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</si>
  <si>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</si>
  <si>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</si>
  <si>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</si>
  <si>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</si>
  <si>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</si>
  <si>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</si>
  <si>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</si>
  <si>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</si>
  <si>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</si>
  <si>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</si>
  <si>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</si>
  <si>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</si>
  <si>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</si>
  <si>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</si>
  <si>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</si>
  <si>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</si>
  <si>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</si>
  <si>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</si>
  <si>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</si>
  <si>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</si>
  <si>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</si>
  <si>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</si>
  <si>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</si>
  <si>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</si>
  <si>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</si>
  <si>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</si>
  <si>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</si>
  <si>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</si>
  <si>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</si>
  <si>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</si>
  <si>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</si>
  <si>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</si>
  <si>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</si>
  <si>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</si>
  <si>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</si>
  <si>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</si>
  <si>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</si>
  <si>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</si>
  <si>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</si>
  <si>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</si>
  <si>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</si>
  <si>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</si>
  <si>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</si>
  <si>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</si>
  <si>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</si>
  <si>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</si>
  <si>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</si>
  <si>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</si>
  <si>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</si>
  <si>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</si>
  <si>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</si>
  <si>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</si>
  <si>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</si>
  <si>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</si>
  <si>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</si>
  <si>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</si>
  <si>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</si>
  <si>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</si>
  <si>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</si>
  <si>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</si>
  <si>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</si>
  <si>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</si>
  <si>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</si>
  <si>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</si>
  <si>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</si>
  <si>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</si>
  <si>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</si>
  <si>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</si>
  <si>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</si>
  <si>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</si>
  <si>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</si>
  <si>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</si>
  <si>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</si>
  <si>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</si>
  <si>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</si>
  <si>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</si>
  <si>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</si>
  <si>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</si>
  <si>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</si>
  <si>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</si>
  <si>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</si>
  <si>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</si>
  <si>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</si>
  <si>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</si>
  <si>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</si>
  <si>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</si>
  <si>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</si>
  <si>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</si>
  <si>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</si>
  <si>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</si>
  <si>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</si>
  <si>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</si>
  <si>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</si>
  <si>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</si>
  <si>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</si>
  <si>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</si>
  <si>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</si>
  <si>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</si>
  <si>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</si>
  <si>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</si>
  <si>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</si>
  <si>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</si>
  <si>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</si>
  <si>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</si>
  <si>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</si>
  <si>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</si>
  <si>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</si>
  <si>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</si>
  <si>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</si>
  <si>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</si>
  <si>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</si>
  <si>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</si>
  <si>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</si>
  <si>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</si>
  <si>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</si>
  <si>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</si>
  <si>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</si>
  <si>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</si>
  <si>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</si>
  <si>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</si>
  <si>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</si>
  <si>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</si>
  <si>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</si>
  <si>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</si>
  <si>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</si>
  <si>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</si>
  <si>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</si>
  <si>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</si>
  <si>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</si>
  <si>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</si>
  <si>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</si>
  <si>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</si>
  <si>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</si>
  <si>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</si>
  <si>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</si>
  <si>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</si>
  <si>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</si>
  <si>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</si>
  <si>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</si>
  <si>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</si>
  <si>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</si>
  <si>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</si>
  <si>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</si>
  <si>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</si>
  <si>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</si>
  <si>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</si>
  <si>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</si>
  <si>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</si>
  <si>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</si>
  <si>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</si>
  <si>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</si>
  <si>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</si>
  <si>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</si>
  <si>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</si>
  <si>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</si>
  <si>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</si>
  <si>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</si>
  <si>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</si>
  <si>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</si>
  <si>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</si>
  <si>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</si>
  <si>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</si>
  <si>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</si>
  <si>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</si>
  <si>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</si>
  <si>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</si>
  <si>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</si>
  <si>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</si>
  <si>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</si>
  <si>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</si>
  <si>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</si>
  <si>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</si>
  <si>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</si>
  <si>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</si>
  <si>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</si>
  <si>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</si>
  <si>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</si>
  <si>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</si>
  <si>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</si>
  <si>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</si>
  <si>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</si>
  <si>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</si>
  <si>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</si>
  <si>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</si>
  <si>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</si>
  <si>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</si>
  <si>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</si>
  <si>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</si>
  <si>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</si>
  <si>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</si>
  <si>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</si>
  <si>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</si>
  <si>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</si>
  <si>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</si>
  <si>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</si>
  <si>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</si>
  <si>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</si>
  <si>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</si>
  <si>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</si>
  <si>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</si>
  <si>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</si>
  <si>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</si>
  <si>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</si>
  <si>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</si>
  <si>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</si>
  <si>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</si>
  <si>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</si>
  <si>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</si>
  <si>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</si>
  <si>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</si>
  <si>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</si>
  <si>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</si>
  <si>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</si>
  <si>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</si>
  <si>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</si>
  <si>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</si>
  <si>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</si>
  <si>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</si>
  <si>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</si>
  <si>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</si>
  <si>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</si>
  <si>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</si>
  <si>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</si>
  <si>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</si>
  <si>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</si>
  <si>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</si>
  <si>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</si>
  <si>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</si>
  <si>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</si>
  <si>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</si>
  <si>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</si>
  <si>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</si>
  <si>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</si>
  <si>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</si>
  <si>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</si>
  <si>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</si>
  <si>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</si>
  <si>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</si>
  <si>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</si>
  <si>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</si>
  <si>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</si>
  <si>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</si>
  <si>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</si>
  <si>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</si>
  <si>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</si>
  <si>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</si>
  <si>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</si>
  <si>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</si>
  <si>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</si>
  <si>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</si>
  <si>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</si>
  <si>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</si>
  <si>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</si>
  <si>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</si>
  <si>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</si>
  <si>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</si>
  <si>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</si>
  <si>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</si>
  <si>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</si>
  <si>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</si>
  <si>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</si>
  <si>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</si>
  <si>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</si>
  <si>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</si>
  <si>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</si>
  <si>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</si>
  <si>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</si>
  <si>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</si>
  <si>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</si>
  <si>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</si>
  <si>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</si>
  <si>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</si>
  <si>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</si>
  <si>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</si>
  <si>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</si>
  <si>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</si>
  <si>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</si>
  <si>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</si>
  <si>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</si>
  <si>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</si>
  <si>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</si>
  <si>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</si>
  <si>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</si>
  <si>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</si>
  <si>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</si>
  <si>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</si>
  <si>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</si>
  <si>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</si>
  <si>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</si>
  <si>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</si>
  <si>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</si>
  <si>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</si>
  <si>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</si>
  <si>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</si>
  <si>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</si>
  <si>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</si>
  <si>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</si>
  <si>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</si>
  <si>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</si>
  <si>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</si>
  <si>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</si>
  <si>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</si>
  <si>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</si>
  <si>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</si>
  <si>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</si>
  <si>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</si>
  <si>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</si>
  <si>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</si>
  <si>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</si>
  <si>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</si>
  <si>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</si>
  <si>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</si>
  <si>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</si>
  <si>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</si>
  <si>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</si>
  <si>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</si>
  <si>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</si>
  <si>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</si>
  <si>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</si>
  <si>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</si>
  <si>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</si>
  <si>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</si>
  <si>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</si>
  <si>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</si>
  <si>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</si>
  <si>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</si>
  <si>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</si>
  <si>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</si>
  <si>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</si>
  <si>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</si>
  <si>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</si>
  <si>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</si>
  <si>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</si>
  <si>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</si>
  <si>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</si>
  <si>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</si>
  <si>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</si>
  <si>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</si>
  <si>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</si>
  <si>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</si>
  <si>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</si>
  <si>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</si>
  <si>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</si>
  <si>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</si>
  <si>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</si>
  <si>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</si>
  <si>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</si>
  <si>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</si>
  <si>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</si>
  <si>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</si>
  <si>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</si>
  <si>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</si>
  <si>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</si>
  <si>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</si>
  <si>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</si>
  <si>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</si>
  <si>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</si>
  <si>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</si>
  <si>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</si>
  <si>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</si>
  <si>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</si>
  <si>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</si>
  <si>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</si>
  <si>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</si>
  <si>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</si>
  <si>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</si>
  <si>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</si>
  <si>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</si>
  <si>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</si>
  <si>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</si>
  <si>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</si>
  <si>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</si>
  <si>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</si>
  <si>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</si>
  <si>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</si>
  <si>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</si>
  <si>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</si>
  <si>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</si>
  <si>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</si>
  <si>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</si>
  <si>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</si>
  <si>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</si>
  <si>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</si>
  <si>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</si>
  <si>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</si>
  <si>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</si>
  <si>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</si>
  <si>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</si>
  <si>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</si>
  <si>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</si>
  <si>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</si>
  <si>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</si>
  <si>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</si>
  <si>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</si>
  <si>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</si>
  <si>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</si>
  <si>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</si>
  <si>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</si>
  <si>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</si>
  <si>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</si>
  <si>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</si>
  <si>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</si>
  <si>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</si>
  <si>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</si>
  <si>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</si>
  <si>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</si>
  <si>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</si>
  <si>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</si>
  <si>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</si>
  <si>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</si>
  <si>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</si>
  <si>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</si>
  <si>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</si>
  <si>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</si>
  <si>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</si>
  <si>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</si>
  <si>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</si>
  <si>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</si>
  <si>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</si>
  <si>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</si>
  <si>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</si>
  <si>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</si>
  <si>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</si>
  <si>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</si>
  <si>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</si>
  <si>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</si>
  <si>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</si>
  <si>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</si>
  <si>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</si>
  <si>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</si>
  <si>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</si>
  <si>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</si>
  <si>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</si>
  <si>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</si>
  <si>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</si>
  <si>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</si>
  <si>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</si>
  <si>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</si>
  <si>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</si>
  <si>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</si>
  <si>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</si>
  <si>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</si>
  <si>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</si>
  <si>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</si>
  <si>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</si>
  <si>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</si>
  <si>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</si>
  <si>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</si>
  <si>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</si>
  <si>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</si>
  <si>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</si>
  <si>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</si>
  <si>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</si>
  <si>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</si>
  <si>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</si>
  <si>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</si>
  <si>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</si>
  <si>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</si>
  <si>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</si>
  <si>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</si>
  <si>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</si>
  <si>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</si>
  <si>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</si>
  <si>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</si>
  <si>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</si>
  <si>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</si>
  <si>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</si>
  <si>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</si>
  <si>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</si>
  <si>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</si>
  <si>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</si>
  <si>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</si>
  <si>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</si>
  <si>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</si>
  <si>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</si>
  <si>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</si>
  <si>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</si>
  <si>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</si>
  <si>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</si>
  <si>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</si>
  <si>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</si>
  <si>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</si>
  <si>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</si>
  <si>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</si>
  <si>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</si>
  <si>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</si>
  <si>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</si>
  <si>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</si>
  <si>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</si>
  <si>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</si>
  <si>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</si>
  <si>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</si>
  <si>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</si>
  <si>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</si>
  <si>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</si>
  <si>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</si>
  <si>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</si>
  <si>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</si>
  <si>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</si>
  <si>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</si>
  <si>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</si>
  <si>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</si>
  <si>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</si>
  <si>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</si>
  <si>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</si>
  <si>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</si>
  <si>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</si>
  <si>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</si>
  <si>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</si>
  <si>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</si>
  <si>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</si>
  <si>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</si>
  <si>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</si>
  <si>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</si>
  <si>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</si>
  <si>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</si>
  <si>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</si>
  <si>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</si>
  <si>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</si>
  <si>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</si>
  <si>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</si>
  <si>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</si>
  <si>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</si>
  <si>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</si>
  <si>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</si>
  <si>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</si>
  <si>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</si>
  <si>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</si>
  <si>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</si>
  <si>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</si>
  <si>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</si>
  <si>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</si>
  <si>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</si>
  <si>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</si>
  <si>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</si>
  <si>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</si>
  <si>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</si>
  <si>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</si>
  <si>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</si>
  <si>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</si>
  <si>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</si>
  <si>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</si>
  <si>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</si>
  <si>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</si>
  <si>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</si>
  <si>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</si>
  <si>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</si>
  <si>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</si>
  <si>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</si>
  <si>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</si>
  <si>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</si>
  <si>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</si>
  <si>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</si>
  <si>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</si>
  <si>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</si>
  <si>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</si>
  <si>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</si>
  <si>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</si>
  <si>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</si>
  <si>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</si>
  <si>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</si>
  <si>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</si>
  <si>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</si>
  <si>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</si>
  <si>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</si>
  <si>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</si>
  <si>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</si>
  <si>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</si>
  <si>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</si>
  <si>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</si>
  <si>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</si>
  <si>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</si>
  <si>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</si>
  <si>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</si>
  <si>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</si>
  <si>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</si>
  <si>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</si>
  <si>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</si>
  <si>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</si>
  <si>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</si>
  <si>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</si>
  <si>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</si>
  <si>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</si>
  <si>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</si>
  <si>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</si>
  <si>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</si>
  <si>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</si>
  <si>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</si>
  <si>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</si>
  <si>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</si>
  <si>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</si>
  <si>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</si>
  <si>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</si>
  <si>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</si>
  <si>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</si>
  <si>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</si>
  <si>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</si>
  <si>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</si>
  <si>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</si>
  <si>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</si>
  <si>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</si>
  <si>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</si>
  <si>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</si>
  <si>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</si>
  <si>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</si>
  <si>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</si>
  <si>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</si>
  <si>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</si>
  <si>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</si>
  <si>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</si>
  <si>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</si>
  <si>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</si>
  <si>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</si>
  <si>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</si>
  <si>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</si>
  <si>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</si>
  <si>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</si>
  <si>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</si>
  <si>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</si>
  <si>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</si>
  <si>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</si>
  <si>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</si>
  <si>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</si>
  <si>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</si>
  <si>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</si>
  <si>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</si>
  <si>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</si>
  <si>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</si>
  <si>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</si>
  <si>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</si>
  <si>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</si>
  <si>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</si>
  <si>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</si>
  <si>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</si>
  <si>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</si>
  <si>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</si>
  <si>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</si>
  <si>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</si>
  <si>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</si>
  <si>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</si>
  <si>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</si>
  <si>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</si>
  <si>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</si>
  <si>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</si>
  <si>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</si>
  <si>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</si>
  <si>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</si>
  <si>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</si>
  <si>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</si>
  <si>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</si>
  <si>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</si>
  <si>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</si>
  <si>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</si>
  <si>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</si>
  <si>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</si>
  <si>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</si>
  <si>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</si>
  <si>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</si>
  <si>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</si>
  <si>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</si>
  <si>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</si>
  <si>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</si>
  <si>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</si>
  <si>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</si>
  <si>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</si>
  <si>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</si>
  <si>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</si>
  <si>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</si>
  <si>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</si>
  <si>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</si>
  <si>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</si>
  <si>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</si>
  <si>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</si>
  <si>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</si>
  <si>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</si>
  <si>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</si>
  <si>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</si>
  <si>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</si>
  <si>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</si>
  <si>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</si>
  <si>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</si>
  <si>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</si>
  <si>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</si>
  <si>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</si>
  <si>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</si>
  <si>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</si>
  <si>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</si>
  <si>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</si>
  <si>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</si>
  <si>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</si>
  <si>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</si>
  <si>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</si>
  <si>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</si>
  <si>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</si>
  <si>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</si>
  <si>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</si>
  <si>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</si>
  <si>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</si>
  <si>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</si>
  <si>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</si>
  <si>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</si>
  <si>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</si>
  <si>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</si>
  <si>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</si>
  <si>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</si>
  <si>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</si>
  <si>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</si>
  <si>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</si>
  <si>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</si>
  <si>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</si>
  <si>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</si>
  <si>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</si>
  <si>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</si>
  <si>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</si>
  <si>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</si>
  <si>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</si>
  <si>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</si>
  <si>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</si>
  <si>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</si>
  <si>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</si>
  <si>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</si>
  <si>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</si>
  <si>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</si>
  <si>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</si>
  <si>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</si>
  <si>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</si>
  <si>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</si>
  <si>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</si>
  <si>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</si>
  <si>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</si>
  <si>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</si>
  <si>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</si>
  <si>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</si>
  <si>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</si>
  <si>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</si>
  <si>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</si>
  <si>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</si>
  <si>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</si>
  <si>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</si>
  <si>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</si>
  <si>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</si>
  <si>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</si>
  <si>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</si>
  <si>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</si>
  <si>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</si>
  <si>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</si>
  <si>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</si>
  <si>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</si>
  <si>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</si>
  <si>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</si>
  <si>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</si>
  <si>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</si>
  <si>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</si>
  <si>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</si>
  <si>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</si>
  <si>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</si>
  <si>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</si>
  <si>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</si>
  <si>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</si>
  <si>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</si>
  <si>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</si>
  <si>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</si>
  <si>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</si>
  <si>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</si>
  <si>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</si>
  <si>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</si>
  <si>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</si>
  <si>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</si>
  <si>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</si>
  <si>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</si>
  <si>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</si>
  <si>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</si>
  <si>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</si>
  <si>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</si>
  <si>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</si>
  <si>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</si>
  <si>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</si>
  <si>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</si>
  <si>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</si>
  <si>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</si>
  <si>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</si>
  <si>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</si>
  <si>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</si>
  <si>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</si>
  <si>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</si>
  <si>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</si>
  <si>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</si>
  <si>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</si>
  <si>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</si>
  <si>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</si>
  <si>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</si>
  <si>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</si>
  <si>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</si>
  <si>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</si>
  <si>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</si>
  <si>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</si>
  <si>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</si>
  <si>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</si>
  <si>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</si>
  <si>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</si>
  <si>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</si>
  <si>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</si>
  <si>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</si>
  <si>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</si>
  <si>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</si>
  <si>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</si>
  <si>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</si>
  <si>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</si>
  <si>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</si>
  <si>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</si>
  <si>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</si>
  <si>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</si>
  <si>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</si>
  <si>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</si>
  <si>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</si>
  <si>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</si>
  <si>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</si>
  <si>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</si>
  <si>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</si>
  <si>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</si>
  <si>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</si>
  <si>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</si>
  <si>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</si>
  <si>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</si>
  <si>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</si>
  <si>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</si>
  <si>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</si>
  <si>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</si>
  <si>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</si>
  <si>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</si>
  <si>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</si>
  <si>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</si>
  <si>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</si>
  <si>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</si>
  <si>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</si>
  <si>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</si>
  <si>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</si>
  <si>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</si>
  <si>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</si>
  <si>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</si>
  <si>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</si>
  <si>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</si>
  <si>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</si>
  <si>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</si>
  <si>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</si>
  <si>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</si>
  <si>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</si>
  <si>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</si>
  <si>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</si>
  <si>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</si>
  <si>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</si>
  <si>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</si>
  <si>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</si>
  <si>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</si>
  <si>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</si>
  <si>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</si>
  <si>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</si>
  <si>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</si>
  <si>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</si>
  <si>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</si>
  <si>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</si>
  <si>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</si>
  <si>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</si>
  <si>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</si>
  <si>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</si>
  <si>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</si>
  <si>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</si>
  <si>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</si>
  <si>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</si>
  <si>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</si>
  <si>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</si>
  <si>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</si>
  <si>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</si>
  <si>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</si>
  <si>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</si>
  <si>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</si>
  <si>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</si>
  <si>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</si>
  <si>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</si>
  <si>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</si>
  <si>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</si>
  <si>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</si>
  <si>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</si>
  <si>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</si>
  <si>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</si>
  <si>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</si>
  <si>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</si>
  <si>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</si>
  <si>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</si>
  <si>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</si>
  <si>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</si>
  <si>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</si>
  <si>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</si>
  <si>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</si>
  <si>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</si>
  <si>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</si>
  <si>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</si>
  <si>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</si>
  <si>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</si>
  <si>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</si>
  <si>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</si>
  <si>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</si>
  <si>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</si>
  <si>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</si>
  <si>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</si>
  <si>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</si>
  <si>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</si>
  <si>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</si>
  <si>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</si>
  <si>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</si>
  <si>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</si>
  <si>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</si>
  <si>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</si>
  <si>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</si>
  <si>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</si>
  <si>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</si>
  <si>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</si>
  <si>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</si>
  <si>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</si>
  <si>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</si>
  <si>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</si>
  <si>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</si>
  <si>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</si>
  <si>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</si>
  <si>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</si>
  <si>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</si>
  <si>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</si>
  <si>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</si>
  <si>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</si>
  <si>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</si>
  <si>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</si>
  <si>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</si>
  <si>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</si>
  <si>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</si>
  <si>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</si>
  <si>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</si>
  <si>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</si>
  <si>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</si>
  <si>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</si>
  <si>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</si>
  <si>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</si>
  <si>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</si>
  <si>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</si>
  <si>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</si>
  <si>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</si>
  <si>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</si>
  <si>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</si>
  <si>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</si>
  <si>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</si>
  <si>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</si>
  <si>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</si>
  <si>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</si>
  <si>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</si>
  <si>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</si>
  <si>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</si>
  <si>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</si>
  <si>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</si>
  <si>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</si>
  <si>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</si>
  <si>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</si>
  <si>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</si>
  <si>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</si>
  <si>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</si>
  <si>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</si>
  <si>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</si>
  <si>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</si>
  <si>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</si>
  <si>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</si>
  <si>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</si>
  <si>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</si>
  <si>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</si>
  <si>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</si>
  <si>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</si>
  <si>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</si>
  <si>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</si>
  <si>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</si>
  <si>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</si>
  <si>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</si>
  <si>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</si>
  <si>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</si>
  <si>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</si>
  <si>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</si>
  <si>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</si>
  <si>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</si>
  <si>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</si>
  <si>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</si>
  <si>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</si>
  <si>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</si>
  <si>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</si>
  <si>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</si>
  <si>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</si>
  <si>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</si>
  <si>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</si>
  <si>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</si>
  <si>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</si>
  <si>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</si>
  <si>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</si>
  <si>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</si>
  <si>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</si>
  <si>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</si>
  <si>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</si>
  <si>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</si>
  <si>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</si>
  <si>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</si>
  <si>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</si>
  <si>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</si>
  <si>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</si>
  <si>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</si>
  <si>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</si>
  <si>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</si>
  <si>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</si>
  <si>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</si>
  <si>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</si>
  <si>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</si>
  <si>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</si>
  <si>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</si>
  <si>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</si>
  <si>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</si>
  <si>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</si>
  <si>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</si>
  <si>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</si>
  <si>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</si>
  <si>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</si>
  <si>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</si>
  <si>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</si>
  <si>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</si>
  <si>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</si>
  <si>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</si>
  <si>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</si>
  <si>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</si>
  <si>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</si>
  <si>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</si>
  <si>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</si>
  <si>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</si>
  <si>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</si>
  <si>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</si>
  <si>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</si>
  <si>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</si>
  <si>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</si>
  <si>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</si>
  <si>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</si>
  <si>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</si>
  <si>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</si>
  <si>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</si>
  <si>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</si>
  <si>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</si>
  <si>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</si>
  <si>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</si>
  <si>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</si>
  <si>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</si>
  <si>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</si>
  <si>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</si>
  <si>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</si>
  <si>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</si>
  <si>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</si>
  <si>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</si>
  <si>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</si>
  <si>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</si>
  <si>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</si>
  <si>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</si>
  <si>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</si>
  <si>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</si>
  <si>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</si>
  <si>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</si>
  <si>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</si>
  <si>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</si>
  <si>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</si>
  <si>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</si>
  <si>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</si>
  <si>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</si>
  <si>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</si>
  <si>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</si>
  <si>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</si>
  <si>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</si>
  <si>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</si>
  <si>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</si>
  <si>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</si>
  <si>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</si>
  <si>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</si>
  <si>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</si>
  <si>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</si>
  <si>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</si>
  <si>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</si>
  <si>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</si>
  <si>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</si>
  <si>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</si>
  <si>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</si>
  <si>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</si>
  <si>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</si>
  <si>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</si>
  <si>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</si>
  <si>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</si>
  <si>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</si>
  <si>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</si>
  <si>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</si>
  <si>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</si>
  <si>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</si>
  <si>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</si>
  <si>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</si>
  <si>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</si>
  <si>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</si>
  <si>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</si>
  <si>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</si>
  <si>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</si>
  <si>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</si>
  <si>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</si>
  <si>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</si>
  <si>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</si>
  <si>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</si>
  <si>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</si>
  <si>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</si>
  <si>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</si>
  <si>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</si>
  <si>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</si>
  <si>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</si>
  <si>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</si>
  <si>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</si>
  <si>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</si>
  <si>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</si>
  <si>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</si>
  <si>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</si>
  <si>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</si>
  <si>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</si>
  <si>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</si>
  <si>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</si>
  <si>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</si>
  <si>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</si>
  <si>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</si>
  <si>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</si>
  <si>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</si>
  <si>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</si>
  <si>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</si>
  <si>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</si>
  <si>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</si>
  <si>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</si>
  <si>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</si>
  <si>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</si>
  <si>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</si>
  <si>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</si>
  <si>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</si>
  <si>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</si>
  <si>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</si>
  <si>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</si>
  <si>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</si>
  <si>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</si>
  <si>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</si>
  <si>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</si>
  <si>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</si>
  <si>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</si>
  <si>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</si>
  <si>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</si>
  <si>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</si>
  <si>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</si>
  <si>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</si>
  <si>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</si>
  <si>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</si>
  <si>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</si>
  <si>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</si>
  <si>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</si>
  <si>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</si>
  <si>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</si>
  <si>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</si>
  <si>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</si>
  <si>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</si>
  <si>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</si>
  <si>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</si>
  <si>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</si>
  <si>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</si>
  <si>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</si>
  <si>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</si>
  <si>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</si>
  <si>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</si>
  <si>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</si>
  <si>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</si>
  <si>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</si>
  <si>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</si>
  <si>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</si>
  <si>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</si>
  <si>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</si>
  <si>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</si>
  <si>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</si>
  <si>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</si>
  <si>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</si>
  <si>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</si>
  <si>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</si>
  <si>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</si>
  <si>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</si>
  <si>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</si>
  <si>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</si>
  <si>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</si>
  <si>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</si>
  <si>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</si>
  <si>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</si>
  <si>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</si>
  <si>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</si>
  <si>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</si>
  <si>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</si>
  <si>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</si>
  <si>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</si>
  <si>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</si>
  <si>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</si>
  <si>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</si>
  <si>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</si>
  <si>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</si>
  <si>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</si>
  <si>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</si>
  <si>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</si>
  <si>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</si>
  <si>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</si>
  <si>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</si>
  <si>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</si>
  <si>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</si>
  <si>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</si>
  <si>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</si>
  <si>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</si>
  <si>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</si>
  <si>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</si>
  <si>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</si>
  <si>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</si>
  <si>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</si>
  <si>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</si>
  <si>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</si>
  <si>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</si>
  <si>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</si>
  <si>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</si>
  <si>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</si>
  <si>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</si>
  <si>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</si>
  <si>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</si>
  <si>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</si>
  <si>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</si>
  <si>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</si>
  <si>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</si>
  <si>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</si>
  <si>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</si>
  <si>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</si>
  <si>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</si>
  <si>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</si>
  <si>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</si>
  <si>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</si>
  <si>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</si>
  <si>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</si>
  <si>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</si>
  <si>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</si>
  <si>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</si>
  <si>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</si>
  <si>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</si>
  <si>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</si>
  <si>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</si>
  <si>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</si>
  <si>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</si>
  <si>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</si>
  <si>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</si>
  <si>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</si>
  <si>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</si>
  <si>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</si>
  <si>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</si>
  <si>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</si>
  <si>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</si>
  <si>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</si>
  <si>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</si>
  <si>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</si>
  <si>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</si>
  <si>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</si>
  <si>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</si>
  <si>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</si>
  <si>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</si>
  <si>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</si>
  <si>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</si>
  <si>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</si>
  <si>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</si>
  <si>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</si>
  <si>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</si>
  <si>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</si>
  <si>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</si>
  <si>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</si>
  <si>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</si>
  <si>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</si>
  <si>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</si>
  <si>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</si>
  <si>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</si>
  <si>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</si>
  <si>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</si>
  <si>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</si>
  <si>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</si>
  <si>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</si>
  <si>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</si>
  <si>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</si>
  <si>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</si>
  <si>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</si>
  <si>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</si>
  <si>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</si>
  <si>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</si>
  <si>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</si>
  <si>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</si>
  <si>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</si>
  <si>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</si>
  <si>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</si>
  <si>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</si>
  <si>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</si>
  <si>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</si>
  <si>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</si>
  <si>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</si>
  <si>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</si>
  <si>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</si>
  <si>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</si>
  <si>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</si>
  <si>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</si>
  <si>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</si>
  <si>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</si>
  <si>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</si>
  <si>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</si>
  <si>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</si>
  <si>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</si>
  <si>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</si>
  <si>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</si>
  <si>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</si>
  <si>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</si>
  <si>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</si>
  <si>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</si>
  <si>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</si>
  <si>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</si>
  <si>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</si>
  <si>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</si>
  <si>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</si>
  <si>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</si>
  <si>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</si>
  <si>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</si>
  <si>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</si>
  <si>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</si>
  <si>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</si>
  <si>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</si>
  <si>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</si>
  <si>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</si>
  <si>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</si>
  <si>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</si>
  <si>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</si>
  <si>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</si>
  <si>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</si>
  <si>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</si>
  <si>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</si>
  <si>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</si>
  <si>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</si>
  <si>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</si>
  <si>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</si>
  <si>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</si>
  <si>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</si>
  <si>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</si>
  <si>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</si>
  <si>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</si>
  <si>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</si>
  <si>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</si>
  <si>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</si>
  <si>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</si>
  <si>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</si>
  <si>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</si>
  <si>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</si>
  <si>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</si>
  <si>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</si>
  <si>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</si>
  <si>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</si>
  <si>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</si>
  <si>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</si>
  <si>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</si>
  <si>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</si>
  <si>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</si>
  <si>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</si>
  <si>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</si>
  <si>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</si>
  <si>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</si>
  <si>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</si>
  <si>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</si>
  <si>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</si>
  <si>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</si>
  <si>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</si>
  <si>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</si>
  <si>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</si>
  <si>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</si>
  <si>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</si>
  <si>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</si>
  <si>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</si>
  <si>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</si>
  <si>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</si>
  <si>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</si>
  <si>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</si>
  <si>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</si>
  <si>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</si>
  <si>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</si>
  <si>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</si>
  <si>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</si>
  <si>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</si>
  <si>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</si>
  <si>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</si>
  <si>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</si>
  <si>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</si>
  <si>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</si>
  <si>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</si>
  <si>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</si>
  <si>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</si>
  <si>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</si>
  <si>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</si>
  <si>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</si>
  <si>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</si>
  <si>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</si>
  <si>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</si>
  <si>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</si>
  <si>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</si>
  <si>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</si>
  <si>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</si>
  <si>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</si>
  <si>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</si>
  <si>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</si>
  <si>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</si>
  <si>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</si>
  <si>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</si>
  <si>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</si>
  <si>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</si>
  <si>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</si>
  <si>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</si>
  <si>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</si>
  <si>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</si>
  <si>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</si>
  <si>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</si>
  <si>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</si>
  <si>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</si>
  <si>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</si>
  <si>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</si>
  <si>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</si>
  <si>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</si>
  <si>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</si>
  <si>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</si>
  <si>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</si>
  <si>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</si>
  <si>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</si>
  <si>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</si>
  <si>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</si>
  <si>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</si>
  <si>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</si>
  <si>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</si>
  <si>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</si>
  <si>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</si>
  <si>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</si>
  <si>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</si>
  <si>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</si>
  <si>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</si>
  <si>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</si>
  <si>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</si>
  <si>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</si>
  <si>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</si>
  <si>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</si>
  <si>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</si>
  <si>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</si>
  <si>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</si>
  <si>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</si>
  <si>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</si>
  <si>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</si>
  <si>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</si>
  <si>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</si>
  <si>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</si>
  <si>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</si>
  <si>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</si>
  <si>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</si>
  <si>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</si>
  <si>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</si>
  <si>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</si>
  <si>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</si>
  <si>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</si>
  <si>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</si>
  <si>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</si>
  <si>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</si>
  <si>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</si>
  <si>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</si>
  <si>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</si>
  <si>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</si>
  <si>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</si>
  <si>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</si>
  <si>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</si>
  <si>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</si>
  <si>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</si>
  <si>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</si>
  <si>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</si>
  <si>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</si>
  <si>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</si>
  <si>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</si>
  <si>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</si>
  <si>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</si>
  <si>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</si>
  <si>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</si>
  <si>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</si>
  <si>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</si>
  <si>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</si>
  <si>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</si>
  <si>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</si>
  <si>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</si>
  <si>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</si>
  <si>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</si>
  <si>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</si>
  <si>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</si>
  <si>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</si>
  <si>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</si>
  <si>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</si>
  <si>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</si>
  <si>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</si>
  <si>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</si>
  <si>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</si>
  <si>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</si>
  <si>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</si>
  <si>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</si>
  <si>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</si>
  <si>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</si>
  <si>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</si>
  <si>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</si>
  <si>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</si>
  <si>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</si>
  <si>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</si>
  <si>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</si>
  <si>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</si>
  <si>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</si>
  <si>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</si>
  <si>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</si>
  <si>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</si>
  <si>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</si>
  <si>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</si>
  <si>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</si>
  <si>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</si>
  <si>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</si>
  <si>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</si>
  <si>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</si>
  <si>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</si>
  <si>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</si>
  <si>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</si>
  <si>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</si>
  <si>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</si>
  <si>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</si>
  <si>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</si>
  <si>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</si>
  <si>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</si>
  <si>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</si>
  <si>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</si>
  <si>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</si>
  <si>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</si>
  <si>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</si>
  <si>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</si>
  <si>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</si>
  <si>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</si>
  <si>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</si>
  <si>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</si>
  <si>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</si>
  <si>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</si>
  <si>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</si>
  <si>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</si>
  <si>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</si>
  <si>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</si>
  <si>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</si>
  <si>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</si>
  <si>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</si>
  <si>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</si>
  <si>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</si>
  <si>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</si>
  <si>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</si>
  <si>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</si>
  <si>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</si>
  <si>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</si>
  <si>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</si>
  <si>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</si>
  <si>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</si>
  <si>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</si>
  <si>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</si>
  <si>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</si>
  <si>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</si>
  <si>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</si>
  <si>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</si>
  <si>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</si>
  <si>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</si>
  <si>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</si>
  <si>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</si>
  <si>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</si>
  <si>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</si>
  <si>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</si>
  <si>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</si>
  <si>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</si>
  <si>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</si>
  <si>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</si>
  <si>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</si>
  <si>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</si>
  <si>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</si>
  <si>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</si>
  <si>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</si>
  <si>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</si>
  <si>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</si>
  <si>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</si>
  <si>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</si>
  <si>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</si>
  <si>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</si>
  <si>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</si>
  <si>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</si>
  <si>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</si>
  <si>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</si>
  <si>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</si>
  <si>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</si>
  <si>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</si>
  <si>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</si>
  <si>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</si>
  <si>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</si>
  <si>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</si>
  <si>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</si>
  <si>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</si>
  <si>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</si>
  <si>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</si>
  <si>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</si>
  <si>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</si>
  <si>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</si>
  <si>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</si>
  <si>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</si>
  <si>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</si>
  <si>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</si>
  <si>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</si>
  <si>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</si>
  <si>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</si>
  <si>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</si>
  <si>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</si>
  <si>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</si>
  <si>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</si>
  <si>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</si>
  <si>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</si>
  <si>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</si>
  <si>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</si>
  <si>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</si>
  <si>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</si>
  <si>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</si>
  <si>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</si>
  <si>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</si>
  <si>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</si>
  <si>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</si>
  <si>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</si>
  <si>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</si>
  <si>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</si>
  <si>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</si>
  <si>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</si>
  <si>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</si>
  <si>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</si>
  <si>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</si>
  <si>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</si>
  <si>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</si>
  <si>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</si>
  <si>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</si>
  <si>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</si>
  <si>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</si>
  <si>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</si>
  <si>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</si>
  <si>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</si>
  <si>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</si>
  <si>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</si>
  <si>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</si>
  <si>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</si>
  <si>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</si>
  <si>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</si>
  <si>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</si>
  <si>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</si>
  <si>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</si>
  <si>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</si>
  <si>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</si>
  <si>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</si>
  <si>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</si>
  <si>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</si>
  <si>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</si>
  <si>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</si>
  <si>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</si>
  <si>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</si>
  <si>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</si>
  <si>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</si>
  <si>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</si>
  <si>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</si>
  <si>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</si>
  <si>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</si>
  <si>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</si>
  <si>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</si>
  <si>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</si>
  <si>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</si>
  <si>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</si>
  <si>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</si>
  <si>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</si>
  <si>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</si>
  <si>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</si>
  <si>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</si>
  <si>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</si>
  <si>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</si>
  <si>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</si>
  <si>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</si>
  <si>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</si>
  <si>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</si>
  <si>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</si>
  <si>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</si>
  <si>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</si>
  <si>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</si>
  <si>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</si>
  <si>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</si>
  <si>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</si>
  <si>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</si>
  <si>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</si>
  <si>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</si>
  <si>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</si>
  <si>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</si>
  <si>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</si>
  <si>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</si>
  <si>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</si>
  <si>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</si>
  <si>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</si>
  <si>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</si>
  <si>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</si>
  <si>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</si>
  <si>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</si>
  <si>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</si>
  <si>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</si>
  <si>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</si>
  <si>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</si>
  <si>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</si>
  <si>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</si>
  <si>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</si>
  <si>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</si>
  <si>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</si>
  <si>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</si>
  <si>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</si>
  <si>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</si>
  <si>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</si>
  <si>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</si>
  <si>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</si>
  <si>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</si>
  <si>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</si>
  <si>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</si>
  <si>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</si>
  <si>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</si>
  <si>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</si>
  <si>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</si>
  <si>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</si>
  <si>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</si>
  <si>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</si>
  <si>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</si>
  <si>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</si>
  <si>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</si>
  <si>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</si>
  <si>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</si>
  <si>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</si>
  <si>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</si>
  <si>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</si>
  <si>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</si>
  <si>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</si>
  <si>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</si>
  <si>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</si>
  <si>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</si>
  <si>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</si>
  <si>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</si>
  <si>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</si>
  <si>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</si>
  <si>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</si>
  <si>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</si>
  <si>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</si>
  <si>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</si>
  <si>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</si>
  <si>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</si>
  <si>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</si>
  <si>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</si>
  <si>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</si>
  <si>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</si>
  <si>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</si>
  <si>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</si>
  <si>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</si>
  <si>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</si>
  <si>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</si>
  <si>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</si>
  <si>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</si>
  <si>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</si>
  <si>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</si>
  <si>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</si>
  <si>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</si>
  <si>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</si>
  <si>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</si>
  <si>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</si>
  <si>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</si>
  <si>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</si>
  <si>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</si>
  <si>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</si>
  <si>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</si>
  <si>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</si>
  <si>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</si>
  <si>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</si>
  <si>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</si>
  <si>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</si>
  <si>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</si>
  <si>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</si>
  <si>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</si>
  <si>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</si>
  <si>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</si>
  <si>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</si>
  <si>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</si>
  <si>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</si>
  <si>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</si>
  <si>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</si>
  <si>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</si>
  <si>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</si>
  <si>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</si>
  <si>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</si>
  <si>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</si>
  <si>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</si>
  <si>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</si>
  <si>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</si>
  <si>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</si>
  <si>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</si>
  <si>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</si>
  <si>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</si>
  <si>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</si>
  <si>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</si>
  <si>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</si>
  <si>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</si>
  <si>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</si>
  <si>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</si>
  <si>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</si>
  <si>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</si>
  <si>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</si>
  <si>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</si>
  <si>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</si>
  <si>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</si>
  <si>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</si>
  <si>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</si>
  <si>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</si>
  <si>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</si>
  <si>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</si>
  <si>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</si>
  <si>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</si>
  <si>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</si>
  <si>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</si>
  <si>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</si>
  <si>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</si>
  <si>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</si>
  <si>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</si>
  <si>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</si>
  <si>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</si>
  <si>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</si>
  <si>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</si>
  <si>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</si>
  <si>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</si>
  <si>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</si>
  <si>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</si>
  <si>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</si>
  <si>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</si>
  <si>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</si>
  <si>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</si>
  <si>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</si>
  <si>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</si>
  <si>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</si>
  <si>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</si>
  <si>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</si>
  <si>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</si>
  <si>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</si>
  <si>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</si>
  <si>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</si>
  <si>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</si>
  <si>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</si>
  <si>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</si>
  <si>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</si>
  <si>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</si>
  <si>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</si>
  <si>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</si>
  <si>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</si>
  <si>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</si>
  <si>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</si>
  <si>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</si>
  <si>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</si>
  <si>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</si>
  <si>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</si>
  <si>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</si>
  <si>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</si>
  <si>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</si>
  <si>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</si>
  <si>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</si>
  <si>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</si>
  <si>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</si>
  <si>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</si>
  <si>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</si>
  <si>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</si>
  <si>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</si>
  <si>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</si>
  <si>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</si>
  <si>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</si>
  <si>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</si>
  <si>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</si>
  <si>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</si>
  <si>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</si>
  <si>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</si>
  <si>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</si>
  <si>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</si>
  <si>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</si>
  <si>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</si>
  <si>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</si>
  <si>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</si>
  <si>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</si>
  <si>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</si>
  <si>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</si>
  <si>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</si>
  <si>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</si>
  <si>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</si>
  <si>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</si>
  <si>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</si>
  <si>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</si>
  <si>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</si>
  <si>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</si>
  <si>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</si>
  <si>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</si>
  <si>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</si>
  <si>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</si>
  <si>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</si>
  <si>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</si>
  <si>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</si>
  <si>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</si>
  <si>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</si>
  <si>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</si>
  <si>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</si>
  <si>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</si>
  <si>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</si>
  <si>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</si>
  <si>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</si>
  <si>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</si>
  <si>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</si>
  <si>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</si>
  <si>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</si>
  <si>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</si>
  <si>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</si>
  <si>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</si>
  <si>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</si>
  <si>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</si>
  <si>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</si>
  <si>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</si>
  <si>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</si>
  <si>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</si>
  <si>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</si>
  <si>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</si>
  <si>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</si>
  <si>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</si>
  <si>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</si>
  <si>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</si>
  <si>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</si>
  <si>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</si>
  <si>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</si>
  <si>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</si>
  <si>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</si>
  <si>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</si>
  <si>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</si>
  <si>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</si>
  <si>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</si>
  <si>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</si>
  <si>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</si>
  <si>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</si>
  <si>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</si>
  <si>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</si>
  <si>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</si>
  <si>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</si>
  <si>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</si>
  <si>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</si>
  <si>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</si>
  <si>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</si>
  <si>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</si>
  <si>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</si>
  <si>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</si>
  <si>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</si>
  <si>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</si>
  <si>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</si>
  <si>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</si>
  <si>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</si>
  <si>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</si>
  <si>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</si>
  <si>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</si>
  <si>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</si>
  <si>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</si>
  <si>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</si>
  <si>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</si>
  <si>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</si>
  <si>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</si>
  <si>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</si>
  <si>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</si>
  <si>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</si>
  <si>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</si>
  <si>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</si>
  <si>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</si>
  <si>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</si>
  <si>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</si>
  <si>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</si>
  <si>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</si>
  <si>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</si>
  <si>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</si>
  <si>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</si>
  <si>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</si>
  <si>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</si>
  <si>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</si>
  <si>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</si>
  <si>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</si>
  <si>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</si>
  <si>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</si>
  <si>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</si>
  <si>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</si>
  <si>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</si>
  <si>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</si>
  <si>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</si>
  <si>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</si>
  <si>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</si>
  <si>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</si>
  <si>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</si>
  <si>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</si>
  <si>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</si>
  <si>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</si>
  <si>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</si>
  <si>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</si>
  <si>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</si>
  <si>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</si>
  <si>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</si>
  <si>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</si>
  <si>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</si>
  <si>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</si>
  <si>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</si>
  <si>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</si>
  <si>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</si>
  <si>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</si>
  <si>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</si>
  <si>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</si>
  <si>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</si>
  <si>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</si>
  <si>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</si>
  <si>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</si>
  <si>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</si>
  <si>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</si>
  <si>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</si>
  <si>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</si>
  <si>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</si>
  <si>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</si>
  <si>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</si>
  <si>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</si>
  <si>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</si>
  <si>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</si>
  <si>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</si>
  <si>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</si>
  <si>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</si>
  <si>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</si>
  <si>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</si>
  <si>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</si>
  <si>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</si>
  <si>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</si>
  <si>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</si>
  <si>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</si>
  <si>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</si>
  <si>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</si>
  <si>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</si>
  <si>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</si>
  <si>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</si>
  <si>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</si>
  <si>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</si>
  <si>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</si>
  <si>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</si>
  <si>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</si>
  <si>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</si>
  <si>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</si>
  <si>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</si>
  <si>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</si>
  <si>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</si>
  <si>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</si>
  <si>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</si>
  <si>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</si>
  <si>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</si>
  <si>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</si>
  <si>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</si>
  <si>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</si>
  <si>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</si>
  <si>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</si>
  <si>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</si>
  <si>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</si>
  <si>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</si>
  <si>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</si>
  <si>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</si>
  <si>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</si>
  <si>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</si>
  <si>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</si>
  <si>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</si>
  <si>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</si>
  <si>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</si>
  <si>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</si>
  <si>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</si>
  <si>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</si>
  <si>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</si>
  <si>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</si>
  <si>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</si>
  <si>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</si>
  <si>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</si>
  <si>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</si>
  <si>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</si>
  <si>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</si>
  <si>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</si>
  <si>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</si>
  <si>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</si>
  <si>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</si>
  <si>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</si>
  <si>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</si>
  <si>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</si>
  <si>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</si>
  <si>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</si>
  <si>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</si>
  <si>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</si>
  <si>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</si>
  <si>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</si>
  <si>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</si>
  <si>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</si>
  <si>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</si>
  <si>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</si>
  <si>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</si>
  <si>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</si>
  <si>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</si>
  <si>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</si>
  <si>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</si>
  <si>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</si>
  <si>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</si>
  <si>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</si>
  <si>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</si>
  <si>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</si>
  <si>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</si>
  <si>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</si>
  <si>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</si>
  <si>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</si>
  <si>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</si>
  <si>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</si>
  <si>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</si>
  <si>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</si>
  <si>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</si>
  <si>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</si>
  <si>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</si>
  <si>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</si>
  <si>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</si>
  <si>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</si>
  <si>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</si>
  <si>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</si>
  <si>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</si>
  <si>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</si>
  <si>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</si>
  <si>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</si>
  <si>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</si>
  <si>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</si>
  <si>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</si>
  <si>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</si>
  <si>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</si>
  <si>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</si>
  <si>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</si>
  <si>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</si>
  <si>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</si>
  <si>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</si>
  <si>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</si>
  <si>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</si>
  <si>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</si>
  <si>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</si>
  <si>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</si>
  <si>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</si>
  <si>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</si>
  <si>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</si>
  <si>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</si>
  <si>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</si>
  <si>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</si>
  <si>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</si>
  <si>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</si>
  <si>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</si>
  <si>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</si>
  <si>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</si>
  <si>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</si>
  <si>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</si>
  <si>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</si>
  <si>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</si>
  <si>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</si>
  <si>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</si>
  <si>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</si>
  <si>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</si>
  <si>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</si>
  <si>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</si>
  <si>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</si>
  <si>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</si>
  <si>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</si>
  <si>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</si>
  <si>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</si>
  <si>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</si>
  <si>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</si>
  <si>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</si>
  <si>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</si>
  <si>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</si>
  <si>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</si>
  <si>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</si>
  <si>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</si>
  <si>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</si>
  <si>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</si>
  <si>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</si>
  <si>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</si>
  <si>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</si>
  <si>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</si>
  <si>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</si>
  <si>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</si>
  <si>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</si>
  <si>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</si>
  <si>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</si>
  <si>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</si>
  <si>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</si>
  <si>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</si>
  <si>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</si>
  <si>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</si>
  <si>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</si>
  <si>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</si>
  <si>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</si>
  <si>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</si>
  <si>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</si>
  <si>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</si>
  <si>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</si>
  <si>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</si>
  <si>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</si>
  <si>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</si>
  <si>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</si>
  <si>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</si>
  <si>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</si>
  <si>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</si>
  <si>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</si>
  <si>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</si>
  <si>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</si>
  <si>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</si>
  <si>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</si>
  <si>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</si>
  <si>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</si>
  <si>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</si>
  <si>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</si>
  <si>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</si>
  <si>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</si>
  <si>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</si>
  <si>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</si>
  <si>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</si>
  <si>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</si>
  <si>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</si>
  <si>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</si>
  <si>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</si>
  <si>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</si>
  <si>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</si>
  <si>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</si>
  <si>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</si>
  <si>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</si>
  <si>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</si>
  <si>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</si>
  <si>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</si>
  <si>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</si>
  <si>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</si>
  <si>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</si>
  <si>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</si>
  <si>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</si>
  <si>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</si>
  <si>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</si>
  <si>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</si>
  <si>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</si>
  <si>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</si>
  <si>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</si>
  <si>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</si>
  <si>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</si>
  <si>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</si>
  <si>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</si>
  <si>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</si>
  <si>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</si>
  <si>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</si>
  <si>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</si>
  <si>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</si>
  <si>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</si>
  <si>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</si>
  <si>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</si>
  <si>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</si>
  <si>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</si>
  <si>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</si>
  <si>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</si>
  <si>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</si>
  <si>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</si>
  <si>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</si>
  <si>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</si>
  <si>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</si>
  <si>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</si>
  <si>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</si>
  <si>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</si>
  <si>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</si>
  <si>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</si>
  <si>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</si>
  <si>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</si>
  <si>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</si>
  <si>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</si>
  <si>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</si>
  <si>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</si>
  <si>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</si>
  <si>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</si>
  <si>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</si>
  <si>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</si>
  <si>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</si>
  <si>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</si>
  <si>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</si>
  <si>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</si>
  <si>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</si>
  <si>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</si>
  <si>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</si>
  <si>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</si>
  <si>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</si>
  <si>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</si>
  <si>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</si>
  <si>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</si>
  <si>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</si>
  <si>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</si>
  <si>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</si>
  <si>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</si>
  <si>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</si>
  <si>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</si>
  <si>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</si>
  <si>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</si>
  <si>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</si>
  <si>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</si>
  <si>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</si>
  <si>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</si>
  <si>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</si>
  <si>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</si>
  <si>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</si>
  <si>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</si>
  <si>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</si>
  <si>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</si>
  <si>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</si>
  <si>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</si>
  <si>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</si>
  <si>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</si>
  <si>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</si>
  <si>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</si>
  <si>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</si>
  <si>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</si>
  <si>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</si>
  <si>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</si>
  <si>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</si>
  <si>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</si>
  <si>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</si>
  <si>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</si>
  <si>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</si>
  <si>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</si>
  <si>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</si>
  <si>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</si>
  <si>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</si>
  <si>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</si>
  <si>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</si>
  <si>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</si>
  <si>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</si>
  <si>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</si>
  <si>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</si>
  <si>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</si>
  <si>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</si>
  <si>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</si>
  <si>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</si>
  <si>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</si>
  <si>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</si>
  <si>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</si>
  <si>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</si>
  <si>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</si>
  <si>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</si>
  <si>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</si>
  <si>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</si>
  <si>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</si>
  <si>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</si>
  <si>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</si>
  <si>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</si>
  <si>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</si>
  <si>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</si>
  <si>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</si>
  <si>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</si>
  <si>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</si>
  <si>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</si>
  <si>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</si>
  <si>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</si>
  <si>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</si>
  <si>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</si>
  <si>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</si>
  <si>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</si>
  <si>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</si>
  <si>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</si>
  <si>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</si>
  <si>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</si>
  <si>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</si>
  <si>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</si>
  <si>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</si>
  <si>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</si>
  <si>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</si>
  <si>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</si>
  <si>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</si>
  <si>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</si>
  <si>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</si>
  <si>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</si>
  <si>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</si>
  <si>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</si>
  <si>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</si>
  <si>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</si>
  <si>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</si>
  <si>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</si>
  <si>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</si>
  <si>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</si>
  <si>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</si>
  <si>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</si>
  <si>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</si>
  <si>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</si>
  <si>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</si>
  <si>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</si>
  <si>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</si>
  <si>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</si>
  <si>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</si>
  <si>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</si>
  <si>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</si>
  <si>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</si>
  <si>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</si>
  <si>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</si>
  <si>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</si>
  <si>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</si>
  <si>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</si>
  <si>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</si>
  <si>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</si>
  <si>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</si>
  <si>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</si>
  <si>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</si>
  <si>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</si>
  <si>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</si>
  <si>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</si>
  <si>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</si>
  <si>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</si>
  <si>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</si>
  <si>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</si>
  <si>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</si>
  <si>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</si>
  <si>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</si>
  <si>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</si>
  <si>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</si>
  <si>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</si>
  <si>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</si>
  <si>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</si>
  <si>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</si>
  <si>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</si>
  <si>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</si>
  <si>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</si>
  <si>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</si>
  <si>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</si>
  <si>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</si>
  <si>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</si>
  <si>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</si>
  <si>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</si>
  <si>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</si>
  <si>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</si>
  <si>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</si>
  <si>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</si>
  <si>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</si>
  <si>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</si>
  <si>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</si>
  <si>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</si>
  <si>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</si>
  <si>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</si>
  <si>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</si>
  <si>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</si>
  <si>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</si>
  <si>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</si>
  <si>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</si>
  <si>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</si>
  <si>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</si>
  <si>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</si>
  <si>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</si>
  <si>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</si>
  <si>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</si>
  <si>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</si>
  <si>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</si>
  <si>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</si>
  <si>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</si>
  <si>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</si>
  <si>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</si>
  <si>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</si>
  <si>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</si>
  <si>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</si>
  <si>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</si>
  <si>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</si>
  <si>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</si>
  <si>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</si>
  <si>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</si>
  <si>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</si>
  <si>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</si>
  <si>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</si>
  <si>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</si>
  <si>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</si>
  <si>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</si>
  <si>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</si>
  <si>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</si>
  <si>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</si>
  <si>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</si>
  <si>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</si>
  <si>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</si>
  <si>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</si>
  <si>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</si>
  <si>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</si>
  <si>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</si>
  <si>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</si>
  <si>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</si>
  <si>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</si>
  <si>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</si>
  <si>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</si>
  <si>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</si>
  <si>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</si>
  <si>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</si>
  <si>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</si>
  <si>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</si>
  <si>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</si>
  <si>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</si>
  <si>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</si>
  <si>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</si>
  <si>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</si>
  <si>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</si>
  <si>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</si>
  <si>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</si>
  <si>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</si>
  <si>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</si>
  <si>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</si>
  <si>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</si>
  <si>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</si>
  <si>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</si>
  <si>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</si>
  <si>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</si>
  <si>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</si>
  <si>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</si>
  <si>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</si>
  <si>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</si>
  <si>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</si>
  <si>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</si>
  <si>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</si>
  <si>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</si>
  <si>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</si>
  <si>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</si>
  <si>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</si>
  <si>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</si>
  <si>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</si>
  <si>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</si>
  <si>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</si>
  <si>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</si>
  <si>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</si>
  <si>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</si>
  <si>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</si>
  <si>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</si>
  <si>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</si>
  <si>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</si>
  <si>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</si>
  <si>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</si>
  <si>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</si>
  <si>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</si>
  <si>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</si>
  <si>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</si>
  <si>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</si>
  <si>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</si>
  <si>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</si>
  <si>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</si>
  <si>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</si>
  <si>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</si>
  <si>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</si>
  <si>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</si>
  <si>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</si>
  <si>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</si>
  <si>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</si>
  <si>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</si>
  <si>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</si>
  <si>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</si>
  <si>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</si>
  <si>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</si>
  <si>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</si>
  <si>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</si>
  <si>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</si>
  <si>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</si>
  <si>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</si>
  <si>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</si>
  <si>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</si>
  <si>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</si>
  <si>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</si>
  <si>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</si>
  <si>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</si>
  <si>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</si>
  <si>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</si>
  <si>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</si>
  <si>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</si>
  <si>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</si>
  <si>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</si>
  <si>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</si>
  <si>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</si>
  <si>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</si>
  <si>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</si>
  <si>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</si>
  <si>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</si>
  <si>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</si>
  <si>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</si>
  <si>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</si>
  <si>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</si>
  <si>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</si>
  <si>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</si>
  <si>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</si>
  <si>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</si>
  <si>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</si>
  <si>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</si>
  <si>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</si>
  <si>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</si>
  <si>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</si>
  <si>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</si>
  <si>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</si>
  <si>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</si>
  <si>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</si>
  <si>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</si>
  <si>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</si>
  <si>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</si>
  <si>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</si>
  <si>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</si>
  <si>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</si>
  <si>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</si>
  <si>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</si>
  <si>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</si>
  <si>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</si>
  <si>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</si>
  <si>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</si>
  <si>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</si>
  <si>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</si>
  <si>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</si>
  <si>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</si>
  <si>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</si>
  <si>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</si>
  <si>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</si>
  <si>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</si>
  <si>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</si>
  <si>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</si>
  <si>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</si>
  <si>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</si>
  <si>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</si>
  <si>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</si>
  <si>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</si>
  <si>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</si>
  <si>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</si>
  <si>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</si>
  <si>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</si>
  <si>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</si>
  <si>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</si>
  <si>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</si>
  <si>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</si>
  <si>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</si>
  <si>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</si>
  <si>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</si>
  <si>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</si>
  <si>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</si>
  <si>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</si>
  <si>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</si>
  <si>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</si>
  <si>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</si>
  <si>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</si>
  <si>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</si>
  <si>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</si>
  <si>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</si>
  <si>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</si>
  <si>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</si>
  <si>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</si>
  <si>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</si>
  <si>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</si>
  <si>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</si>
  <si>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</si>
  <si>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</si>
  <si>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</si>
  <si>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</si>
  <si>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</si>
  <si>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</si>
  <si>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</si>
  <si>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</si>
  <si>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</si>
  <si>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</si>
  <si>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</si>
  <si>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</si>
  <si>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</si>
  <si>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</si>
  <si>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</si>
  <si>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</si>
  <si>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</si>
  <si>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</si>
  <si>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</si>
  <si>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</si>
  <si>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</si>
  <si>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</si>
  <si>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</si>
  <si>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</si>
  <si>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</si>
  <si>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</si>
  <si>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</si>
  <si>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</si>
  <si>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</si>
  <si>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</si>
  <si>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</si>
  <si>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</si>
  <si>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</si>
  <si>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</si>
  <si>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</si>
  <si>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</si>
  <si>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</si>
  <si>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</si>
  <si>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</si>
  <si>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</si>
  <si>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</si>
  <si>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</si>
  <si>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</si>
  <si>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</si>
  <si>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</si>
  <si>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</si>
  <si>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</si>
  <si>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</si>
  <si>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</si>
  <si>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</si>
  <si>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</si>
  <si>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</si>
  <si>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</si>
  <si>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</si>
  <si>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</si>
  <si>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</si>
  <si>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</si>
  <si>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</si>
  <si>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</si>
  <si>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</si>
  <si>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</si>
  <si>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</si>
  <si>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</si>
  <si>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</si>
  <si>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</si>
  <si>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</si>
  <si>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</si>
  <si>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</si>
  <si>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</si>
  <si>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</si>
  <si>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</si>
  <si>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</si>
  <si>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</si>
  <si>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</si>
  <si>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</si>
  <si>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</si>
  <si>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</si>
  <si>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</si>
  <si>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</si>
  <si>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</si>
  <si>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</si>
  <si>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</si>
  <si>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</si>
  <si>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</si>
  <si>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</si>
  <si>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</si>
  <si>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</si>
  <si>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</si>
  <si>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</si>
  <si>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</si>
  <si>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</si>
  <si>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</si>
  <si>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</si>
  <si>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</si>
  <si>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</si>
  <si>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</si>
  <si>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</si>
  <si>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</si>
  <si>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</si>
  <si>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</si>
  <si>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</si>
  <si>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</si>
  <si>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</si>
  <si>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</si>
  <si>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</si>
  <si>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</si>
  <si>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</si>
  <si>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</si>
  <si>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</si>
  <si>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</si>
  <si>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</si>
  <si>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</si>
  <si>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</si>
  <si>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</si>
  <si>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</si>
  <si>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</si>
  <si>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</si>
  <si>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</si>
  <si>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</si>
  <si>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</si>
  <si>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</si>
  <si>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</si>
  <si>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</si>
  <si>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</si>
  <si>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</si>
  <si>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</si>
  <si>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</si>
  <si>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</si>
  <si>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</si>
  <si>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</si>
  <si>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</si>
  <si>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</si>
  <si>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</si>
  <si>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</si>
  <si>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</si>
  <si>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</si>
  <si>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</si>
  <si>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</si>
  <si>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</si>
  <si>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</si>
  <si>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</si>
  <si>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</si>
  <si>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</si>
  <si>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</si>
  <si>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</si>
  <si>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</si>
  <si>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</si>
  <si>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</si>
  <si>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</si>
  <si>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</si>
  <si>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</si>
  <si>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</si>
  <si>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</si>
  <si>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</si>
  <si>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</si>
  <si>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</si>
  <si>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</si>
  <si>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</si>
  <si>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</si>
  <si>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</si>
  <si>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</si>
  <si>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</si>
  <si>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</si>
  <si>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</si>
  <si>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</si>
  <si>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</si>
  <si>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</si>
  <si>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</si>
  <si>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</si>
  <si>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</si>
  <si>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</si>
  <si>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</si>
  <si>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</si>
  <si>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</si>
  <si>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</si>
  <si>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</si>
  <si>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</si>
  <si>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</si>
  <si>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</si>
  <si>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</si>
  <si>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</si>
  <si>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</si>
  <si>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</si>
  <si>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</si>
  <si>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</si>
  <si>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</si>
  <si>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</si>
  <si>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</si>
  <si>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</si>
  <si>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</si>
  <si>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</si>
  <si>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</si>
  <si>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</si>
  <si>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</si>
  <si>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</si>
  <si>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</si>
  <si>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</si>
  <si>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</si>
  <si>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</si>
  <si>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</si>
  <si>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</si>
  <si>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</si>
  <si>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</si>
  <si>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</si>
  <si>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</si>
  <si>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</si>
  <si>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</si>
  <si>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</si>
  <si>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</si>
  <si>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</si>
  <si>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</si>
  <si>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</si>
  <si>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</si>
  <si>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</si>
  <si>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</si>
  <si>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</si>
  <si>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</si>
  <si>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</si>
  <si>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</si>
  <si>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</si>
  <si>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</si>
  <si>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</si>
  <si>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</si>
  <si>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</si>
  <si>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</si>
  <si>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</si>
  <si>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</si>
  <si>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</si>
  <si>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</si>
  <si>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</si>
  <si>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</si>
  <si>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</si>
  <si>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</si>
  <si>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</si>
  <si>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</si>
  <si>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</si>
  <si>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</si>
  <si>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</si>
  <si>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</si>
  <si>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</si>
  <si>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</si>
  <si>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</si>
  <si>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</si>
  <si>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</si>
  <si>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</si>
  <si>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</si>
  <si>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</si>
  <si>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</si>
  <si>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</si>
  <si>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</si>
  <si>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</si>
  <si>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</si>
  <si>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</si>
  <si>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</si>
  <si>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</si>
  <si>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</si>
  <si>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</si>
  <si>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</si>
  <si>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</si>
  <si>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</si>
  <si>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</si>
  <si>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</si>
  <si>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</si>
  <si>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</si>
  <si>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</si>
  <si>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</si>
  <si>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</si>
  <si>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</si>
  <si>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</si>
  <si>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</si>
  <si>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</si>
  <si>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</si>
  <si>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</si>
  <si>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</si>
  <si>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</si>
  <si>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</si>
  <si>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</si>
  <si>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</si>
  <si>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</si>
  <si>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</si>
  <si>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</si>
  <si>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</si>
  <si>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</si>
  <si>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</si>
  <si>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</si>
  <si>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</si>
  <si>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</si>
  <si>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</si>
  <si>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</si>
  <si>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</si>
  <si>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</si>
  <si>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</si>
  <si>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</si>
  <si>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</si>
  <si>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</si>
  <si>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</si>
  <si>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</si>
  <si>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</si>
  <si>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</si>
  <si>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</si>
  <si>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</si>
  <si>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</si>
  <si>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</si>
  <si>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</si>
  <si>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</si>
  <si>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</si>
  <si>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</si>
  <si>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</si>
  <si>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</si>
  <si>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</si>
  <si>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</si>
  <si>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</si>
  <si>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</si>
  <si>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</si>
  <si>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</si>
  <si>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</si>
  <si>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</si>
  <si>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</si>
  <si>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</si>
  <si>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</si>
  <si>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</si>
  <si>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</si>
  <si>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</si>
  <si>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</si>
  <si>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</si>
  <si>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</si>
  <si>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</si>
  <si>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</si>
  <si>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</si>
  <si>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</si>
  <si>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</si>
  <si>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</si>
  <si>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</si>
  <si>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</si>
  <si>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</si>
  <si>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</si>
  <si>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</si>
  <si>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</si>
  <si>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</si>
  <si>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</si>
  <si>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</si>
  <si>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</si>
  <si>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</si>
  <si>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</si>
  <si>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</si>
  <si>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</si>
  <si>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</si>
  <si>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</si>
  <si>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</si>
  <si>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</si>
  <si>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</si>
  <si>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</si>
  <si>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</si>
  <si>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</si>
  <si>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</si>
  <si>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</si>
  <si>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</si>
  <si>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</si>
  <si>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</si>
  <si>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</si>
  <si>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</si>
  <si>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</si>
  <si>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</si>
  <si>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</si>
  <si>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</si>
  <si>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</si>
  <si>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</si>
  <si>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</si>
  <si>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</si>
  <si>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</si>
  <si>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</si>
  <si>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</si>
  <si>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</si>
  <si>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</si>
  <si>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</si>
  <si>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</si>
  <si>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</si>
  <si>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</si>
  <si>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</si>
  <si>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</si>
  <si>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</si>
  <si>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</si>
  <si>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</si>
  <si>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</si>
  <si>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</si>
  <si>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</si>
  <si>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</si>
  <si>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</si>
  <si>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</si>
  <si>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</si>
  <si>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</si>
  <si>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</si>
  <si>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</si>
  <si>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</si>
  <si>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</si>
  <si>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</si>
  <si>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</si>
  <si>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</si>
  <si>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</si>
  <si>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</si>
  <si>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</si>
  <si>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</si>
  <si>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</si>
  <si>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</si>
  <si>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</si>
  <si>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</si>
  <si>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</si>
  <si>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</si>
  <si>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</si>
  <si>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</si>
  <si>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</si>
  <si>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</si>
  <si>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</si>
  <si>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</si>
  <si>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</si>
  <si>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</si>
  <si>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</si>
  <si>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</si>
  <si>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</si>
  <si>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</si>
  <si>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</si>
  <si>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</si>
  <si>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</si>
  <si>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</si>
  <si>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</si>
  <si>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</si>
  <si>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</si>
  <si>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</si>
  <si>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</si>
  <si>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</si>
  <si>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</si>
  <si>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</si>
  <si>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</si>
  <si>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</si>
  <si>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</si>
  <si>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</si>
  <si>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</si>
  <si>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</si>
  <si>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</si>
  <si>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</si>
  <si>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</si>
  <si>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</si>
  <si>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</si>
  <si>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</si>
  <si>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</si>
  <si>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</si>
  <si>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</si>
  <si>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</si>
  <si>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</si>
  <si>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</si>
  <si>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</si>
  <si>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</si>
  <si>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</si>
  <si>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</si>
  <si>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</si>
  <si>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</si>
  <si>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</si>
  <si>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</si>
  <si>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</si>
  <si>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</si>
  <si>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</si>
  <si>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</si>
  <si>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</si>
  <si>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</si>
  <si>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</si>
  <si>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</si>
  <si>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</si>
  <si>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</si>
  <si>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</si>
  <si>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</si>
  <si>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</si>
  <si>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</si>
  <si>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</si>
  <si>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</si>
  <si>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</si>
  <si>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</si>
  <si>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</si>
  <si>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</si>
  <si>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</si>
  <si>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</si>
  <si>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</si>
  <si>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</si>
  <si>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</si>
  <si>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</si>
  <si>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</si>
  <si>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</si>
  <si>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</si>
  <si>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</si>
  <si>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</si>
  <si>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</si>
  <si>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</si>
  <si>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</si>
  <si>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</si>
  <si>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</si>
  <si>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</si>
  <si>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</si>
  <si>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</si>
  <si>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</si>
  <si>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</si>
  <si>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</si>
  <si>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</si>
  <si>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</si>
  <si>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</si>
  <si>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</si>
  <si>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</si>
  <si>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</si>
  <si>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</si>
  <si>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</si>
  <si>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</si>
  <si>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</si>
  <si>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</si>
  <si>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</si>
  <si>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</si>
  <si>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</si>
  <si>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</si>
  <si>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</si>
  <si>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</si>
  <si>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</si>
  <si>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</si>
  <si>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</si>
  <si>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</si>
  <si>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</si>
  <si>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</si>
  <si>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</si>
  <si>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</si>
  <si>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</si>
  <si>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</si>
  <si>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</si>
  <si>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</si>
  <si>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</si>
  <si>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</si>
  <si>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</si>
  <si>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</si>
  <si>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</si>
  <si>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</si>
  <si>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</si>
  <si>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</si>
  <si>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</si>
  <si>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</si>
  <si>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</si>
  <si>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</si>
  <si>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</si>
  <si>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</si>
  <si>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</si>
  <si>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</si>
  <si>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</si>
  <si>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</si>
  <si>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</si>
  <si>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</si>
  <si>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</si>
  <si>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</si>
  <si>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</si>
  <si>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</si>
  <si>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</si>
  <si>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</si>
  <si>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</si>
  <si>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</si>
  <si>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</si>
  <si>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</si>
  <si>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</si>
  <si>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</si>
  <si>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</si>
  <si>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</si>
  <si>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</si>
  <si>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</si>
  <si>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</si>
  <si>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</si>
  <si>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</si>
  <si>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</si>
  <si>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</si>
  <si>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</si>
  <si>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</si>
  <si>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</si>
  <si>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</si>
  <si>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</si>
  <si>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</si>
  <si>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</si>
  <si>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</si>
  <si>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</si>
  <si>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</si>
  <si>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</si>
  <si>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</si>
  <si>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</si>
  <si>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</si>
  <si>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</si>
  <si>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</si>
  <si>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</si>
  <si>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</si>
  <si>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</si>
  <si>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</si>
  <si>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</si>
  <si>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</si>
  <si>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</si>
  <si>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</si>
  <si>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</si>
  <si>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</si>
  <si>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</si>
  <si>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</si>
  <si>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</si>
  <si>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</si>
  <si>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</si>
  <si>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</si>
  <si>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</si>
  <si>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</si>
  <si>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</si>
  <si>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</si>
  <si>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</si>
  <si>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</si>
  <si>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</si>
  <si>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</si>
  <si>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</si>
  <si>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</si>
  <si>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</si>
  <si>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</si>
  <si>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</si>
  <si>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</si>
  <si>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</si>
  <si>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</si>
  <si>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</si>
  <si>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</si>
  <si>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</si>
  <si>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</si>
  <si>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</si>
  <si>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</si>
  <si>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</si>
  <si>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</si>
  <si>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</si>
  <si>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</si>
  <si>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</si>
  <si>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</si>
  <si>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</si>
  <si>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</si>
  <si>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</si>
  <si>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</si>
  <si>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</si>
  <si>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</si>
  <si>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</si>
  <si>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</si>
  <si>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</si>
  <si>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</si>
  <si>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</si>
  <si>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</si>
  <si>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</si>
  <si>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</si>
  <si>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</si>
  <si>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</si>
  <si>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</si>
  <si>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</si>
  <si>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</si>
  <si>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</si>
  <si>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</si>
  <si>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</si>
  <si>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</si>
  <si>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</si>
  <si>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</si>
  <si>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</si>
  <si>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</si>
  <si>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</si>
  <si>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</si>
  <si>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</si>
  <si>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</si>
  <si>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</si>
  <si>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</si>
  <si>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</si>
  <si>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</si>
  <si>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</si>
  <si>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</si>
  <si>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</si>
  <si>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</si>
  <si>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</si>
  <si>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</si>
  <si>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</si>
  <si>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</si>
  <si>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</si>
  <si>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</si>
  <si>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</si>
  <si>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</si>
  <si>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</si>
  <si>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</si>
  <si>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</si>
  <si>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</si>
  <si>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</si>
  <si>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</si>
  <si>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</si>
  <si>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</si>
  <si>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</si>
  <si>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</si>
  <si>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</si>
  <si>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</si>
  <si>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</si>
  <si>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</si>
  <si>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</si>
  <si>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</si>
  <si>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</si>
  <si>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</si>
  <si>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</si>
  <si>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</si>
  <si>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</si>
  <si>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</si>
  <si>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</si>
  <si>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</si>
  <si>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</si>
  <si>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</si>
  <si>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</si>
  <si>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</si>
  <si>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</si>
  <si>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</si>
  <si>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</si>
  <si>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</si>
  <si>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</si>
  <si>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</si>
  <si>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</si>
  <si>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</si>
  <si>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</si>
  <si>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</si>
  <si>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</si>
  <si>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</si>
  <si>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</si>
  <si>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</si>
  <si>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</si>
  <si>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</si>
  <si>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</si>
  <si>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</si>
  <si>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</si>
  <si>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</si>
  <si>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</si>
  <si>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</si>
  <si>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</si>
  <si>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</si>
  <si>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</si>
  <si>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</si>
  <si>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</si>
  <si>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</si>
  <si>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</si>
  <si>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</si>
  <si>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</si>
  <si>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</si>
  <si>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</si>
  <si>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</si>
  <si>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</si>
  <si>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</si>
  <si>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</si>
  <si>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</si>
  <si>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</si>
  <si>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</si>
  <si>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</si>
  <si>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</si>
  <si>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</si>
  <si>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</si>
  <si>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</si>
  <si>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</si>
  <si>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</si>
  <si>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</si>
  <si>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</si>
  <si>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</si>
  <si>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</si>
  <si>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</si>
  <si>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</si>
  <si>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</si>
  <si>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</si>
  <si>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</si>
  <si>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</si>
  <si>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</si>
  <si>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</si>
  <si>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</si>
  <si>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</si>
  <si>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</si>
  <si>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</si>
  <si>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</si>
  <si>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</si>
  <si>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</si>
  <si>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</si>
  <si>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</si>
  <si>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</si>
  <si>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</si>
  <si>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</si>
  <si>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</si>
  <si>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</si>
  <si>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</si>
  <si>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</si>
  <si>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</si>
  <si>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</si>
  <si>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</si>
  <si>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</si>
  <si>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</si>
  <si>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</si>
  <si>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</si>
  <si>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</si>
  <si>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</si>
  <si>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</si>
  <si>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</si>
  <si>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</si>
  <si>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</si>
  <si>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</si>
  <si>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</si>
  <si>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</si>
  <si>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</si>
  <si>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</si>
  <si>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</si>
  <si>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</si>
  <si>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</si>
  <si>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</si>
  <si>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</si>
  <si>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</si>
  <si>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</si>
  <si>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</si>
  <si>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</si>
  <si>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</si>
  <si>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</si>
  <si>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</si>
  <si>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</si>
  <si>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</si>
  <si>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</si>
  <si>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</si>
  <si>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</si>
  <si>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</si>
  <si>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</si>
  <si>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</si>
  <si>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</si>
  <si>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</si>
  <si>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</si>
  <si>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</si>
  <si>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</si>
  <si>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</si>
  <si>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</si>
  <si>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</si>
  <si>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</si>
  <si>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</si>
  <si>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</si>
  <si>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</si>
  <si>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</si>
  <si>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</si>
  <si>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</si>
  <si>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</si>
  <si>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</si>
  <si>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</si>
  <si>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</si>
  <si>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</si>
  <si>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</si>
  <si>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</si>
  <si>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</si>
  <si>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</si>
  <si>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</si>
  <si>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</si>
  <si>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</si>
  <si>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</si>
  <si>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</si>
  <si>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</si>
  <si>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</si>
  <si>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</si>
  <si>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</si>
  <si>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</si>
  <si>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</si>
  <si>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</si>
  <si>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</si>
  <si>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</si>
  <si>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</si>
  <si>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</si>
  <si>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</si>
  <si>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</si>
  <si>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</si>
  <si>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</si>
  <si>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</si>
  <si>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</si>
  <si>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</si>
  <si>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</si>
  <si>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</si>
  <si>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</si>
  <si>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</si>
  <si>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</si>
  <si>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</si>
  <si>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</si>
  <si>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</si>
  <si>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</si>
  <si>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</si>
  <si>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</si>
  <si>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</si>
  <si>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</si>
  <si>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</si>
  <si>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</si>
  <si>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</si>
  <si>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</si>
  <si>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</si>
  <si>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</si>
  <si>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</si>
  <si>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</si>
  <si>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</si>
  <si>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</si>
  <si>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</si>
  <si>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</si>
  <si>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</si>
  <si>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</si>
  <si>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</si>
  <si>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</si>
  <si>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</si>
  <si>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</si>
  <si>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</si>
  <si>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</si>
  <si>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</si>
  <si>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</si>
  <si>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</si>
  <si>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</si>
  <si>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</si>
  <si>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</si>
  <si>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</si>
  <si>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</si>
  <si>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</si>
  <si>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</si>
  <si>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</si>
  <si>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</si>
  <si>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</si>
  <si>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</si>
  <si>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</si>
  <si>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</si>
  <si>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</si>
  <si>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</si>
  <si>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</si>
  <si>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</si>
  <si>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</si>
  <si>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</si>
  <si>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</si>
  <si>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</si>
  <si>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</si>
  <si>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</si>
  <si>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</si>
  <si>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</si>
  <si>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</si>
  <si>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</si>
  <si>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</si>
  <si>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</si>
  <si>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</si>
  <si>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</si>
  <si>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</si>
  <si>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</si>
  <si>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</si>
  <si>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</si>
  <si>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</si>
  <si>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</si>
  <si>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</si>
  <si>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</si>
  <si>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</si>
  <si>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</si>
  <si>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</si>
  <si>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</si>
  <si>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</si>
  <si>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</si>
  <si>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</si>
  <si>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</si>
  <si>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</si>
  <si>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</si>
  <si>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</si>
  <si>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</si>
  <si>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</si>
  <si>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</si>
  <si>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</si>
  <si>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</si>
  <si>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</si>
  <si>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</si>
  <si>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</si>
  <si>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</si>
  <si>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</si>
  <si>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</si>
  <si>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</si>
  <si>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</si>
  <si>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</si>
  <si>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</si>
  <si>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</si>
  <si>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</si>
  <si>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</si>
  <si>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</si>
  <si>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</si>
  <si>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</si>
  <si>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</si>
  <si>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</si>
  <si>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</si>
  <si>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</si>
  <si>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</si>
  <si>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</si>
  <si>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</si>
  <si>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</si>
  <si>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</si>
  <si>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</si>
  <si>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</si>
  <si>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</si>
  <si>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</si>
  <si>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</si>
  <si>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</si>
  <si>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</si>
  <si>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</si>
  <si>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</si>
  <si>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</si>
  <si>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</si>
  <si>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</si>
  <si>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</si>
  <si>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</si>
  <si>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</si>
  <si>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</si>
  <si>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</si>
  <si>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</si>
  <si>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</si>
  <si>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</si>
  <si>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</si>
  <si>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</si>
  <si>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</si>
  <si>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</si>
  <si>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</si>
  <si>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</si>
  <si>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</si>
  <si>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</si>
  <si>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</si>
  <si>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</si>
  <si>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</si>
  <si>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</si>
  <si>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</si>
  <si>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</si>
  <si>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</si>
  <si>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</si>
  <si>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</si>
  <si>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</si>
  <si>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</si>
  <si>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</si>
  <si>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</si>
  <si>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</si>
  <si>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</si>
  <si>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</si>
  <si>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</si>
  <si>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</si>
  <si>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</si>
  <si>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</si>
  <si>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</si>
  <si>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</si>
  <si>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</si>
  <si>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</si>
  <si>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</si>
  <si>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</si>
  <si>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</si>
  <si>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</si>
  <si>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</si>
  <si>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</si>
  <si>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</si>
  <si>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</si>
  <si>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</si>
  <si>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</si>
  <si>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</si>
  <si>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</si>
  <si>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</si>
  <si>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</si>
  <si>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</si>
  <si>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</si>
  <si>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</si>
  <si>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</si>
  <si>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</si>
  <si>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</si>
  <si>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</si>
  <si>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</si>
  <si>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</si>
  <si>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</si>
  <si>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</si>
  <si>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</si>
  <si>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</si>
  <si>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</si>
  <si>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</si>
  <si>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</si>
  <si>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</si>
  <si>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</si>
  <si>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</si>
  <si>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</si>
  <si>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</si>
  <si>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</si>
  <si>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</si>
  <si>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</si>
  <si>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</si>
  <si>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</si>
  <si>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</si>
  <si>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</si>
  <si>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</si>
  <si>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</si>
  <si>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</si>
  <si>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</si>
  <si>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</si>
  <si>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</si>
  <si>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</si>
  <si>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</si>
  <si>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</si>
  <si>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</si>
  <si>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</si>
  <si>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</si>
  <si>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</si>
  <si>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</si>
  <si>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</si>
  <si>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</si>
  <si>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</si>
  <si>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</si>
  <si>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</si>
  <si>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</si>
  <si>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</si>
  <si>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</si>
  <si>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</si>
  <si>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</si>
  <si>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</si>
  <si>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</si>
  <si>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</si>
  <si>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</si>
  <si>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</si>
  <si>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</si>
  <si>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</si>
  <si>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</si>
  <si>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</si>
  <si>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</si>
  <si>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</si>
  <si>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</si>
  <si>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</si>
  <si>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</si>
  <si>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</si>
  <si>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</si>
  <si>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</si>
  <si>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</si>
  <si>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</si>
  <si>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</si>
  <si>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</si>
  <si>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</si>
  <si>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</si>
  <si>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</si>
  <si>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</si>
  <si>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</si>
  <si>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</si>
  <si>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</si>
  <si>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</si>
  <si>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</si>
  <si>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</si>
  <si>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</si>
  <si>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</si>
  <si>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</si>
  <si>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</si>
  <si>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</si>
  <si>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</si>
  <si>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</si>
  <si>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</si>
  <si>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</si>
  <si>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</si>
  <si>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</si>
  <si>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</si>
  <si>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</si>
  <si>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</si>
  <si>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</si>
  <si>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</si>
  <si>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</si>
  <si>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</si>
  <si>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</si>
  <si>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</si>
  <si>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</si>
  <si>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</si>
  <si>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</si>
  <si>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</si>
  <si>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</si>
  <si>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</si>
  <si>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</si>
  <si>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</si>
  <si>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</si>
  <si>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</si>
  <si>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</si>
  <si>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</si>
  <si>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</si>
  <si>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</si>
  <si>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</si>
  <si>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</si>
  <si>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</si>
  <si>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</si>
  <si>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</si>
  <si>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</si>
  <si>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</si>
  <si>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</si>
  <si>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</si>
  <si>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</si>
  <si>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</si>
  <si>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</si>
  <si>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</si>
  <si>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</si>
  <si>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</si>
  <si>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</si>
  <si>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</si>
  <si>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</si>
  <si>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</si>
  <si>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</si>
  <si>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</si>
  <si>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</si>
  <si>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</si>
  <si>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</si>
  <si>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</si>
  <si>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</si>
  <si>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</si>
  <si>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</si>
  <si>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</si>
  <si>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</si>
  <si>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</si>
  <si>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</si>
  <si>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</si>
  <si>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</si>
  <si>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</si>
  <si>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</si>
  <si>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</si>
  <si>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</si>
  <si>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</si>
  <si>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</si>
  <si>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</si>
  <si>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</si>
  <si>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</si>
  <si>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</si>
  <si>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</si>
  <si>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</si>
  <si>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</si>
  <si>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</si>
  <si>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</si>
  <si>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</si>
  <si>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</si>
  <si>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</si>
  <si>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</si>
  <si>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</si>
  <si>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</si>
  <si>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</si>
  <si>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</si>
  <si>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</si>
  <si>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</si>
  <si>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</si>
  <si>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</si>
  <si>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</si>
  <si>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</si>
  <si>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</si>
  <si>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</si>
  <si>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</si>
  <si>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</si>
  <si>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</si>
  <si>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</si>
  <si>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</si>
  <si>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</si>
  <si>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</si>
  <si>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</si>
  <si>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</si>
  <si>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</si>
  <si>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</si>
  <si>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</si>
  <si>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</si>
  <si>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</si>
  <si>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</si>
  <si>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</si>
  <si>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</si>
  <si>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</si>
  <si>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</si>
  <si>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</si>
  <si>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</si>
  <si>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</si>
  <si>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</si>
  <si>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</si>
  <si>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</si>
  <si>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</si>
  <si>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</si>
  <si>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</si>
  <si>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</si>
  <si>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</si>
  <si>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</si>
  <si>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</si>
  <si>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</si>
  <si>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</si>
  <si>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</si>
  <si>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</si>
  <si>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</si>
  <si>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</si>
  <si>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</si>
  <si>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</si>
  <si>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</si>
  <si>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</si>
  <si>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</si>
  <si>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</si>
  <si>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</si>
  <si>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</si>
  <si>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</si>
  <si>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</si>
  <si>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</si>
  <si>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</si>
  <si>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</si>
  <si>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</si>
  <si>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</si>
  <si>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</si>
  <si>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</si>
  <si>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</si>
  <si>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</si>
  <si>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</si>
  <si>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</si>
  <si>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</si>
  <si>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</si>
  <si>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</si>
  <si>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</si>
  <si>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</si>
  <si>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</si>
  <si>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</si>
  <si>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</si>
  <si>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</si>
  <si>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</si>
  <si>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</si>
  <si>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</si>
  <si>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</si>
  <si>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</si>
  <si>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</si>
  <si>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</si>
  <si>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</si>
  <si>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</si>
  <si>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</si>
  <si>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</si>
  <si>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</si>
  <si>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</si>
  <si>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</si>
  <si>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</si>
  <si>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</si>
  <si>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</si>
  <si>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</si>
  <si>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</si>
  <si>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</si>
  <si>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</si>
  <si>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</si>
  <si>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</si>
  <si>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</si>
  <si>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</si>
  <si>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</si>
  <si>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</si>
  <si>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</si>
  <si>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</si>
  <si>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</si>
  <si>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</si>
  <si>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</si>
  <si>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</si>
  <si>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</si>
  <si>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</si>
  <si>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</si>
  <si>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</si>
  <si>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</si>
  <si>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</si>
  <si>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</si>
  <si>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</si>
  <si>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</si>
  <si>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</si>
  <si>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</si>
  <si>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</si>
  <si>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</si>
  <si>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</si>
  <si>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</si>
  <si>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</si>
  <si>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</si>
  <si>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</si>
  <si>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</si>
  <si>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</si>
  <si>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</si>
  <si>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</si>
  <si>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</si>
  <si>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</si>
  <si>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</si>
  <si>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</si>
  <si>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</si>
  <si>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</si>
  <si>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</si>
  <si>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</si>
  <si>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</si>
  <si>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</si>
  <si>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</si>
  <si>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</si>
  <si>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</si>
  <si>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</si>
  <si>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</si>
  <si>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</si>
  <si>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</si>
  <si>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</si>
  <si>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</si>
  <si>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</si>
  <si>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</si>
  <si>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</si>
  <si>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</si>
  <si>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</si>
  <si>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</si>
  <si>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</si>
  <si>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</si>
  <si>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</si>
  <si>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</si>
  <si>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</si>
  <si>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</si>
  <si>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</si>
  <si>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</si>
  <si>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</si>
  <si>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</si>
  <si>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</si>
  <si>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</si>
  <si>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</si>
  <si>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</si>
  <si>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</si>
  <si>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</si>
  <si>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</si>
  <si>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</si>
  <si>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</si>
  <si>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</si>
  <si>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</si>
  <si>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</si>
  <si>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</si>
  <si>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</si>
  <si>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</si>
  <si>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</si>
  <si>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</si>
  <si>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</si>
  <si>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</si>
  <si>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</si>
  <si>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</si>
  <si>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</si>
  <si>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</si>
  <si>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</si>
  <si>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</si>
  <si>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</si>
  <si>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</si>
  <si>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</si>
  <si>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</si>
  <si>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</si>
  <si>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</si>
  <si>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</si>
  <si>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</si>
  <si>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</si>
  <si>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</si>
  <si>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</si>
  <si>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</si>
  <si>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</si>
  <si>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</si>
  <si>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</si>
  <si>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</si>
  <si>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</si>
  <si>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</si>
  <si>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</si>
  <si>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</si>
  <si>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</si>
  <si>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</si>
  <si>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</si>
  <si>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</si>
  <si>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</si>
  <si>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</si>
  <si>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</si>
  <si>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</si>
  <si>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</si>
  <si>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</si>
  <si>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</si>
  <si>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</si>
  <si>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</si>
  <si>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</si>
  <si>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</si>
  <si>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</si>
  <si>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</si>
  <si>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</si>
  <si>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</si>
  <si>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</si>
  <si>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</si>
  <si>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</si>
  <si>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</si>
  <si>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</si>
  <si>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</si>
  <si>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</si>
  <si>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</si>
  <si>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</si>
  <si>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</si>
  <si>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</si>
  <si>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</si>
  <si>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</si>
  <si>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</si>
  <si>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</si>
  <si>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</si>
  <si>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</si>
  <si>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</si>
  <si>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</si>
  <si>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</si>
  <si>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</si>
  <si>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</si>
  <si>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</si>
  <si>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</si>
  <si>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</si>
  <si>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</si>
  <si>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</si>
  <si>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</si>
  <si>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</si>
  <si>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</si>
  <si>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</si>
  <si>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</si>
  <si>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</si>
  <si>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</si>
  <si>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</si>
  <si>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</si>
  <si>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</si>
  <si>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</si>
  <si>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</si>
  <si>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</si>
  <si>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</si>
  <si>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</si>
  <si>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</si>
  <si>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</si>
  <si>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</si>
  <si>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</si>
  <si>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</si>
  <si>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</si>
  <si>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</si>
  <si>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</si>
  <si>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</si>
  <si>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</si>
  <si>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</si>
  <si>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</si>
  <si>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</si>
  <si>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</si>
  <si>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</si>
  <si>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</si>
  <si>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</si>
  <si>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</si>
  <si>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</si>
  <si>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</si>
  <si>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</si>
  <si>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</si>
  <si>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</si>
  <si>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</si>
  <si>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</si>
  <si>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</si>
  <si>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</si>
  <si>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</si>
  <si>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</si>
  <si>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</si>
  <si>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</si>
  <si>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</si>
  <si>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</si>
  <si>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</si>
  <si>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</si>
  <si>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</si>
  <si>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</si>
  <si>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</si>
  <si>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</si>
  <si>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</si>
  <si>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</si>
  <si>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</si>
  <si>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</si>
  <si>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</si>
  <si>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</si>
  <si>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</si>
  <si>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</si>
  <si>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</si>
  <si>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</si>
  <si>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</si>
  <si>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</si>
  <si>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</si>
  <si>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</si>
  <si>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</si>
  <si>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</si>
  <si>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</si>
  <si>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</si>
  <si>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</si>
  <si>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</si>
  <si>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</si>
  <si>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</si>
  <si>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</si>
  <si>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</si>
  <si>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</si>
  <si>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</si>
  <si>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</si>
  <si>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</si>
  <si>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</si>
  <si>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</si>
  <si>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</si>
  <si>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</si>
  <si>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</si>
  <si>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</si>
  <si>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</si>
  <si>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</si>
  <si>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</si>
  <si>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</si>
  <si>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</si>
  <si>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</si>
  <si>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</si>
  <si>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</si>
  <si>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</si>
  <si>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</si>
  <si>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</si>
  <si>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</si>
  <si>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</si>
  <si>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</si>
  <si>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</si>
  <si>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</si>
  <si>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</si>
  <si>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</si>
  <si>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</si>
  <si>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</si>
  <si>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</si>
  <si>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</si>
  <si>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</si>
  <si>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</si>
  <si>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</si>
  <si>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</si>
  <si>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</si>
  <si>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</si>
  <si>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</si>
  <si>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</si>
  <si>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</si>
  <si>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</si>
  <si>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</si>
  <si>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</si>
  <si>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</si>
  <si>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</si>
  <si>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</si>
  <si>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</si>
  <si>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</si>
  <si>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</si>
  <si>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</si>
  <si>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</si>
  <si>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</si>
  <si>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</si>
  <si>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</si>
  <si>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</si>
  <si>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</si>
  <si>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</si>
  <si>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</si>
  <si>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</si>
  <si>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</si>
  <si>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</si>
  <si>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</si>
  <si>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</si>
  <si>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</si>
  <si>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</si>
  <si>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</si>
  <si>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</si>
  <si>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</si>
  <si>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</si>
  <si>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</si>
  <si>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</si>
  <si>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</si>
  <si>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</si>
  <si>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</si>
  <si>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</si>
  <si>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</si>
  <si>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</si>
  <si>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</si>
  <si>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</si>
  <si>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</si>
  <si>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</si>
  <si>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</si>
  <si>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</si>
  <si>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</si>
  <si>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</si>
  <si>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</si>
  <si>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</si>
  <si>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</si>
  <si>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</si>
  <si>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</si>
  <si>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</si>
  <si>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</si>
  <si>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</si>
  <si>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</si>
  <si>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</si>
  <si>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</si>
  <si>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</si>
  <si>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</si>
  <si>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</si>
  <si>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</si>
  <si>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</si>
  <si>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</si>
  <si>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</si>
  <si>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</si>
  <si>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</si>
  <si>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</si>
  <si>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</si>
  <si>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</si>
  <si>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</si>
  <si>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</si>
  <si>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</si>
  <si>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</si>
  <si>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</si>
  <si>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</si>
  <si>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</si>
  <si>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</si>
  <si>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</si>
  <si>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</si>
  <si>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</si>
  <si>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</si>
  <si>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</si>
  <si>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</si>
  <si>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</si>
  <si>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</si>
  <si>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</si>
  <si>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</si>
  <si>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</si>
  <si>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</si>
  <si>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</si>
  <si>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</si>
  <si>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</si>
  <si>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</si>
  <si>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</si>
  <si>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</si>
  <si>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</si>
  <si>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</si>
  <si>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</si>
  <si>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</si>
  <si>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</si>
  <si>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</si>
  <si>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</si>
  <si>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</si>
  <si>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</si>
  <si>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</si>
  <si>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</si>
  <si>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</si>
  <si>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</si>
  <si>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</si>
  <si>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</si>
  <si>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</si>
  <si>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</si>
  <si>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</si>
  <si>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</si>
  <si>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</si>
  <si>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</si>
  <si>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</si>
  <si>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</si>
  <si>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</si>
  <si>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</si>
  <si>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</si>
  <si>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</si>
  <si>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</si>
  <si>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</si>
  <si>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</si>
  <si>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</si>
  <si>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</si>
  <si>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</si>
  <si>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</si>
  <si>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</si>
  <si>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</si>
  <si>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</si>
  <si>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</si>
  <si>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</si>
  <si>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</si>
  <si>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</si>
  <si>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</si>
  <si>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</si>
  <si>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</si>
  <si>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</si>
  <si>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</si>
  <si>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</si>
  <si>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</si>
  <si>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</si>
  <si>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</si>
  <si>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</si>
  <si>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</si>
  <si>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</si>
  <si>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</si>
  <si>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</si>
  <si>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</si>
  <si>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</si>
  <si>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</si>
  <si>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</si>
  <si>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</si>
  <si>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</si>
  <si>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</si>
  <si>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</si>
  <si>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</si>
  <si>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</si>
  <si>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</si>
  <si>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</si>
  <si>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</si>
  <si>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</si>
  <si>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</si>
  <si>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</si>
  <si>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</si>
  <si>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</si>
  <si>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</si>
  <si>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</si>
  <si>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</si>
  <si>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</si>
  <si>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</si>
  <si>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</si>
  <si>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</si>
  <si>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</si>
  <si>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</si>
  <si>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</si>
  <si>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</si>
  <si>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</si>
  <si>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</si>
  <si>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</si>
  <si>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</si>
  <si>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</si>
  <si>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</si>
  <si>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</si>
  <si>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</si>
  <si>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</si>
  <si>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</si>
  <si>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</si>
  <si>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</si>
  <si>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</si>
  <si>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</si>
  <si>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</si>
  <si>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</si>
  <si>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</si>
  <si>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</si>
  <si>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</si>
  <si>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</si>
  <si>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</si>
  <si>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</si>
  <si>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</si>
  <si>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</si>
  <si>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</si>
  <si>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</si>
  <si>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</si>
  <si>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</si>
  <si>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</si>
  <si>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</si>
  <si>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</si>
  <si>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</si>
  <si>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</si>
  <si>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</si>
  <si>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</si>
  <si>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</si>
  <si>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</si>
  <si>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</si>
  <si>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</si>
  <si>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</si>
  <si>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</si>
  <si>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</si>
  <si>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</si>
  <si>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</si>
  <si>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</si>
  <si>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</si>
  <si>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</si>
  <si>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</si>
  <si>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</si>
  <si>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</si>
  <si>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</si>
  <si>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</si>
  <si>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</si>
  <si>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</si>
  <si>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</si>
  <si>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</si>
  <si>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</si>
  <si>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</si>
  <si>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</si>
  <si>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</si>
  <si>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</si>
  <si>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</si>
  <si>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</si>
  <si>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</si>
  <si>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</si>
  <si>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</si>
  <si>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</si>
  <si>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</si>
  <si>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</si>
  <si>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</si>
  <si>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</si>
  <si>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</si>
  <si>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</si>
  <si>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</si>
  <si>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</si>
  <si>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</si>
  <si>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</si>
  <si>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</si>
  <si>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</si>
  <si>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</si>
  <si>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</si>
  <si>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</si>
  <si>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</si>
  <si>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</si>
  <si>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</si>
  <si>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</si>
  <si>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</si>
  <si>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</si>
  <si>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</si>
  <si>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</si>
  <si>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</si>
  <si>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</si>
  <si>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</si>
  <si>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</si>
  <si>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</si>
  <si>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</si>
  <si>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</si>
  <si>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</si>
  <si>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</si>
  <si>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</si>
  <si>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</si>
  <si>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</si>
  <si>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</si>
  <si>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</si>
  <si>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</si>
  <si>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</si>
  <si>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</si>
  <si>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</si>
  <si>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</si>
  <si>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</si>
  <si>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</si>
  <si>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</si>
  <si>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</si>
  <si>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</si>
  <si>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</si>
  <si>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</si>
  <si>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</si>
  <si>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</si>
  <si>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</si>
  <si>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</si>
  <si>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</si>
  <si>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</si>
  <si>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</si>
  <si>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</si>
  <si>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</si>
  <si>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</si>
  <si>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</si>
  <si>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</si>
  <si>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</si>
  <si>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</si>
  <si>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</si>
  <si>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</si>
  <si>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</si>
  <si>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</si>
  <si>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</si>
  <si>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</si>
  <si>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</si>
  <si>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</si>
  <si>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</si>
  <si>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</si>
  <si>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</si>
  <si>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</si>
  <si>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</si>
  <si>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</si>
  <si>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</si>
  <si>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</si>
  <si>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</si>
  <si>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</si>
  <si>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</si>
  <si>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</si>
  <si>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</si>
  <si>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</si>
  <si>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</si>
  <si>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</si>
  <si>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</si>
  <si>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</si>
  <si>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</si>
  <si>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</si>
  <si>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</si>
  <si>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</si>
  <si>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</si>
  <si>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</si>
  <si>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</si>
  <si>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</si>
  <si>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</si>
  <si>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</si>
  <si>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</si>
  <si>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</si>
  <si>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</si>
  <si>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</si>
  <si>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</si>
  <si>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</si>
  <si>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</si>
  <si>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</si>
  <si>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</si>
  <si>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</si>
  <si>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</si>
  <si>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</si>
  <si>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</si>
  <si>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</si>
  <si>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</si>
  <si>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</si>
  <si>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</si>
  <si>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</si>
  <si>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</si>
  <si>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</si>
  <si>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</si>
  <si>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</si>
  <si>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</si>
  <si>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</si>
  <si>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</si>
  <si>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</si>
  <si>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</si>
  <si>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</si>
  <si>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</si>
  <si>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</si>
  <si>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</si>
  <si>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</si>
  <si>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</si>
  <si>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</si>
  <si>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</si>
  <si>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</si>
  <si>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</si>
  <si>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</si>
  <si>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</si>
  <si>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</si>
  <si>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</si>
  <si>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</si>
  <si>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</si>
  <si>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</si>
  <si>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</si>
  <si>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</si>
  <si>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</si>
  <si>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</si>
  <si>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</si>
  <si>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</si>
  <si>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</si>
  <si>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</si>
  <si>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</si>
  <si>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</si>
  <si>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</si>
  <si>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</si>
  <si>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</si>
  <si>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</si>
  <si>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</si>
  <si>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</si>
  <si>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</si>
  <si>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</si>
  <si>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</si>
  <si>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</si>
  <si>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</si>
  <si>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</si>
  <si>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</si>
  <si>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</si>
  <si>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</si>
  <si>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</si>
  <si>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</si>
  <si>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</si>
  <si>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</si>
  <si>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</si>
  <si>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</si>
  <si>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</si>
  <si>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</si>
  <si>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</si>
  <si>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</si>
  <si>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</si>
  <si>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</si>
  <si>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</si>
  <si>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</si>
  <si>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</si>
  <si>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</si>
  <si>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</si>
  <si>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</si>
  <si>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</si>
  <si>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</si>
  <si>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</si>
  <si>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</si>
  <si>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</si>
  <si>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</si>
  <si>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</si>
  <si>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</si>
  <si>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</si>
  <si>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</si>
  <si>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</si>
  <si>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</si>
  <si>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</si>
  <si>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</si>
  <si>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</si>
  <si>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</si>
  <si>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</si>
  <si>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</si>
  <si>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</si>
  <si>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</si>
  <si>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</si>
  <si>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</si>
  <si>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</si>
  <si>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</si>
  <si>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</si>
  <si>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</si>
  <si>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</si>
  <si>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</si>
  <si>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</si>
  <si>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</si>
  <si>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</si>
  <si>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</si>
  <si>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</si>
  <si>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</si>
  <si>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</si>
  <si>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</si>
  <si>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</si>
  <si>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</si>
  <si>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</si>
  <si>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</si>
  <si>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</si>
  <si>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</si>
  <si>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</si>
  <si>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</si>
  <si>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</si>
  <si>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</si>
  <si>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</si>
  <si>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</si>
  <si>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</si>
  <si>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</si>
  <si>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</si>
  <si>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</si>
  <si>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</si>
  <si>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</si>
  <si>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</si>
  <si>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</si>
  <si>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</si>
  <si>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</si>
  <si>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</si>
  <si>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</si>
  <si>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</si>
  <si>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</si>
  <si>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</si>
  <si>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</si>
  <si>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</si>
  <si>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</si>
  <si>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</si>
  <si>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</si>
  <si>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</si>
  <si>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</si>
  <si>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</si>
  <si>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</si>
  <si>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</si>
  <si>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</si>
  <si>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</si>
  <si>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</si>
  <si>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</si>
  <si>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</si>
  <si>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</si>
  <si>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</si>
  <si>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</si>
  <si>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</si>
  <si>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</si>
  <si>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</si>
  <si>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</si>
  <si>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</si>
  <si>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</si>
  <si>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</si>
  <si>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</si>
  <si>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</si>
  <si>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</si>
  <si>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</si>
  <si>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</si>
  <si>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</si>
  <si>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</si>
  <si>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</si>
  <si>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</si>
  <si>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</si>
  <si>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</si>
  <si>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</si>
  <si>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</si>
  <si>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</si>
  <si>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</si>
  <si>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</si>
  <si>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</si>
  <si>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</si>
  <si>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</si>
  <si>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</si>
  <si>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</si>
  <si>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</si>
  <si>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</si>
  <si>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</si>
  <si>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</si>
  <si>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</si>
  <si>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</si>
  <si>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</si>
  <si>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</si>
  <si>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</si>
  <si>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</si>
  <si>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</si>
  <si>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</si>
  <si>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</si>
  <si>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</si>
  <si>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</si>
  <si>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</si>
  <si>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</si>
  <si>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</si>
  <si>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</si>
  <si>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</si>
  <si>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</si>
  <si>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</si>
  <si>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</si>
  <si>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</si>
  <si>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</si>
  <si>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</si>
  <si>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</si>
  <si>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</si>
  <si>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</si>
  <si>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</si>
  <si>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</si>
  <si>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</si>
  <si>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</si>
  <si>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</si>
  <si>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</si>
  <si>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</si>
  <si>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</si>
  <si>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</si>
  <si>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</si>
  <si>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</si>
  <si>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</si>
  <si>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</si>
  <si>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</si>
  <si>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</si>
  <si>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</si>
  <si>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</si>
  <si>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</si>
  <si>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</si>
  <si>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</si>
  <si>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</si>
  <si>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</si>
  <si>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</si>
  <si>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</si>
  <si>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</si>
  <si>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</si>
  <si>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</si>
  <si>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</si>
  <si>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</si>
  <si>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</si>
  <si>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</si>
  <si>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</si>
  <si>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</si>
  <si>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</si>
  <si>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</si>
  <si>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</si>
  <si>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</si>
  <si>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</si>
  <si>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</si>
  <si>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</si>
  <si>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</si>
  <si>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</si>
  <si>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</si>
  <si>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</si>
  <si>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</si>
  <si>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</si>
  <si>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</si>
  <si>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</si>
  <si>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</si>
  <si>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</si>
  <si>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</si>
  <si>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</si>
  <si>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</si>
  <si>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</si>
  <si>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</si>
  <si>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</si>
  <si>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</si>
  <si>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</si>
  <si>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</si>
  <si>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</si>
  <si>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</si>
  <si>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</si>
  <si>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</si>
  <si>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</si>
  <si>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</si>
  <si>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</si>
  <si>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</si>
  <si>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</si>
  <si>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</si>
  <si>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</si>
  <si>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</si>
  <si>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</si>
  <si>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</si>
  <si>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</si>
  <si>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</si>
  <si>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</si>
  <si>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</si>
  <si>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</si>
  <si>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</si>
  <si>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</si>
  <si>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</si>
  <si>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</si>
  <si>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</si>
  <si>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</si>
  <si>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</si>
  <si>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</si>
  <si>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</si>
  <si>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</si>
  <si>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</si>
  <si>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</si>
  <si>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</si>
  <si>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</si>
  <si>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</si>
  <si>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</si>
  <si>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</si>
  <si>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</si>
  <si>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</si>
  <si>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</si>
  <si>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</si>
  <si>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</si>
  <si>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</si>
  <si>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</si>
  <si>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</si>
  <si>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</si>
  <si>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</si>
  <si>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</si>
  <si>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</si>
  <si>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</si>
  <si>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</si>
  <si>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</si>
  <si>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</si>
  <si>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</si>
  <si>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</si>
  <si>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</si>
  <si>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</si>
  <si>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</si>
  <si>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</si>
  <si>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</si>
  <si>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</si>
  <si>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</si>
  <si>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</si>
  <si>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</si>
  <si>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</si>
  <si>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</si>
  <si>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</si>
  <si>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</si>
  <si>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</si>
  <si>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</si>
  <si>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</si>
  <si>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</si>
  <si>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</si>
  <si>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</si>
  <si>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</si>
  <si>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</si>
  <si>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</si>
  <si>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</si>
  <si>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</si>
  <si>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</si>
  <si>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</si>
  <si>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</si>
  <si>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</si>
  <si>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</si>
  <si>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</si>
  <si>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</si>
  <si>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</si>
  <si>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</si>
  <si>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</si>
  <si>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</si>
  <si>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</si>
  <si>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</si>
  <si>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</si>
  <si>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</si>
  <si>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</si>
  <si>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</si>
  <si>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</si>
  <si>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</si>
  <si>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</si>
  <si>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</si>
  <si>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</si>
  <si>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</si>
  <si>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</si>
  <si>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</si>
  <si>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</si>
  <si>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</si>
  <si>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</si>
  <si>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</si>
  <si>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</si>
  <si>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</si>
  <si>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</si>
  <si>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</si>
  <si>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</si>
  <si>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</si>
  <si>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</si>
  <si>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</si>
  <si>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</si>
  <si>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</si>
  <si>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</si>
  <si>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</si>
  <si>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</si>
  <si>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</si>
  <si>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</si>
  <si>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</si>
  <si>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</si>
  <si>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</si>
  <si>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</si>
  <si>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</si>
  <si>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</si>
  <si>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</si>
  <si>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</si>
  <si>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</si>
  <si>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</si>
  <si>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</si>
  <si>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</si>
  <si>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</si>
  <si>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</si>
  <si>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</si>
  <si>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</si>
  <si>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</si>
  <si>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</si>
  <si>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</si>
  <si>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</si>
  <si>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</si>
  <si>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</si>
  <si>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</si>
  <si>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</si>
  <si>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</si>
  <si>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</si>
  <si>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</si>
  <si>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</si>
  <si>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</si>
  <si>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</si>
  <si>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</si>
  <si>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</si>
  <si>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</si>
  <si>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</si>
  <si>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</si>
  <si>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</si>
  <si>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</si>
  <si>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</si>
  <si>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</si>
  <si>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</si>
  <si>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</si>
  <si>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</si>
  <si>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</si>
  <si>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</si>
  <si>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</si>
  <si>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</si>
  <si>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</si>
  <si>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</si>
  <si>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</si>
  <si>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</si>
  <si>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</si>
  <si>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</si>
  <si>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</si>
  <si>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</si>
  <si>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</si>
  <si>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</si>
  <si>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</si>
  <si>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</si>
  <si>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</si>
  <si>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</si>
  <si>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</si>
  <si>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</si>
  <si>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</si>
  <si>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</si>
  <si>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</si>
  <si>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</si>
  <si>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</si>
  <si>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</si>
  <si>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</si>
  <si>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</si>
  <si>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</si>
  <si>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</si>
  <si>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</si>
  <si>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</si>
  <si>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</si>
  <si>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</si>
  <si>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</si>
  <si>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</si>
  <si>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</si>
  <si>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</si>
  <si>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</si>
  <si>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</si>
  <si>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</si>
  <si>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</si>
  <si>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</si>
  <si>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</si>
  <si>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</si>
  <si>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</si>
  <si>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</si>
  <si>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</si>
  <si>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</si>
  <si>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</si>
  <si>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</si>
  <si>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</si>
  <si>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</si>
  <si>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</si>
  <si>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</si>
  <si>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</si>
  <si>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</si>
  <si>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</si>
  <si>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</si>
  <si>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</si>
  <si>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</si>
  <si>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</si>
  <si>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</si>
  <si>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</si>
  <si>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</si>
  <si>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</si>
  <si>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</si>
  <si>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</si>
  <si>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</si>
  <si>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</si>
  <si>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</si>
  <si>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</si>
  <si>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</si>
  <si>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</si>
  <si>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</si>
  <si>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</si>
  <si>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</si>
  <si>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</si>
  <si>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</si>
  <si>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</si>
  <si>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</si>
  <si>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</si>
  <si>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</si>
  <si>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</si>
  <si>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</si>
  <si>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</si>
  <si>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</si>
  <si>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</si>
  <si>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</si>
  <si>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</si>
  <si>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</si>
  <si>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</si>
  <si>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</si>
  <si>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</si>
  <si>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</si>
  <si>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</si>
  <si>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</si>
  <si>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</si>
  <si>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</si>
  <si>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</si>
  <si>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</si>
  <si>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</si>
  <si>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</si>
  <si>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</si>
  <si>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</si>
  <si>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</si>
  <si>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</si>
  <si>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</si>
  <si>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</si>
  <si>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</si>
  <si>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</si>
  <si>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</si>
  <si>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</si>
  <si>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</si>
  <si>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</si>
  <si>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</si>
  <si>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</si>
  <si>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</si>
  <si>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</si>
  <si>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</si>
  <si>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</si>
  <si>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</si>
  <si>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</si>
  <si>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</si>
  <si>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</si>
  <si>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</si>
  <si>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</si>
  <si>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</si>
  <si>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</si>
  <si>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</si>
  <si>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</si>
  <si>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</si>
  <si>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</si>
  <si>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</si>
  <si>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</si>
  <si>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</si>
  <si>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</si>
  <si>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</si>
  <si>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</si>
  <si>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</si>
  <si>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</si>
  <si>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</si>
  <si>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</si>
  <si>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</si>
  <si>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</si>
  <si>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</si>
  <si>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</si>
  <si>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</si>
  <si>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</si>
  <si>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</si>
  <si>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</si>
  <si>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</si>
  <si>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</si>
  <si>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</si>
  <si>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</si>
  <si>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</si>
  <si>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</si>
  <si>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</si>
  <si>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</si>
  <si>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</si>
  <si>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</si>
  <si>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</si>
  <si>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</si>
  <si>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</si>
  <si>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</si>
  <si>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</si>
  <si>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</si>
  <si>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</si>
  <si>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</si>
  <si>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</si>
  <si>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</si>
  <si>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</si>
  <si>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</si>
  <si>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</si>
  <si>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</si>
  <si>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</si>
  <si>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</si>
  <si>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</si>
  <si>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</si>
  <si>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</si>
  <si>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</si>
  <si>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</si>
  <si>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</si>
  <si>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</si>
  <si>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</si>
  <si>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</si>
  <si>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</si>
  <si>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</si>
  <si>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</si>
  <si>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</si>
  <si>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</si>
  <si>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</si>
  <si>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</si>
  <si>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</si>
  <si>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</si>
  <si>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</si>
  <si>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</si>
  <si>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</si>
  <si>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</si>
  <si>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</si>
  <si>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</si>
  <si>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</si>
  <si>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</si>
  <si>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</si>
  <si>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</si>
  <si>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</si>
  <si>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</si>
  <si>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</si>
  <si>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</si>
  <si>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</si>
  <si>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</si>
  <si>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</si>
  <si>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</si>
  <si>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</si>
  <si>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</si>
  <si>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</si>
  <si>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</si>
  <si>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</si>
  <si>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</si>
  <si>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</si>
  <si>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</si>
  <si>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</si>
  <si>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</si>
  <si>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</si>
  <si>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</si>
  <si>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</si>
  <si>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</si>
  <si>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</si>
  <si>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</si>
  <si>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</si>
  <si>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</si>
  <si>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</si>
  <si>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</si>
  <si>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</si>
  <si>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</si>
  <si>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</si>
  <si>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</si>
  <si>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</si>
  <si>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</si>
  <si>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</si>
  <si>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</si>
  <si>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</si>
  <si>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</si>
  <si>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</si>
  <si>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</si>
  <si>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</si>
  <si>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</si>
  <si>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</si>
  <si>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</si>
  <si>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</si>
  <si>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</si>
  <si>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</si>
  <si>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</si>
  <si>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</si>
  <si>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</si>
  <si>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</si>
  <si>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</si>
  <si>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</si>
  <si>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</si>
  <si>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</si>
  <si>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</si>
  <si>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</si>
  <si>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</si>
  <si>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</si>
  <si>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</si>
  <si>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</si>
  <si>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</si>
  <si>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</si>
  <si>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</si>
  <si>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</si>
  <si>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</si>
  <si>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</si>
  <si>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</si>
  <si>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</si>
  <si>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</si>
  <si>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</si>
  <si>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</si>
  <si>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</si>
  <si>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</si>
  <si>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</si>
  <si>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</si>
  <si>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</si>
  <si>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</si>
  <si>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</si>
  <si>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</si>
  <si>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</si>
  <si>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</si>
  <si>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</si>
  <si>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</si>
  <si>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</si>
  <si>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</si>
  <si>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</si>
  <si>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</si>
  <si>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</si>
  <si>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</si>
  <si>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</si>
  <si>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</si>
  <si>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</si>
  <si>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</si>
  <si>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</si>
  <si>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</si>
  <si>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</si>
  <si>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</si>
  <si>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</si>
  <si>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</si>
  <si>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</si>
  <si>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</si>
  <si>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</si>
  <si>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</si>
  <si>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</si>
  <si>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</si>
  <si>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</si>
  <si>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</si>
  <si>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</si>
  <si>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</si>
  <si>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</si>
  <si>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</si>
  <si>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</si>
  <si>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</si>
  <si>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</si>
  <si>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</si>
  <si>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</si>
  <si>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</si>
  <si>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</si>
  <si>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</si>
  <si>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</si>
  <si>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</si>
  <si>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</si>
  <si>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</si>
  <si>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</si>
  <si>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</si>
  <si>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</si>
  <si>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</si>
  <si>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</si>
  <si>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</si>
  <si>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</si>
  <si>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</si>
  <si>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</si>
  <si>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</si>
  <si>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</si>
  <si>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</si>
  <si>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</si>
  <si>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</si>
  <si>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</si>
  <si>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</si>
  <si>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</si>
  <si>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</si>
  <si>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</si>
  <si>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</si>
  <si>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</si>
  <si>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</si>
  <si>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</si>
  <si>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</si>
  <si>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</si>
  <si>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</si>
  <si>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</si>
  <si>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</si>
  <si>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</si>
  <si>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</si>
  <si>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</si>
  <si>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</si>
  <si>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</si>
  <si>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</si>
  <si>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</si>
  <si>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</si>
  <si>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</si>
  <si>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</si>
  <si>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</si>
  <si>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</si>
  <si>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</si>
  <si>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</si>
  <si>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</si>
  <si>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</si>
  <si>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</si>
  <si>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</si>
  <si>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</si>
  <si>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</si>
  <si>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</si>
  <si>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</si>
  <si>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</si>
  <si>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</si>
  <si>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</si>
  <si>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</si>
  <si>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</si>
  <si>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</si>
  <si>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</si>
  <si>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</si>
  <si>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</si>
  <si>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</si>
  <si>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</si>
  <si>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</si>
  <si>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</si>
  <si>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</si>
  <si>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</si>
  <si>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</si>
  <si>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</si>
  <si>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</si>
  <si>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</si>
  <si>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</si>
  <si>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</si>
  <si>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</si>
  <si>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</si>
  <si>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</si>
  <si>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</si>
  <si>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</si>
  <si>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</si>
  <si>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</si>
  <si>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</si>
  <si>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</si>
  <si>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</si>
  <si>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</si>
  <si>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</si>
  <si>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</si>
  <si>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</si>
  <si>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</si>
  <si>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</si>
  <si>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</si>
  <si>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</si>
  <si>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</si>
  <si>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</si>
  <si>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</si>
  <si>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</si>
  <si>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</si>
  <si>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</si>
  <si>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</si>
  <si>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</si>
  <si>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</si>
  <si>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</si>
  <si>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</si>
  <si>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</si>
  <si>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</si>
  <si>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</si>
  <si>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</si>
  <si>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</si>
  <si>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</si>
  <si>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</si>
  <si>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</si>
  <si>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</si>
  <si>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</si>
  <si>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</si>
  <si>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</si>
  <si>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</si>
  <si>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</si>
  <si>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</si>
  <si>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</si>
  <si>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</si>
  <si>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</si>
  <si>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</si>
  <si>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</si>
  <si>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</si>
  <si>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</si>
  <si>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</si>
  <si>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</si>
  <si>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</si>
  <si>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</si>
  <si>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</si>
  <si>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</si>
  <si>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</si>
  <si>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</si>
  <si>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</si>
  <si>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</si>
  <si>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</si>
  <si>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</si>
  <si>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</si>
  <si>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</si>
  <si>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</si>
  <si>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</si>
  <si>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</si>
  <si>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</si>
  <si>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</si>
  <si>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</si>
  <si>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</si>
  <si>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</si>
  <si>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</si>
  <si>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</si>
  <si>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</si>
  <si>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</si>
  <si>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</si>
  <si>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</si>
  <si>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</si>
  <si>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</si>
  <si>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</si>
  <si>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</si>
  <si>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</si>
  <si>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</si>
  <si>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</si>
  <si>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</si>
  <si>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</si>
  <si>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</si>
  <si>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</si>
  <si>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</si>
  <si>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</si>
  <si>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</si>
  <si>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</si>
  <si>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</si>
  <si>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</si>
  <si>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</si>
  <si>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</si>
  <si>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</si>
  <si>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</si>
  <si>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</si>
  <si>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</si>
  <si>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</si>
  <si>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</si>
  <si>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</si>
  <si>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</si>
  <si>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</si>
  <si>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</si>
  <si>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</si>
  <si>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</si>
  <si>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</si>
  <si>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</si>
  <si>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</si>
  <si>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</si>
  <si>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</si>
  <si>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</si>
  <si>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</si>
  <si>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</si>
  <si>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</si>
  <si>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</si>
  <si>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</si>
  <si>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</si>
  <si>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</si>
  <si>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</si>
  <si>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</si>
  <si>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</si>
  <si>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</si>
  <si>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</si>
  <si>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</si>
  <si>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</si>
  <si>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</si>
  <si>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</si>
  <si>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</si>
  <si>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</si>
  <si>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</si>
  <si>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</si>
  <si>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</si>
  <si>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</si>
  <si>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</si>
  <si>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</si>
  <si>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</si>
  <si>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</si>
  <si>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</si>
  <si>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</si>
  <si>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</si>
  <si>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</si>
  <si>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</si>
  <si>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</si>
  <si>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</si>
  <si>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</si>
  <si>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</si>
  <si>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</si>
  <si>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</si>
  <si>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</si>
  <si>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</si>
  <si>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</si>
  <si>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</si>
  <si>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</si>
  <si>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</si>
  <si>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</si>
  <si>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</si>
  <si>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</si>
  <si>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</si>
  <si>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</si>
  <si>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</si>
  <si>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</si>
  <si>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</si>
  <si>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</si>
  <si>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</si>
  <si>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</si>
  <si>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</si>
  <si>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</si>
  <si>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</si>
  <si>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</si>
  <si>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</si>
  <si>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</si>
  <si>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</si>
  <si>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</si>
  <si>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</si>
  <si>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</si>
  <si>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</si>
  <si>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</si>
  <si>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</si>
  <si>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</si>
  <si>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</si>
  <si>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</si>
  <si>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</si>
  <si>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</si>
  <si>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</si>
  <si>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</si>
  <si>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</si>
  <si>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</si>
  <si>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</si>
  <si>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</si>
  <si>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</si>
  <si>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</si>
  <si>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</si>
  <si>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</si>
  <si>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</si>
  <si>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</si>
  <si>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</si>
  <si>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</si>
  <si>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</si>
  <si>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</si>
  <si>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</si>
  <si>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</si>
  <si>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</si>
  <si>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</si>
  <si>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</si>
  <si>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</si>
  <si>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</si>
  <si>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</si>
  <si>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</si>
  <si>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</si>
  <si>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</si>
  <si>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</si>
  <si>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</si>
  <si>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</si>
  <si>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</si>
  <si>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</si>
  <si>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</si>
  <si>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</si>
  <si>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</si>
  <si>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</si>
  <si>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</si>
  <si>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</si>
  <si>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</si>
  <si>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</si>
  <si>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</si>
  <si>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</si>
  <si>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</si>
  <si>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</si>
  <si>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</si>
  <si>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</si>
  <si>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</si>
  <si>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</si>
  <si>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</si>
  <si>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</si>
  <si>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</si>
  <si>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</si>
  <si>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</si>
  <si>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</si>
  <si>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</si>
  <si>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</si>
  <si>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</si>
  <si>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</si>
  <si>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</si>
  <si>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</si>
  <si>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</si>
  <si>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</si>
  <si>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</si>
  <si>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</si>
  <si>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</si>
  <si>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</si>
  <si>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</si>
  <si>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</si>
  <si>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</si>
  <si>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</si>
  <si>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</si>
  <si>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</si>
  <si>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</si>
  <si>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</si>
  <si>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</si>
  <si>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</si>
  <si>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</si>
  <si>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</si>
  <si>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</si>
  <si>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</si>
  <si>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</si>
  <si>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</si>
  <si>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</si>
  <si>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</si>
  <si>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</si>
  <si>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</si>
  <si>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</si>
  <si>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</si>
  <si>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</si>
  <si>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</si>
  <si>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</si>
  <si>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</si>
  <si>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</si>
  <si>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</si>
  <si>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</si>
  <si>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</si>
  <si>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</si>
  <si>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</si>
  <si>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</si>
  <si>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</si>
  <si>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</si>
  <si>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</si>
  <si>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</si>
  <si>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</si>
  <si>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</si>
  <si>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</si>
  <si>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</si>
  <si>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</si>
  <si>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</si>
  <si>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</si>
  <si>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</si>
  <si>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</si>
  <si>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</si>
  <si>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</si>
  <si>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</si>
  <si>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</si>
  <si>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</si>
  <si>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</si>
  <si>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</si>
  <si>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</si>
  <si>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</si>
  <si>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</si>
  <si>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</si>
  <si>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</si>
  <si>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</si>
  <si>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</si>
  <si>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</si>
  <si>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</si>
  <si>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</si>
  <si>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</si>
  <si>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</si>
  <si>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</si>
  <si>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</si>
  <si>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</si>
  <si>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</si>
  <si>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</si>
  <si>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</si>
  <si>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</si>
  <si>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</si>
  <si>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</si>
  <si>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</si>
  <si>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</si>
  <si>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</si>
  <si>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</si>
  <si>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</si>
  <si>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</si>
  <si>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</si>
  <si>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</si>
  <si>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</si>
  <si>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</si>
  <si>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</si>
  <si>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</si>
  <si>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</si>
  <si>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</si>
  <si>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</si>
  <si>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</si>
  <si>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</si>
  <si>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</si>
  <si>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</si>
  <si>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</si>
  <si>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</si>
  <si>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</si>
  <si>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</si>
  <si>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</si>
  <si>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</si>
  <si>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</si>
  <si>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</si>
  <si>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</si>
  <si>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</si>
  <si>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</si>
  <si>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</si>
  <si>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</si>
  <si>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</si>
  <si>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</si>
  <si>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</si>
  <si>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</si>
  <si>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</si>
  <si>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</si>
  <si>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</si>
  <si>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</si>
  <si>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</si>
  <si>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</si>
  <si>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</si>
  <si>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</si>
  <si>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</si>
  <si>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</si>
  <si>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</si>
  <si>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</si>
  <si>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</si>
  <si>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</si>
  <si>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</si>
  <si>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</si>
  <si>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</si>
  <si>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</si>
  <si>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</si>
  <si>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</si>
  <si>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</si>
  <si>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</si>
  <si>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</si>
  <si>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</si>
  <si>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</si>
  <si>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</si>
  <si>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</si>
  <si>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</si>
  <si>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</si>
  <si>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</si>
  <si>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</si>
  <si>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</si>
  <si>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</si>
  <si>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</si>
  <si>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</si>
  <si>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</si>
  <si>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</si>
  <si>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</si>
  <si>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</si>
  <si>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</si>
  <si>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</si>
  <si>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</si>
  <si>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</si>
  <si>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</si>
  <si>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</si>
  <si>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</si>
  <si>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</si>
  <si>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</si>
  <si>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</si>
  <si>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</si>
  <si>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</si>
  <si>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</si>
  <si>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</si>
  <si>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</si>
  <si>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</si>
  <si>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</si>
  <si>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</si>
  <si>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</si>
  <si>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</si>
  <si>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</si>
  <si>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</si>
  <si>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</si>
  <si>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</si>
  <si>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</si>
  <si>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</si>
  <si>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</si>
  <si>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</si>
  <si>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</si>
  <si>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</si>
  <si>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</si>
  <si>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</si>
  <si>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</si>
  <si>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</si>
  <si>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</si>
  <si>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</si>
  <si>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</si>
  <si>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</si>
  <si>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</si>
  <si>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</si>
  <si>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</si>
  <si>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</si>
  <si>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</si>
  <si>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</si>
  <si>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</si>
  <si>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</si>
  <si>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</si>
  <si>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</si>
  <si>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</si>
  <si>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</si>
  <si>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</si>
  <si>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</si>
  <si>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</si>
  <si>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</si>
  <si>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</si>
  <si>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</si>
  <si>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</si>
  <si>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</si>
  <si>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</si>
  <si>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</si>
  <si>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</si>
  <si>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</si>
  <si>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</si>
  <si>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</si>
  <si>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</si>
  <si>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</si>
  <si>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</si>
  <si>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</si>
  <si>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</si>
  <si>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</si>
  <si>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</si>
  <si>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</si>
  <si>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</si>
  <si>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</si>
  <si>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</si>
  <si>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</si>
  <si>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</si>
  <si>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</si>
  <si>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</si>
  <si>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</si>
  <si>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</si>
  <si>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</si>
  <si>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</si>
  <si>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</si>
  <si>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</si>
  <si>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</si>
  <si>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</si>
  <si>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</si>
  <si>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</si>
  <si>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</si>
  <si>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</si>
  <si>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</si>
  <si>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</si>
  <si>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</si>
  <si>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</si>
  <si>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</si>
  <si>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</si>
  <si>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</si>
  <si>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</si>
  <si>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</si>
  <si>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</si>
  <si>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</si>
  <si>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</si>
  <si>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</si>
  <si>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</si>
  <si>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</si>
  <si>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</si>
  <si>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</si>
  <si>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</si>
  <si>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</si>
  <si>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</si>
  <si>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</si>
  <si>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</si>
  <si>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</si>
  <si>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</si>
  <si>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</si>
  <si>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</si>
  <si>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</si>
  <si>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</si>
  <si>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</si>
  <si>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</si>
  <si>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</si>
  <si>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</si>
  <si>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</si>
  <si>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</si>
  <si>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</si>
  <si>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</si>
  <si>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</si>
  <si>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</si>
  <si>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</si>
  <si>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</si>
  <si>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</si>
  <si>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</si>
  <si>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</si>
  <si>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</si>
  <si>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</si>
  <si>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</si>
  <si>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</si>
  <si>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</si>
  <si>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</si>
  <si>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</si>
  <si>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</si>
  <si>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</si>
  <si>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</si>
  <si>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</si>
  <si>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</si>
  <si>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</si>
  <si>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</si>
  <si>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</si>
  <si>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</si>
  <si>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</si>
  <si>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</si>
  <si>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</si>
  <si>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</si>
  <si>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</si>
  <si>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</si>
  <si>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</si>
  <si>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</si>
  <si>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</si>
  <si>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</si>
  <si>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</si>
  <si>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</si>
  <si>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</si>
  <si>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</si>
  <si>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</si>
  <si>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</si>
  <si>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</si>
  <si>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</si>
  <si>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</si>
  <si>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</si>
  <si>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</si>
  <si>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</si>
  <si>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</si>
  <si>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</si>
  <si>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</si>
  <si>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</si>
  <si>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</si>
  <si>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</si>
  <si>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</si>
  <si>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</si>
  <si>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</si>
  <si>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</si>
  <si>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</si>
  <si>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</si>
  <si>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</si>
  <si>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</si>
  <si>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</si>
  <si>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</si>
  <si>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</si>
  <si>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</si>
  <si>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</si>
  <si>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</si>
  <si>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</si>
  <si>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</si>
  <si>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</si>
  <si>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</si>
  <si>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</si>
  <si>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</si>
  <si>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</si>
  <si>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</si>
  <si>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</si>
  <si>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</si>
  <si>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</si>
  <si>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</si>
  <si>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</si>
  <si>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</si>
  <si>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</si>
  <si>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</si>
  <si>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</si>
  <si>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</si>
  <si>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</si>
  <si>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</si>
  <si>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</si>
  <si>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</si>
  <si>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</si>
  <si>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</si>
  <si>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</si>
  <si>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</si>
  <si>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</si>
  <si>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</si>
  <si>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</si>
  <si>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</si>
  <si>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</si>
  <si>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</si>
  <si>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</si>
  <si>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</si>
  <si>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</si>
  <si>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</si>
  <si>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</si>
  <si>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</si>
  <si>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</si>
  <si>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</si>
  <si>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</si>
  <si>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</si>
  <si>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</si>
  <si>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</si>
  <si>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</si>
  <si>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</si>
  <si>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</si>
  <si>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</si>
  <si>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</si>
  <si>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</si>
  <si>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</si>
  <si>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</si>
  <si>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</si>
  <si>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</si>
  <si>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</si>
  <si>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</si>
  <si>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</si>
  <si>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</si>
  <si>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</si>
  <si>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</si>
  <si>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</si>
  <si>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</si>
  <si>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</si>
  <si>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</si>
  <si>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</si>
  <si>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</si>
  <si>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</si>
  <si>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</si>
  <si>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</si>
  <si>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</si>
  <si>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</si>
  <si>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</si>
  <si>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</si>
  <si>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</si>
  <si>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</si>
  <si>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</si>
  <si>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</si>
  <si>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</si>
  <si>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</si>
  <si>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</si>
  <si>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</si>
  <si>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</si>
  <si>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</si>
  <si>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</si>
  <si>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</si>
  <si>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</si>
  <si>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</si>
  <si>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</si>
  <si>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</si>
  <si>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</si>
  <si>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</si>
  <si>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</si>
  <si>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</si>
  <si>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</si>
  <si>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</si>
  <si>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</si>
  <si>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</si>
  <si>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</si>
  <si>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</si>
  <si>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</si>
  <si>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</si>
  <si>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</si>
  <si>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</si>
  <si>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</si>
  <si>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</si>
  <si>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</si>
  <si>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</si>
  <si>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</si>
  <si>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</si>
  <si>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</si>
  <si>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</si>
  <si>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</si>
  <si>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</si>
  <si>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</si>
  <si>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</si>
  <si>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</si>
  <si>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</si>
  <si>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</si>
  <si>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</si>
  <si>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</si>
  <si>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</si>
  <si>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</si>
  <si>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</si>
  <si>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</si>
  <si>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</si>
  <si>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</si>
  <si>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</si>
  <si>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</si>
  <si>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</si>
  <si>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</si>
  <si>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</si>
  <si>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</si>
  <si>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</si>
  <si>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</si>
  <si>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</si>
  <si>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</si>
  <si>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</si>
  <si>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</si>
  <si>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</si>
  <si>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</si>
  <si>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</si>
  <si>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</si>
  <si>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</si>
  <si>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</si>
  <si>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</si>
  <si>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</si>
  <si>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</si>
  <si>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</si>
  <si>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</si>
  <si>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</si>
  <si>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</si>
  <si>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</si>
  <si>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</si>
  <si>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</si>
  <si>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</si>
  <si>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</si>
  <si>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</si>
  <si>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</si>
  <si>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</si>
  <si>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</si>
  <si>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</si>
  <si>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</si>
  <si>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</si>
  <si>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</si>
  <si>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</si>
  <si>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</si>
  <si>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</si>
  <si>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</si>
  <si>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</si>
  <si>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</si>
  <si>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</si>
  <si>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</si>
  <si>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</si>
  <si>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</si>
  <si>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</si>
  <si>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</si>
  <si>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</si>
  <si>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</si>
  <si>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</si>
  <si>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</si>
  <si>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</si>
  <si>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</si>
  <si>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</si>
  <si>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</si>
  <si>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</si>
  <si>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</si>
  <si>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</si>
  <si>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</si>
  <si>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</si>
  <si>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</si>
  <si>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</si>
  <si>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</si>
  <si>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</si>
  <si>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</si>
  <si>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</si>
  <si>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</si>
  <si>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</si>
  <si>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</si>
  <si>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</si>
  <si>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</si>
  <si>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</si>
  <si>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</si>
  <si>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</si>
  <si>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</si>
  <si>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</si>
  <si>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</si>
  <si>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</si>
  <si>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</si>
  <si>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</si>
  <si>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</si>
  <si>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</si>
  <si>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</si>
  <si>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</si>
  <si>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</si>
  <si>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</si>
  <si>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</si>
  <si>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</si>
  <si>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</si>
  <si>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</si>
  <si>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</si>
  <si>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</si>
  <si>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</si>
  <si>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</si>
  <si>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</si>
  <si>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</si>
  <si>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</si>
  <si>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</si>
  <si>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</si>
  <si>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</si>
  <si>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</si>
  <si>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</si>
  <si>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</si>
  <si>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</si>
  <si>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</si>
  <si>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</si>
  <si>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</si>
  <si>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</si>
  <si>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</si>
  <si>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</si>
  <si>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</si>
  <si>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</si>
  <si>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</si>
  <si>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</si>
  <si>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</si>
  <si>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</si>
  <si>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</si>
  <si>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</si>
  <si>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</si>
  <si>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</si>
  <si>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</si>
  <si>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</si>
  <si>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</si>
  <si>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</si>
  <si>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</si>
  <si>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</si>
  <si>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</si>
  <si>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</si>
  <si>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</si>
  <si>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</si>
  <si>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</si>
  <si>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</si>
  <si>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</si>
  <si>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</si>
  <si>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</si>
  <si>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</si>
  <si>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</si>
  <si>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</si>
  <si>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</si>
  <si>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</si>
  <si>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</si>
  <si>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</si>
  <si>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</si>
  <si>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</si>
  <si>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</si>
  <si>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</si>
  <si>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</si>
  <si>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</si>
  <si>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</si>
  <si>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</si>
  <si>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</si>
  <si>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</si>
  <si>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</si>
  <si>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</si>
  <si>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</si>
  <si>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</si>
  <si>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</si>
  <si>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</si>
  <si>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</si>
  <si>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</si>
  <si>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</si>
  <si>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</si>
  <si>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</si>
  <si>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</si>
  <si>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</si>
  <si>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</si>
  <si>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</si>
  <si>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</si>
  <si>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</si>
  <si>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</si>
  <si>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</si>
  <si>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</si>
  <si>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</si>
  <si>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</si>
  <si>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</si>
  <si>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</si>
  <si>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</si>
  <si>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</si>
  <si>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</si>
  <si>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</si>
  <si>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</si>
  <si>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</si>
  <si>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</si>
  <si>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</si>
  <si>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</si>
  <si>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</si>
  <si>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</si>
  <si>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</si>
  <si>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</si>
  <si>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</si>
  <si>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</si>
  <si>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</si>
  <si>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</si>
  <si>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</si>
  <si>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</si>
  <si>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</si>
  <si>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</si>
  <si>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</si>
  <si>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</si>
  <si>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</si>
  <si>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</si>
  <si>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</si>
  <si>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</si>
  <si>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</si>
  <si>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</si>
  <si>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</si>
  <si>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</si>
  <si>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</si>
  <si>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</si>
  <si>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</si>
  <si>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</si>
  <si>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</si>
  <si>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</si>
  <si>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</si>
  <si>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</si>
  <si>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</si>
  <si>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</si>
  <si>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</si>
  <si>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</si>
  <si>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</si>
  <si>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</si>
  <si>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</si>
  <si>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</si>
  <si>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</si>
  <si>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</si>
  <si>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</si>
  <si>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</si>
  <si>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</si>
  <si>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</si>
  <si>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</si>
  <si>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</si>
  <si>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</si>
  <si>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</si>
  <si>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</si>
  <si>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</si>
  <si>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</si>
  <si>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</si>
  <si>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</si>
  <si>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</si>
  <si>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</si>
  <si>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</si>
  <si>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</si>
  <si>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</si>
  <si>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</si>
  <si>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</si>
  <si>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</si>
  <si>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</si>
  <si>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</si>
  <si>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</si>
  <si>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</si>
  <si>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</si>
  <si>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</si>
  <si>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</si>
  <si>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</si>
  <si>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</si>
  <si>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</si>
  <si>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</si>
  <si>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</si>
  <si>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</si>
  <si>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</si>
  <si>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</si>
  <si>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</si>
  <si>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</si>
  <si>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</si>
  <si>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</si>
  <si>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</si>
  <si>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</si>
  <si>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</si>
  <si>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</si>
  <si>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</si>
  <si>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</si>
  <si>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</si>
  <si>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</si>
  <si>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</si>
  <si>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</si>
  <si>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</si>
  <si>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</si>
  <si>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</si>
  <si>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</si>
  <si>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</si>
  <si>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</si>
  <si>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</si>
  <si>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</si>
  <si>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</si>
  <si>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</si>
  <si>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</si>
  <si>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</si>
  <si>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</si>
  <si>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</si>
  <si>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</si>
  <si>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</si>
  <si>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</si>
  <si>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</si>
  <si>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</si>
  <si>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</si>
  <si>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</si>
  <si>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</si>
  <si>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</si>
  <si>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</si>
  <si>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</si>
  <si>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</si>
  <si>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</si>
  <si>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</si>
  <si>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</si>
  <si>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</si>
  <si>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</si>
  <si>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</si>
  <si>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</si>
  <si>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</si>
  <si>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</si>
  <si>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</si>
  <si>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</si>
  <si>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</si>
  <si>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</si>
  <si>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</si>
  <si>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</si>
  <si>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</si>
  <si>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</si>
  <si>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</si>
  <si>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</si>
  <si>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</si>
  <si>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</si>
  <si>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</si>
  <si>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</si>
  <si>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</si>
  <si>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</si>
  <si>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</si>
  <si>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</si>
  <si>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</si>
  <si>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</si>
  <si>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</si>
  <si>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</si>
  <si>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</si>
  <si>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</si>
  <si>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</si>
  <si>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</si>
  <si>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</si>
  <si>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</si>
  <si>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</si>
  <si>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</si>
  <si>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</si>
  <si>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</si>
  <si>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</si>
  <si>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</si>
  <si>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</si>
  <si>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</si>
  <si>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</si>
  <si>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</si>
  <si>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</si>
  <si>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</si>
  <si>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</si>
  <si>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</si>
  <si>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</si>
  <si>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</si>
  <si>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</si>
  <si>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</si>
  <si>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</si>
  <si>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</si>
  <si>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</si>
  <si>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</si>
  <si>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</si>
  <si>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</si>
  <si>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</si>
  <si>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</si>
  <si>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</si>
  <si>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</si>
  <si>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</si>
  <si>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</si>
  <si>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</si>
  <si>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</si>
  <si>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</si>
  <si>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</si>
  <si>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</si>
  <si>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</si>
  <si>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</si>
  <si>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</si>
  <si>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</si>
  <si>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</si>
  <si>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</si>
  <si>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</si>
  <si>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</si>
  <si>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</si>
  <si>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</si>
  <si>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</si>
  <si>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</si>
  <si>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</si>
  <si>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</si>
  <si>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</si>
  <si>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</si>
  <si>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</si>
  <si>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</si>
  <si>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</si>
  <si>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</si>
  <si>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</si>
  <si>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</si>
  <si>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</si>
  <si>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</si>
  <si>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</si>
  <si>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</si>
  <si>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</si>
  <si>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</si>
  <si>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</si>
  <si>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</si>
  <si>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</si>
  <si>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</si>
  <si>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</si>
  <si>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</si>
  <si>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</si>
  <si>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</si>
  <si>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</si>
  <si>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</si>
  <si>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</si>
  <si>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</si>
  <si>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</si>
  <si>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</si>
  <si>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</si>
  <si>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</si>
  <si>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</si>
  <si>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</si>
  <si>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</si>
  <si>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</si>
  <si>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</si>
  <si>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</si>
  <si>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</si>
  <si>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</si>
  <si>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</si>
  <si>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</si>
  <si>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</si>
  <si>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</si>
  <si>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</si>
  <si>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</si>
  <si>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</si>
  <si>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</si>
  <si>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</si>
  <si>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</si>
  <si>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</si>
  <si>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</si>
  <si>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</si>
  <si>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</si>
  <si>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</si>
  <si>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</si>
  <si>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</si>
  <si>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</si>
  <si>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</si>
  <si>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</si>
  <si>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</si>
  <si>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</si>
  <si>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</si>
  <si>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</si>
  <si>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</si>
  <si>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</si>
  <si>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</si>
  <si>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</si>
  <si>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</si>
  <si>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</si>
  <si>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</si>
  <si>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</si>
  <si>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</si>
  <si>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</si>
  <si>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</si>
  <si>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</si>
  <si>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</si>
  <si>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</si>
  <si>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</si>
  <si>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</si>
  <si>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</si>
  <si>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</si>
  <si>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</si>
  <si>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</si>
  <si>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</si>
  <si>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</si>
  <si>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</si>
  <si>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</si>
  <si>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</si>
  <si>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</si>
  <si>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</si>
  <si>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</si>
  <si>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</si>
  <si>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</si>
  <si>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</si>
  <si>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</si>
  <si>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</si>
  <si>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</si>
  <si>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</si>
  <si>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</si>
  <si>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</si>
  <si>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</si>
  <si>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</si>
  <si>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</si>
  <si>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</si>
  <si>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</si>
  <si>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</si>
  <si>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</si>
  <si>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</si>
  <si>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</si>
  <si>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</si>
  <si>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</si>
  <si>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</si>
  <si>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</si>
  <si>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</si>
  <si>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</si>
  <si>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</si>
  <si>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</si>
  <si>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</si>
  <si>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</si>
  <si>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</si>
  <si>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</si>
  <si>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</si>
  <si>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</si>
  <si>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</si>
  <si>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</si>
  <si>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</si>
  <si>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</si>
  <si>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</si>
  <si>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</si>
  <si>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</si>
  <si>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</si>
  <si>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</si>
  <si>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</si>
  <si>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</si>
  <si>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</si>
  <si>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</si>
  <si>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</si>
  <si>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</si>
  <si>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</si>
  <si>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</si>
  <si>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</si>
  <si>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</si>
  <si>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</si>
  <si>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</si>
  <si>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</si>
  <si>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</si>
  <si>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</si>
  <si>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</si>
  <si>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</si>
  <si>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</si>
  <si>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</si>
  <si>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</si>
  <si>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</si>
  <si>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</si>
  <si>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</si>
  <si>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</si>
  <si>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</si>
  <si>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</si>
  <si>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</si>
  <si>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</si>
  <si>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</si>
  <si>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</si>
  <si>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</si>
  <si>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</si>
  <si>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</si>
  <si>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</si>
  <si>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</si>
  <si>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</si>
  <si>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</si>
  <si>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</si>
  <si>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</si>
  <si>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</si>
  <si>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</si>
  <si>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</si>
  <si>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</si>
  <si>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</si>
  <si>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</si>
  <si>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</si>
  <si>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</si>
  <si>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</si>
  <si>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</si>
  <si>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</si>
  <si>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</si>
  <si>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</si>
  <si>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</si>
  <si>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</si>
  <si>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</si>
  <si>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</si>
  <si>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</si>
  <si>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</si>
  <si>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</si>
  <si>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</si>
  <si>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</si>
  <si>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</si>
  <si>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</si>
  <si>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</si>
  <si>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</si>
  <si>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</si>
  <si>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</si>
  <si>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</si>
  <si>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</si>
  <si>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</si>
  <si>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</si>
  <si>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</si>
  <si>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</si>
  <si>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</si>
  <si>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</si>
  <si>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</si>
  <si>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</si>
  <si>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</si>
  <si>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</si>
  <si>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</si>
  <si>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</si>
  <si>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</si>
  <si>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</si>
  <si>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</si>
  <si>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</si>
  <si>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</si>
  <si>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</si>
  <si>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</si>
  <si>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</si>
  <si>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</si>
  <si>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</si>
  <si>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</si>
  <si>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</si>
  <si>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</si>
  <si>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</si>
  <si>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</si>
  <si>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</si>
  <si>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</si>
  <si>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</si>
  <si>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</si>
  <si>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</si>
  <si>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</si>
  <si>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</si>
  <si>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</si>
  <si>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</si>
  <si>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</si>
  <si>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</si>
  <si>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</si>
  <si>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</si>
  <si>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</si>
  <si>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</si>
  <si>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</si>
  <si>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</si>
  <si>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</si>
  <si>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</si>
  <si>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</si>
  <si>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</si>
  <si>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</si>
  <si>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</si>
  <si>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</si>
  <si>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</si>
  <si>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</si>
  <si>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</si>
  <si>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</si>
  <si>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</si>
  <si>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</si>
  <si>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</si>
  <si>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</si>
  <si>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</si>
  <si>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</si>
  <si>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</si>
  <si>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</si>
  <si>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</si>
  <si>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</si>
  <si>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</si>
  <si>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</si>
  <si>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</si>
  <si>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</si>
  <si>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</si>
  <si>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</si>
  <si>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</si>
  <si>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</si>
  <si>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</si>
  <si>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</si>
  <si>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</si>
  <si>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</si>
  <si>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</si>
  <si>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</si>
  <si>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</si>
  <si>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</si>
  <si>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</si>
  <si>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</si>
  <si>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</si>
  <si>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</si>
  <si>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</si>
  <si>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</si>
  <si>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</si>
  <si>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</si>
  <si>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</si>
  <si>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</si>
  <si>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</si>
  <si>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</si>
  <si>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</si>
  <si>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</si>
  <si>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</si>
  <si>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</si>
  <si>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</si>
  <si>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</si>
  <si>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</si>
  <si>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</si>
  <si>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</si>
  <si>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</si>
  <si>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</si>
  <si>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</si>
  <si>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</si>
  <si>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</si>
  <si>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</si>
  <si>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</si>
  <si>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</si>
  <si>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</si>
  <si>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</si>
  <si>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</si>
  <si>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</si>
  <si>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</si>
  <si>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</si>
  <si>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</si>
  <si>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</si>
  <si>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</si>
  <si>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</si>
  <si>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</si>
  <si>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</si>
  <si>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</si>
  <si>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</si>
  <si>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</si>
  <si>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</si>
  <si>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</si>
  <si>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</si>
  <si>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</si>
  <si>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</si>
  <si>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</si>
  <si>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</si>
  <si>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</si>
  <si>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</si>
  <si>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</si>
  <si>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</si>
  <si>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</si>
  <si>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</si>
  <si>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</si>
  <si>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</si>
  <si>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</si>
  <si>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</si>
  <si>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</si>
  <si>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</si>
  <si>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</si>
  <si>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</si>
  <si>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</si>
  <si>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</si>
  <si>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</si>
  <si>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</si>
  <si>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</si>
  <si>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</si>
  <si>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</si>
  <si>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</si>
  <si>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</si>
  <si>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</si>
  <si>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</si>
  <si>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</si>
  <si>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</si>
  <si>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</si>
  <si>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</si>
  <si>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</si>
  <si>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</si>
  <si>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</si>
  <si>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</si>
  <si>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</si>
  <si>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</si>
  <si>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</si>
  <si>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</si>
  <si>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</si>
  <si>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</si>
  <si>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</si>
  <si>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</si>
  <si>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</si>
  <si>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</si>
  <si>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</si>
  <si>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</si>
  <si>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</si>
  <si>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</si>
  <si>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</si>
  <si>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</si>
  <si>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</si>
  <si>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</si>
  <si>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</si>
  <si>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</si>
  <si>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</si>
  <si>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</si>
  <si>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</si>
  <si>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</si>
  <si>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</si>
  <si>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</si>
  <si>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</si>
  <si>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</si>
  <si>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</si>
  <si>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</si>
  <si>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</si>
  <si>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</si>
  <si>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</si>
  <si>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</si>
  <si>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</si>
  <si>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</si>
  <si>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</si>
  <si>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</si>
  <si>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</si>
  <si>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</si>
  <si>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</si>
  <si>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</si>
  <si>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</si>
  <si>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</si>
  <si>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</si>
  <si>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</si>
  <si>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</si>
  <si>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</si>
  <si>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</si>
  <si>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</si>
  <si>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</si>
  <si>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</si>
  <si>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</si>
  <si>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</si>
  <si>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</si>
  <si>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</si>
  <si>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</si>
  <si>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</si>
  <si>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</si>
  <si>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</si>
  <si>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</si>
  <si>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</si>
  <si>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</si>
  <si>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</si>
  <si>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</si>
  <si>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</si>
  <si>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</si>
  <si>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</si>
  <si>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</si>
  <si>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</si>
  <si>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</si>
  <si>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</si>
  <si>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</si>
  <si>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</si>
  <si>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</si>
  <si>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</si>
  <si>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</si>
  <si>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</si>
  <si>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</si>
  <si>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</si>
  <si>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</si>
  <si>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</si>
  <si>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</si>
  <si>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</si>
  <si>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</si>
  <si>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</si>
  <si>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</si>
  <si>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</si>
  <si>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</si>
  <si>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</si>
  <si>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</si>
  <si>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</si>
  <si>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</si>
  <si>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</si>
  <si>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</si>
  <si>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</si>
  <si>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</si>
  <si>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</si>
  <si>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</si>
  <si>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</si>
  <si>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</si>
  <si>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</si>
  <si>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</si>
  <si>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</si>
  <si>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</si>
  <si>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</si>
  <si>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</si>
  <si>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</si>
  <si>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</si>
  <si>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</si>
  <si>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</si>
  <si>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</si>
  <si>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</si>
  <si>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</si>
  <si>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</si>
  <si>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</si>
  <si>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</si>
  <si>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</si>
  <si>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</si>
  <si>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</si>
  <si>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</si>
  <si>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</si>
  <si>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</si>
  <si>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</si>
  <si>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</si>
  <si>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</si>
  <si>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</si>
  <si>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</si>
  <si>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</si>
  <si>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</si>
  <si>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</si>
  <si>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</si>
  <si>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</si>
  <si>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</si>
  <si>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</si>
  <si>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</si>
  <si>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</si>
  <si>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</si>
  <si>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</si>
  <si>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</si>
  <si>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</si>
  <si>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</si>
  <si>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</si>
  <si>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</si>
  <si>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</si>
  <si>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</si>
  <si>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</si>
  <si>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</si>
  <si>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</si>
  <si>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</si>
  <si>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</si>
  <si>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</si>
  <si>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</si>
  <si>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</si>
  <si>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</si>
  <si>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</si>
  <si>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</si>
  <si>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</si>
  <si>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</si>
  <si>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</si>
  <si>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</si>
  <si>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</si>
  <si>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</si>
  <si>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</si>
  <si>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</si>
  <si>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</si>
  <si>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</si>
  <si>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</si>
  <si>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</si>
  <si>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</si>
  <si>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</si>
  <si>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</si>
  <si>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</si>
  <si>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</si>
  <si>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</si>
  <si>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</si>
  <si>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</si>
  <si>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</si>
  <si>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</si>
  <si>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</si>
  <si>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</si>
  <si>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</si>
  <si>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</si>
  <si>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</si>
  <si>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</si>
  <si>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</si>
  <si>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</si>
  <si>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</si>
  <si>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</si>
  <si>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</si>
  <si>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</si>
  <si>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</si>
  <si>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</si>
  <si>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</si>
  <si>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</si>
  <si>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</si>
  <si>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</si>
  <si>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</si>
  <si>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</si>
  <si>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</si>
  <si>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</si>
  <si>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</si>
  <si>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</si>
  <si>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</si>
  <si>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</si>
  <si>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</si>
  <si>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</si>
  <si>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</si>
  <si>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</si>
  <si>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</si>
  <si>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</si>
  <si>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</si>
  <si>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</si>
  <si>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</si>
  <si>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</si>
  <si>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</si>
  <si>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</si>
  <si>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</si>
  <si>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</si>
  <si>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</si>
  <si>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</si>
  <si>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</si>
  <si>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</si>
  <si>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</si>
  <si>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</si>
  <si>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</si>
  <si>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</si>
  <si>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</si>
  <si>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</si>
  <si>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</si>
  <si>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</si>
  <si>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</si>
  <si>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</si>
  <si>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</si>
  <si>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</si>
  <si>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</si>
  <si>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</si>
  <si>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</si>
  <si>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</si>
  <si>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</si>
  <si>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</si>
  <si>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</si>
  <si>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</si>
  <si>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</si>
  <si>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</si>
  <si>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</si>
  <si>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</si>
  <si>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</si>
  <si>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</si>
  <si>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</si>
  <si>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</si>
  <si>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</si>
  <si>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</si>
  <si>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</si>
  <si>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</si>
  <si>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</si>
  <si>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</si>
  <si>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</si>
  <si>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</si>
  <si>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</si>
  <si>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</si>
  <si>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</si>
  <si>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</si>
  <si>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</si>
  <si>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</si>
  <si>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</si>
  <si>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</si>
  <si>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</si>
  <si>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</si>
  <si>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</si>
  <si>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</si>
  <si>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</si>
  <si>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</si>
  <si>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</si>
  <si>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</si>
  <si>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</si>
  <si>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</si>
  <si>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</si>
  <si>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</si>
  <si>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</si>
  <si>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</si>
  <si>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</si>
  <si>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</si>
  <si>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</si>
  <si>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</si>
  <si>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</si>
  <si>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</si>
  <si>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</si>
  <si>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</si>
  <si>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</si>
  <si>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</si>
  <si>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</si>
  <si>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</si>
  <si>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</si>
  <si>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</si>
  <si>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</si>
  <si>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</si>
  <si>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</si>
  <si>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</si>
  <si>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</si>
  <si>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</si>
  <si>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</si>
  <si>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</si>
  <si>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</si>
  <si>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</si>
  <si>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</si>
  <si>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</si>
  <si>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</si>
  <si>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</si>
  <si>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</si>
  <si>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</si>
  <si>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</si>
  <si>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</si>
  <si>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</si>
  <si>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</si>
  <si>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</si>
  <si>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</si>
  <si>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</si>
  <si>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</si>
  <si>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</si>
  <si>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</si>
  <si>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</si>
  <si>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</si>
  <si>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</si>
  <si>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</si>
  <si>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</si>
  <si>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</si>
  <si>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</si>
  <si>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</si>
  <si>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</si>
  <si>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</si>
  <si>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</si>
  <si>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</si>
  <si>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</si>
  <si>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</si>
  <si>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</si>
  <si>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</si>
  <si>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</si>
  <si>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</si>
  <si>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</si>
  <si>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</si>
  <si>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</si>
  <si>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</si>
  <si>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</si>
  <si>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</si>
  <si>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</si>
  <si>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</si>
  <si>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</si>
  <si>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</si>
  <si>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</si>
  <si>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</si>
  <si>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</si>
  <si>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</si>
  <si>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</si>
  <si>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</si>
  <si>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</si>
  <si>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</si>
  <si>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</si>
  <si>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</si>
  <si>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</si>
  <si>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</si>
  <si>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</si>
  <si>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</si>
  <si>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</si>
  <si>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</si>
  <si>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</si>
  <si>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</si>
  <si>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</si>
  <si>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</si>
  <si>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</si>
  <si>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</si>
  <si>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</si>
  <si>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</si>
  <si>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</si>
  <si>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</si>
  <si>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</si>
  <si>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</si>
  <si>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</si>
  <si>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</si>
  <si>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</si>
  <si>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</si>
  <si>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</si>
  <si>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</si>
  <si>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</si>
  <si>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</si>
  <si>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</si>
  <si>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</si>
  <si>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</si>
  <si>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</si>
  <si>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</si>
  <si>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</si>
  <si>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</si>
  <si>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</si>
  <si>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</si>
  <si>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</si>
  <si>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</si>
  <si>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</si>
  <si>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</si>
  <si>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</si>
  <si>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</si>
  <si>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</si>
  <si>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</si>
  <si>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</si>
  <si>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</si>
  <si>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</si>
  <si>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</si>
  <si>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</si>
  <si>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</si>
  <si>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</si>
  <si>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</si>
  <si>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</si>
  <si>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</si>
  <si>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</si>
  <si>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</si>
  <si>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</si>
  <si>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</si>
  <si>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</si>
  <si>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</si>
  <si>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</si>
  <si>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</si>
  <si>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</si>
  <si>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</si>
  <si>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</si>
  <si>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</si>
  <si>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</si>
  <si>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</si>
  <si>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</si>
  <si>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</si>
  <si>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</si>
  <si>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</si>
  <si>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</si>
  <si>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</si>
  <si>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</si>
  <si>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</si>
  <si>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</si>
  <si>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</si>
  <si>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</si>
  <si>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</si>
  <si>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</si>
  <si>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</si>
  <si>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</si>
  <si>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</si>
  <si>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</si>
  <si>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</si>
  <si>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</si>
  <si>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</si>
  <si>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</si>
  <si>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</si>
  <si>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</si>
  <si>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</si>
  <si>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</si>
  <si>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</si>
  <si>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</si>
  <si>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</si>
  <si>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</si>
  <si>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</si>
  <si>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</si>
  <si>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</si>
  <si>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</si>
  <si>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</si>
  <si>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</si>
  <si>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</si>
  <si>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</si>
  <si>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</si>
  <si>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</si>
  <si>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</si>
  <si>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</si>
  <si>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</si>
  <si>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</si>
  <si>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</si>
  <si>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</si>
  <si>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</si>
  <si>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</si>
  <si>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</si>
  <si>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</si>
  <si>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</si>
  <si>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</si>
  <si>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</si>
  <si>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</si>
  <si>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</si>
  <si>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</si>
  <si>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</si>
  <si>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</si>
  <si>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</si>
  <si>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</si>
  <si>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</si>
  <si>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</si>
  <si>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</si>
  <si>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</si>
  <si>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</si>
  <si>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</si>
  <si>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</si>
  <si>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</si>
  <si>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</si>
  <si>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</si>
  <si>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</si>
  <si>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</si>
  <si>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</si>
  <si>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</si>
  <si>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</si>
  <si>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</si>
  <si>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</si>
  <si>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</si>
  <si>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</si>
  <si>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</si>
  <si>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</si>
  <si>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</si>
  <si>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</si>
  <si>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</si>
  <si>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</si>
  <si>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</si>
  <si>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</si>
  <si>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</si>
  <si>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</si>
  <si>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</si>
  <si>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</si>
  <si>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</si>
  <si>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</si>
  <si>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</si>
  <si>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</si>
  <si>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</si>
  <si>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</si>
  <si>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</si>
  <si>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</si>
  <si>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</si>
  <si>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</si>
  <si>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</si>
  <si>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</si>
  <si>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</si>
  <si>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</si>
  <si>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</si>
  <si>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</si>
  <si>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</si>
  <si>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</si>
  <si>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</si>
  <si>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</si>
  <si>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</si>
  <si>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</si>
  <si>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</si>
  <si>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</si>
  <si>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</si>
  <si>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</si>
  <si>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</si>
  <si>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</si>
  <si>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</si>
  <si>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</si>
  <si>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</si>
  <si>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</si>
  <si>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</si>
  <si>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</si>
  <si>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</si>
  <si>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</si>
  <si>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</si>
  <si>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</si>
  <si>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</si>
  <si>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</si>
  <si>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</si>
  <si>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</si>
  <si>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</si>
  <si>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</si>
  <si>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</si>
  <si>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</si>
  <si>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</si>
  <si>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</si>
  <si>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</si>
  <si>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</si>
  <si>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</si>
  <si>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</si>
  <si>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</si>
  <si>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</si>
  <si>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</si>
  <si>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</si>
  <si>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</si>
  <si>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</si>
  <si>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</si>
  <si>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</si>
  <si>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</si>
  <si>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</si>
  <si>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</si>
  <si>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</si>
  <si>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</si>
  <si>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</si>
  <si>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</si>
  <si>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</si>
  <si>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</si>
  <si>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</si>
  <si>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</si>
  <si>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</si>
  <si>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</si>
  <si>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</si>
  <si>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</si>
  <si>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</si>
  <si>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</si>
  <si>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</si>
  <si>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</si>
  <si>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</si>
  <si>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</si>
  <si>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</si>
  <si>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</si>
  <si>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</si>
  <si>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</si>
  <si>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</si>
  <si>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</si>
  <si>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</si>
  <si>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</si>
  <si>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</si>
  <si>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</si>
  <si>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</si>
  <si>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</si>
  <si>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</si>
  <si>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</si>
  <si>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</si>
  <si>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</si>
  <si>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</si>
  <si>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</si>
  <si>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</si>
  <si>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</si>
  <si>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</si>
  <si>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</si>
  <si>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</si>
  <si>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</si>
  <si>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</si>
  <si>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</si>
  <si>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</si>
  <si>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</si>
  <si>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</si>
  <si>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</si>
  <si>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</si>
  <si>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</si>
  <si>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</si>
  <si>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</si>
  <si>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</si>
  <si>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</si>
  <si>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</si>
  <si>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</si>
  <si>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</si>
  <si>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</si>
  <si>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</si>
  <si>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</si>
  <si>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</si>
  <si>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</si>
  <si>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</si>
  <si>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</si>
  <si>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</si>
  <si>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</si>
  <si>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</si>
  <si>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</si>
  <si>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</si>
  <si>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</si>
  <si>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</si>
  <si>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</si>
  <si>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</si>
  <si>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</si>
  <si>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</si>
  <si>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</si>
  <si>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</si>
  <si>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</si>
  <si>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</si>
  <si>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</si>
  <si>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</si>
  <si>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</si>
  <si>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</si>
  <si>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</si>
  <si>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</si>
  <si>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</si>
  <si>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</si>
  <si>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</si>
  <si>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</si>
  <si>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</si>
  <si>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</si>
  <si>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</si>
  <si>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</si>
  <si>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</si>
  <si>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</si>
  <si>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</si>
  <si>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</si>
  <si>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</si>
  <si>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</si>
  <si>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</si>
  <si>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</si>
  <si>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</si>
  <si>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</si>
  <si>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</si>
  <si>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</si>
  <si>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</si>
  <si>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</si>
  <si>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</si>
  <si>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</si>
  <si>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</si>
  <si>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</si>
  <si>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</si>
  <si>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</si>
  <si>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</si>
  <si>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</si>
  <si>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</si>
  <si>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</si>
  <si>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</si>
  <si>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</si>
  <si>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</si>
  <si>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</si>
  <si>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</si>
  <si>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</si>
  <si>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</si>
  <si>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</si>
  <si>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</si>
  <si>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</si>
  <si>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</si>
  <si>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</si>
  <si>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</si>
  <si>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</si>
  <si>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</si>
  <si>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</si>
  <si>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</si>
  <si>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</si>
  <si>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</si>
  <si>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</si>
  <si>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</si>
  <si>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</si>
  <si>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</si>
  <si>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</si>
  <si>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</si>
  <si>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</si>
  <si>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</si>
  <si>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</si>
  <si>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</si>
  <si>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</si>
  <si>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</si>
  <si>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</si>
  <si>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</si>
  <si>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</si>
  <si>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</si>
  <si>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</si>
  <si>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</si>
  <si>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</si>
  <si>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</si>
  <si>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</si>
  <si>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</si>
  <si>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</si>
  <si>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</si>
  <si>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</si>
  <si>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</si>
  <si>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</si>
  <si>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</si>
  <si>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</si>
  <si>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</si>
  <si>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</si>
  <si>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</si>
  <si>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</si>
  <si>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</si>
  <si>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</si>
  <si>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</si>
  <si>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</si>
  <si>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</si>
  <si>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</si>
  <si>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</si>
  <si>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</si>
  <si>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</si>
  <si>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</si>
  <si>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</si>
  <si>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</si>
  <si>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</si>
  <si>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</si>
  <si>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</si>
  <si>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</si>
  <si>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</si>
  <si>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</si>
  <si>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</si>
  <si>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</si>
  <si>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</si>
  <si>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</si>
  <si>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</si>
  <si>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</si>
  <si>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</si>
  <si>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</si>
  <si>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</si>
  <si>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</si>
  <si>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</si>
  <si>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</si>
  <si>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</si>
  <si>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</si>
  <si>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</si>
  <si>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</si>
  <si>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</si>
  <si>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</si>
  <si>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</si>
  <si>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</si>
  <si>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</si>
  <si>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</si>
  <si>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</si>
  <si>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</si>
  <si>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</si>
  <si>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</si>
  <si>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</si>
  <si>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</si>
  <si>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</si>
  <si>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</si>
  <si>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</si>
  <si>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</si>
  <si>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</si>
  <si>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</si>
  <si>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</si>
  <si>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</si>
  <si>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</si>
  <si>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</si>
  <si>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</si>
  <si>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</si>
  <si>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</si>
  <si>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</si>
  <si>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</si>
  <si>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</si>
  <si>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</si>
  <si>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</si>
  <si>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</si>
  <si>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</si>
  <si>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</si>
  <si>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</si>
  <si>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</si>
  <si>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</si>
  <si>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</si>
  <si>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</si>
  <si>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</si>
  <si>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</si>
  <si>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</si>
  <si>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</si>
  <si>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</si>
  <si>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</si>
  <si>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</si>
  <si>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</si>
  <si>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</si>
  <si>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</si>
  <si>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</si>
  <si>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</si>
  <si>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</si>
  <si>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</si>
  <si>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</si>
  <si>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</si>
  <si>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</si>
  <si>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</si>
  <si>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</si>
  <si>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</si>
  <si>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</si>
  <si>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</si>
  <si>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</si>
  <si>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</si>
  <si>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</si>
  <si>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</si>
  <si>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</si>
  <si>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</si>
  <si>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</si>
  <si>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</si>
  <si>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</si>
  <si>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</si>
  <si>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</si>
  <si>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</si>
  <si>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</si>
  <si>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</si>
  <si>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</si>
  <si>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</si>
  <si>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</si>
  <si>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</si>
  <si>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</si>
  <si>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</si>
  <si>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</si>
  <si>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</si>
  <si>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</si>
  <si>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</si>
  <si>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</si>
  <si>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</si>
  <si>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</si>
  <si>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</si>
  <si>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</si>
  <si>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</si>
  <si>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</si>
  <si>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</si>
  <si>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</si>
  <si>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</si>
  <si>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</si>
  <si>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</si>
  <si>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</si>
  <si>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</si>
  <si>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</si>
  <si>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</si>
  <si>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</si>
  <si>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</si>
  <si>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</si>
  <si>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</si>
  <si>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</si>
  <si>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</si>
  <si>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</si>
  <si>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</si>
  <si>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</si>
  <si>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</si>
  <si>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</si>
  <si>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</si>
  <si>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</si>
  <si>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</si>
  <si>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</si>
  <si>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</si>
  <si>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</si>
  <si>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</si>
  <si>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</si>
  <si>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</si>
  <si>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</si>
  <si>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</si>
  <si>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</si>
  <si>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</si>
  <si>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</si>
  <si>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</si>
  <si>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</si>
  <si>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</si>
  <si>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</si>
  <si>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</si>
  <si>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</si>
  <si>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</si>
  <si>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</si>
  <si>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</si>
  <si>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</si>
  <si>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</si>
  <si>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</si>
  <si>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</si>
  <si>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</si>
  <si>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</si>
  <si>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</si>
  <si>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</si>
  <si>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</si>
  <si>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</si>
  <si>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</si>
  <si>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</si>
  <si>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</si>
  <si>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</si>
  <si>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</si>
  <si>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</si>
  <si>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</si>
  <si>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</si>
  <si>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</si>
  <si>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</si>
  <si>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</si>
  <si>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</si>
  <si>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</si>
  <si>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</si>
  <si>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</si>
  <si>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</si>
  <si>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</si>
  <si>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</si>
  <si>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</si>
  <si>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</si>
  <si>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</si>
  <si>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</si>
  <si>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</si>
  <si>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</si>
  <si>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</si>
  <si>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</si>
  <si>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</si>
  <si>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</si>
  <si>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</si>
  <si>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</si>
  <si>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</si>
  <si>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</si>
  <si>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</si>
  <si>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</si>
  <si>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</si>
  <si>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</si>
  <si>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</si>
  <si>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</si>
  <si>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</si>
  <si>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</si>
  <si>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</si>
  <si>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</si>
  <si>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</si>
  <si>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</si>
  <si>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</si>
  <si>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</si>
  <si>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</si>
  <si>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</si>
  <si>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</si>
  <si>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</si>
  <si>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</si>
  <si>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</si>
  <si>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</si>
  <si>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</si>
  <si>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</si>
  <si>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</si>
  <si>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</si>
  <si>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</si>
  <si>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</si>
  <si>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</si>
  <si>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</si>
  <si>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</si>
  <si>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</si>
  <si>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</si>
  <si>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</si>
  <si>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</si>
  <si>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</si>
  <si>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</si>
  <si>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</si>
  <si>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</si>
  <si>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</si>
  <si>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</si>
  <si>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</si>
  <si>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</si>
  <si>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</si>
  <si>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</si>
  <si>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</si>
  <si>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</si>
  <si>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</si>
  <si>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</si>
  <si>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</si>
  <si>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</si>
  <si>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</si>
  <si>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</si>
  <si>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</si>
  <si>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</si>
  <si>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</si>
  <si>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</si>
  <si>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</si>
  <si>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</si>
  <si>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</si>
  <si>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</si>
  <si>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</si>
  <si>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</si>
  <si>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</si>
  <si>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</si>
  <si>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</si>
  <si>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</si>
  <si>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</si>
  <si>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</si>
  <si>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</si>
  <si>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</si>
  <si>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</si>
  <si>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</si>
  <si>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</si>
  <si>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</si>
  <si>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</si>
  <si>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</si>
  <si>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</si>
  <si>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</si>
  <si>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</si>
  <si>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</si>
  <si>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</si>
  <si>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</si>
  <si>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</si>
  <si>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</si>
  <si>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</si>
  <si>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</si>
  <si>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</si>
  <si>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</si>
  <si>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</si>
  <si>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</si>
  <si>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</si>
  <si>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</si>
  <si>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</si>
  <si>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</si>
  <si>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</si>
  <si>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</si>
  <si>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</si>
  <si>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</si>
  <si>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</si>
  <si>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</si>
  <si>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</si>
  <si>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</si>
  <si>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</si>
  <si>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</si>
  <si>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</si>
  <si>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</si>
  <si>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</si>
  <si>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</si>
  <si>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</si>
  <si>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</si>
  <si>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</si>
  <si>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</si>
  <si>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</si>
  <si>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</si>
  <si>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</si>
  <si>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</si>
  <si>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</si>
  <si>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</si>
  <si>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</si>
  <si>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</si>
  <si>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</si>
  <si>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</si>
  <si>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</si>
  <si>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</si>
  <si>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</si>
  <si>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</si>
  <si>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</si>
  <si>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</si>
  <si>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</si>
  <si>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</si>
  <si>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</si>
  <si>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</si>
  <si>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</si>
  <si>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</si>
  <si>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</si>
  <si>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</si>
  <si>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</si>
  <si>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</si>
  <si>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</si>
  <si>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</si>
  <si>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</si>
  <si>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</si>
  <si>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</si>
  <si>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</si>
  <si>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</si>
  <si>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</si>
  <si>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</si>
  <si>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</si>
  <si>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</si>
  <si>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</si>
  <si>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</si>
  <si>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</si>
  <si>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</si>
  <si>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</si>
  <si>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</si>
  <si>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</si>
  <si>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</si>
  <si>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</si>
  <si>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</si>
  <si>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</si>
  <si>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</si>
  <si>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</si>
  <si>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</si>
  <si>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</si>
  <si>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</si>
  <si>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</si>
  <si>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</si>
  <si>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</si>
  <si>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</si>
  <si>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</si>
  <si>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</si>
  <si>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</si>
  <si>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</si>
  <si>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</si>
  <si>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</si>
  <si>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</si>
  <si>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</si>
  <si>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</si>
  <si>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</si>
  <si>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</si>
  <si>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</si>
  <si>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</si>
  <si>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</si>
  <si>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</si>
  <si>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</si>
  <si>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</si>
  <si>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</si>
  <si>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</si>
  <si>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</si>
  <si>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</si>
  <si>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</si>
  <si>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</si>
  <si>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</si>
  <si>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</si>
  <si>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</si>
  <si>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</si>
  <si>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</si>
  <si>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</si>
  <si>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</si>
  <si>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</si>
  <si>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</si>
  <si>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</si>
  <si>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</si>
  <si>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</si>
  <si>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</si>
  <si>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</si>
  <si>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</si>
  <si>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</si>
  <si>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</si>
  <si>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</si>
  <si>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</si>
  <si>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</si>
  <si>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</si>
  <si>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</si>
  <si>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</si>
  <si>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</si>
  <si>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</si>
  <si>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</si>
  <si>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</si>
  <si>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</si>
  <si>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</si>
  <si>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</si>
  <si>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</si>
  <si>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</si>
  <si>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</si>
  <si>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</si>
  <si>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</si>
  <si>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</si>
  <si>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</si>
  <si>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</si>
  <si>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</si>
  <si>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</si>
  <si>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</si>
  <si>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</si>
  <si>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</si>
  <si>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</si>
  <si>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</si>
  <si>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</si>
  <si>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</si>
  <si>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</si>
  <si>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</si>
  <si>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</si>
  <si>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</si>
  <si>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</si>
  <si>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</si>
  <si>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</si>
  <si>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</si>
  <si>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</si>
  <si>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</si>
  <si>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</si>
  <si>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</si>
  <si>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</si>
  <si>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</si>
  <si>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</si>
  <si>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</si>
  <si>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</si>
  <si>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</si>
  <si>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</si>
  <si>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</si>
  <si>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</si>
  <si>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</si>
  <si>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</si>
  <si>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</si>
  <si>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</si>
  <si>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</si>
  <si>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</si>
  <si>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</si>
  <si>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</si>
  <si>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</si>
  <si>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</si>
  <si>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</si>
  <si>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</si>
  <si>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</si>
  <si>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</si>
  <si>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</si>
  <si>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</si>
  <si>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</si>
  <si>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</si>
  <si>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</si>
  <si>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</si>
  <si>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</si>
  <si>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</si>
  <si>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</si>
  <si>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</si>
  <si>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</si>
  <si>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</si>
  <si>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</si>
  <si>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</si>
  <si>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</si>
  <si>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</si>
  <si>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</si>
  <si>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</si>
  <si>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</si>
  <si>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</si>
  <si>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</si>
  <si>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</si>
  <si>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</si>
  <si>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</si>
  <si>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</si>
  <si>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</si>
  <si>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</si>
  <si>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</si>
  <si>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</si>
  <si>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</si>
  <si>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</si>
  <si>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</si>
  <si>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</si>
  <si>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</si>
  <si>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</si>
  <si>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</si>
  <si>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</si>
  <si>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</si>
  <si>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</si>
  <si>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</si>
  <si>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</si>
  <si>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</si>
  <si>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</si>
  <si>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</si>
  <si>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</si>
  <si>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</si>
  <si>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</si>
  <si>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</si>
  <si>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</si>
  <si>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</si>
  <si>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</si>
  <si>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</si>
  <si>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</si>
  <si>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</si>
  <si>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</si>
  <si>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</si>
  <si>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</si>
  <si>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</si>
  <si>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</si>
  <si>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</si>
  <si>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</si>
  <si>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</si>
  <si>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</si>
  <si>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</si>
  <si>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</si>
  <si>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</si>
  <si>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</si>
  <si>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</si>
  <si>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</si>
  <si>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</si>
  <si>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</si>
  <si>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</si>
  <si>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</si>
  <si>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</si>
  <si>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</si>
  <si>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</si>
  <si>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</si>
  <si>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</si>
  <si>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</si>
  <si>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</si>
  <si>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</si>
  <si>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</si>
  <si>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</si>
  <si>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</si>
  <si>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</si>
  <si>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</si>
  <si>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</si>
  <si>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</si>
  <si>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</si>
  <si>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</si>
  <si>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</si>
  <si>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</si>
  <si>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</si>
  <si>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</si>
  <si>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</si>
  <si>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</si>
  <si>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</si>
  <si>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</si>
  <si>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</si>
  <si>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</si>
  <si>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</si>
  <si>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</si>
  <si>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</si>
  <si>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</si>
  <si>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</si>
  <si>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</si>
  <si>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</si>
  <si>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</si>
  <si>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</si>
  <si>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</si>
  <si>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</si>
  <si>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</si>
  <si>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</si>
  <si>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</si>
  <si>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</si>
  <si>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</si>
  <si>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</si>
  <si>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</si>
  <si>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</si>
  <si>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</si>
  <si>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</si>
  <si>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</si>
  <si>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</si>
  <si>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</si>
  <si>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</si>
  <si>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</si>
  <si>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</si>
  <si>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</si>
  <si>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</si>
  <si>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</si>
  <si>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</si>
  <si>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</si>
  <si>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</si>
  <si>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</si>
  <si>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</si>
  <si>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</si>
  <si>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</si>
  <si>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</si>
  <si>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</si>
  <si>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</si>
  <si>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</si>
  <si>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</si>
  <si>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</si>
  <si>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</si>
  <si>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</si>
  <si>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</si>
  <si>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</si>
  <si>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</si>
  <si>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</si>
  <si>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</si>
  <si>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</si>
  <si>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</si>
  <si>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</si>
  <si>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</si>
  <si>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</si>
  <si>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</si>
  <si>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</si>
  <si>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</si>
  <si>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</si>
  <si>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</si>
  <si>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</si>
  <si>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</si>
  <si>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</si>
  <si>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</si>
  <si>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</si>
  <si>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</si>
  <si>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</si>
  <si>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</si>
  <si>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</si>
  <si>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</si>
  <si>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</si>
  <si>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</si>
  <si>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</si>
  <si>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</si>
  <si>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</si>
  <si>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</si>
  <si>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</si>
  <si>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</si>
  <si>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</si>
  <si>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</si>
  <si>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</si>
  <si>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</si>
  <si>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</si>
  <si>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</si>
  <si>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</si>
  <si>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</si>
  <si>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</si>
  <si>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</si>
  <si>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</si>
  <si>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</si>
  <si>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</si>
  <si>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</si>
  <si>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</si>
  <si>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</si>
  <si>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</si>
  <si>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</si>
  <si>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</si>
  <si>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</si>
  <si>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</si>
  <si>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</si>
  <si>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</si>
  <si>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</si>
  <si>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</si>
  <si>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</si>
  <si>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</si>
  <si>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</si>
  <si>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</si>
  <si>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</si>
  <si>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</si>
  <si>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</si>
  <si>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</si>
  <si>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</si>
  <si>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</si>
  <si>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</si>
  <si>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</si>
  <si>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</si>
  <si>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</si>
  <si>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</si>
  <si>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</si>
  <si>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</si>
  <si>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</si>
  <si>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</si>
  <si>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</si>
  <si>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</si>
  <si>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</si>
  <si>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</si>
  <si>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</si>
  <si>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</si>
  <si>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</si>
  <si>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</si>
  <si>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</si>
  <si>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</si>
  <si>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</si>
  <si>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</si>
  <si>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</si>
  <si>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</si>
  <si>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</si>
  <si>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</si>
  <si>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</si>
  <si>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</si>
  <si>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</si>
  <si>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</si>
  <si>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</si>
  <si>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</si>
  <si>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</si>
  <si>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</si>
  <si>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</si>
  <si>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</si>
  <si>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</si>
  <si>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</si>
  <si>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</si>
  <si>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</si>
  <si>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</si>
  <si>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</si>
  <si>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</si>
  <si>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</si>
  <si>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</si>
  <si>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</si>
  <si>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</si>
  <si>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</si>
  <si>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</si>
  <si>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</si>
  <si>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</si>
  <si>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</si>
  <si>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</si>
  <si>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</si>
  <si>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</si>
  <si>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</si>
  <si>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</si>
  <si>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</si>
  <si>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</si>
  <si>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</si>
  <si>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</si>
  <si>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</si>
  <si>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</si>
  <si>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</si>
  <si>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</si>
  <si>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</si>
  <si>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</si>
  <si>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</si>
  <si>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</si>
  <si>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</si>
  <si>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</si>
  <si>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</si>
  <si>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</si>
  <si>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</si>
  <si>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</si>
  <si>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</si>
  <si>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</si>
  <si>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</si>
  <si>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</si>
  <si>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</si>
  <si>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</si>
  <si>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</si>
  <si>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</si>
  <si>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</si>
  <si>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</si>
  <si>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</si>
  <si>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</si>
  <si>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</si>
  <si>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</si>
  <si>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</si>
  <si>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</si>
  <si>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</si>
  <si>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</si>
  <si>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</si>
  <si>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</si>
  <si>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</si>
  <si>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</si>
  <si>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</si>
  <si>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</si>
  <si>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</si>
  <si>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</si>
  <si>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</si>
  <si>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</si>
  <si>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</si>
  <si>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</si>
  <si>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</si>
  <si>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</si>
  <si>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</si>
  <si>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</si>
  <si>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</si>
  <si>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</si>
  <si>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</si>
  <si>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</si>
  <si>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</si>
  <si>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</si>
  <si>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</si>
  <si>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</si>
  <si>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</si>
  <si>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</si>
  <si>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</si>
  <si>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</si>
  <si>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</si>
  <si>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</si>
  <si>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</si>
  <si>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</si>
  <si>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</si>
  <si>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</si>
  <si>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</si>
  <si>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</si>
  <si>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</si>
  <si>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</si>
  <si>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</si>
  <si>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</si>
  <si>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</si>
  <si>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</si>
  <si>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</si>
  <si>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</si>
  <si>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</si>
  <si>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</si>
  <si>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</si>
  <si>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</si>
  <si>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</si>
  <si>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</si>
  <si>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</si>
  <si>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</si>
  <si>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</si>
  <si>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</si>
  <si>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</si>
  <si>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</si>
  <si>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</si>
  <si>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</si>
  <si>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</si>
  <si>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</si>
  <si>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</si>
  <si>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</si>
  <si>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</si>
  <si>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</si>
  <si>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</si>
  <si>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</si>
  <si>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</si>
  <si>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</si>
  <si>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</si>
  <si>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</si>
  <si>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</si>
  <si>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</si>
  <si>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</si>
  <si>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</si>
  <si>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</si>
  <si>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</si>
  <si>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</si>
  <si>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</si>
  <si>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</si>
  <si>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</si>
  <si>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</si>
  <si>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</si>
  <si>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</si>
  <si>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</si>
  <si>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</si>
  <si>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</si>
  <si>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</si>
  <si>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</si>
  <si>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</si>
  <si>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</si>
  <si>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</si>
  <si>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</si>
  <si>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</si>
  <si>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</si>
  <si>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</si>
  <si>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</si>
  <si>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</si>
  <si>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</si>
  <si>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</si>
  <si>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</si>
  <si>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</si>
  <si>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</si>
  <si>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</si>
  <si>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</si>
  <si>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</si>
  <si>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</si>
  <si>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</si>
  <si>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</si>
  <si>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</si>
  <si>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</si>
  <si>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</si>
  <si>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</si>
  <si>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</si>
  <si>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</si>
  <si>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</si>
  <si>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</si>
  <si>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</si>
  <si>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</si>
  <si>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</si>
  <si>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</si>
  <si>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</si>
  <si>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</si>
  <si>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</si>
  <si>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</si>
  <si>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</si>
  <si>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</si>
  <si>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</si>
  <si>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</si>
  <si>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</si>
  <si>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</si>
  <si>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</si>
  <si>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</si>
  <si>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</si>
  <si>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</si>
  <si>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</si>
  <si>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</si>
  <si>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</si>
  <si>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</si>
  <si>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</si>
  <si>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</si>
  <si>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</si>
  <si>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</si>
  <si>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</si>
  <si>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</si>
  <si>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</si>
  <si>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</si>
  <si>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</si>
  <si>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</si>
  <si>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</si>
  <si>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</si>
  <si>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</si>
  <si>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</si>
  <si>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</si>
  <si>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</si>
  <si>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</si>
  <si>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</si>
  <si>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</si>
  <si>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</si>
  <si>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</si>
  <si>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</si>
  <si>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</si>
  <si>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</si>
  <si>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</si>
  <si>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</si>
  <si>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</si>
  <si>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</si>
  <si>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</si>
  <si>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</si>
  <si>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</si>
  <si>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</si>
  <si>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</si>
  <si>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</si>
  <si>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</si>
  <si>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</si>
  <si>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</si>
  <si>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</si>
  <si>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</si>
  <si>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</si>
  <si>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</si>
  <si>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</si>
  <si>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</si>
  <si>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</si>
  <si>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</si>
  <si>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</si>
  <si>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</si>
  <si>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</si>
  <si>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</si>
  <si>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</si>
  <si>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</si>
  <si>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</si>
  <si>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</si>
  <si>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</si>
  <si>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</si>
  <si>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</si>
  <si>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</si>
  <si>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</si>
  <si>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</si>
  <si>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</si>
  <si>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</si>
  <si>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</si>
  <si>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</si>
  <si>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</si>
  <si>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</si>
  <si>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</si>
  <si>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</si>
  <si>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</si>
  <si>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</si>
  <si>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</si>
  <si>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</si>
  <si>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</si>
  <si>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</si>
  <si>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</si>
  <si>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</si>
  <si>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</si>
  <si>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</si>
  <si>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</si>
  <si>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</si>
  <si>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</si>
  <si>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</si>
  <si>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</si>
  <si>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</si>
  <si>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</si>
  <si>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</si>
  <si>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</si>
  <si>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</si>
  <si>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</si>
  <si>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</si>
  <si>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</si>
  <si>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</si>
  <si>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</si>
  <si>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</si>
  <si>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</si>
  <si>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</si>
  <si>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</si>
  <si>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</si>
  <si>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</si>
  <si>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</si>
  <si>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</si>
  <si>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</si>
  <si>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</si>
  <si>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</si>
  <si>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</si>
  <si>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</si>
  <si>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</si>
  <si>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</si>
  <si>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</si>
  <si>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</si>
  <si>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</si>
  <si>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</si>
  <si>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</si>
  <si>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</si>
  <si>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</si>
  <si>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</si>
  <si>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</si>
  <si>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</si>
  <si>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</si>
  <si>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</si>
  <si>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</si>
  <si>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</si>
  <si>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</si>
  <si>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</si>
  <si>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</si>
  <si>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</si>
  <si>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</si>
  <si>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</si>
  <si>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</si>
  <si>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</si>
  <si>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</si>
  <si>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</si>
  <si>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</si>
  <si>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</si>
  <si>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</si>
  <si>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</si>
  <si>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</si>
  <si>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</si>
  <si>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</si>
  <si>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</si>
  <si>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</si>
  <si>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</si>
  <si>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</si>
  <si>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</si>
  <si>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</si>
  <si>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</si>
  <si>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</si>
  <si>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</si>
  <si>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</si>
  <si>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</si>
  <si>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</si>
  <si>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</si>
  <si>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</si>
  <si>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</si>
  <si>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</si>
  <si>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</si>
  <si>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</si>
  <si>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</si>
  <si>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</si>
  <si>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</si>
  <si>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</si>
  <si>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</si>
  <si>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</si>
  <si>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</si>
  <si>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</si>
  <si>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</si>
  <si>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</si>
  <si>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</si>
  <si>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</si>
  <si>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</si>
  <si>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</si>
  <si>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</si>
  <si>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</si>
  <si>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</si>
  <si>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</si>
  <si>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</si>
  <si>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</si>
  <si>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</si>
  <si>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</si>
  <si>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</si>
  <si>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</si>
  <si>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</si>
  <si>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</si>
  <si>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</si>
  <si>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</si>
  <si>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</si>
  <si>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</si>
  <si>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</si>
  <si>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</si>
  <si>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</si>
  <si>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</si>
  <si>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</si>
  <si>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</si>
  <si>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</si>
  <si>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</si>
  <si>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</si>
  <si>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</si>
  <si>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</si>
  <si>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</si>
  <si>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</si>
  <si>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</si>
  <si>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</si>
  <si>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</si>
  <si>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</si>
  <si>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</si>
  <si>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</si>
  <si>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</si>
  <si>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</si>
  <si>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</si>
  <si>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</si>
  <si>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</si>
  <si>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</si>
  <si>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</si>
  <si>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</si>
  <si>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</si>
  <si>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</si>
  <si>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</si>
  <si>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</si>
  <si>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</si>
  <si>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</si>
  <si>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</si>
  <si>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</si>
  <si>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</si>
  <si>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</si>
  <si>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</si>
  <si>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</si>
  <si>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</si>
  <si>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</si>
  <si>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</si>
  <si>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</si>
  <si>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</si>
  <si>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</si>
  <si>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</si>
  <si>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</si>
  <si>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</si>
  <si>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</si>
  <si>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</si>
  <si>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</si>
  <si>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</si>
  <si>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</si>
  <si>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</si>
  <si>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</si>
  <si>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</si>
  <si>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</si>
  <si>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</si>
  <si>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</si>
  <si>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</si>
  <si>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</si>
  <si>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</si>
  <si>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</si>
  <si>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</si>
  <si>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</si>
  <si>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</si>
  <si>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</si>
  <si>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</si>
  <si>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</si>
  <si>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</si>
  <si>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</si>
  <si>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</si>
  <si>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</si>
  <si>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</si>
  <si>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</si>
  <si>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</si>
  <si>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</si>
  <si>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</si>
  <si>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</si>
  <si>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</si>
  <si>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</si>
  <si>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</si>
  <si>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</si>
  <si>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</si>
  <si>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</si>
  <si>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</si>
  <si>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</si>
  <si>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</si>
  <si>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</si>
  <si>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</si>
  <si>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</si>
  <si>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</si>
  <si>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</si>
  <si>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</si>
  <si>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</si>
  <si>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</si>
  <si>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</si>
  <si>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</si>
  <si>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</si>
  <si>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</si>
  <si>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</si>
  <si>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</si>
  <si>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</si>
  <si>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</si>
  <si>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</si>
  <si>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</si>
  <si>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</si>
  <si>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</si>
  <si>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</si>
  <si>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</si>
  <si>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</si>
  <si>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</si>
  <si>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</si>
  <si>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</si>
  <si>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</si>
  <si>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</si>
  <si>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</si>
  <si>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</si>
  <si>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</si>
  <si>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</si>
  <si>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</si>
  <si>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</si>
  <si>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</si>
  <si>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</si>
  <si>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</si>
  <si>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</si>
  <si>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</si>
  <si>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</si>
  <si>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</si>
  <si>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</si>
  <si>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</si>
  <si>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</si>
  <si>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</si>
  <si>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</si>
  <si>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</si>
  <si>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</si>
  <si>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</si>
  <si>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</si>
  <si>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</si>
  <si>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</si>
  <si>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</si>
  <si>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</si>
  <si>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</si>
  <si>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</si>
  <si>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</si>
  <si>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</si>
  <si>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</si>
  <si>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</si>
  <si>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</si>
  <si>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</si>
  <si>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</si>
  <si>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</si>
  <si>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</si>
  <si>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</si>
  <si>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</si>
  <si>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</si>
  <si>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</si>
  <si>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</si>
  <si>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</si>
  <si>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</si>
  <si>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</si>
  <si>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</si>
  <si>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</si>
  <si>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</si>
  <si>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</si>
  <si>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</si>
  <si>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</si>
  <si>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</si>
  <si>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</si>
  <si>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</si>
  <si>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</si>
  <si>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</si>
  <si>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</si>
  <si>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</si>
  <si>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</si>
  <si>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</si>
  <si>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</si>
  <si>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</si>
  <si>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</si>
  <si>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</si>
  <si>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</si>
  <si>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</si>
  <si>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</si>
  <si>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</si>
  <si>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</si>
  <si>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</si>
  <si>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</si>
  <si>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</si>
  <si>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</si>
  <si>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</si>
  <si>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</si>
  <si>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</si>
  <si>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</si>
  <si>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</si>
  <si>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</si>
  <si>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</si>
  <si>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</si>
  <si>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</si>
  <si>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</si>
  <si>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</si>
  <si>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</si>
  <si>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</si>
  <si>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</si>
  <si>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</si>
  <si>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</si>
  <si>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</si>
  <si>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</si>
  <si>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</si>
  <si>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</si>
  <si>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</si>
  <si>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</si>
  <si>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</si>
  <si>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</si>
  <si>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</si>
  <si>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</si>
  <si>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</si>
  <si>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</si>
  <si>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</si>
  <si>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</si>
  <si>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</si>
  <si>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</si>
  <si>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</si>
  <si>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</si>
  <si>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</si>
  <si>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</si>
  <si>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</si>
  <si>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</si>
  <si>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</si>
  <si>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</si>
  <si>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</si>
  <si>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</si>
  <si>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</si>
  <si>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</si>
  <si>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</si>
  <si>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</si>
  <si>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</si>
  <si>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</si>
  <si>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</si>
  <si>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</si>
  <si>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</si>
  <si>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</si>
  <si>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</si>
  <si>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</si>
  <si>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</si>
  <si>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</si>
  <si>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</si>
  <si>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</si>
  <si>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</si>
  <si>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</si>
  <si>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</si>
  <si>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</si>
  <si>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</si>
  <si>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</si>
  <si>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</si>
  <si>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</si>
  <si>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</si>
  <si>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</si>
  <si>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</si>
  <si>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</si>
  <si>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</si>
  <si>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</si>
  <si>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</si>
  <si>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</si>
  <si>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</si>
  <si>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</si>
  <si>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</si>
  <si>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</si>
  <si>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</si>
  <si>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</si>
  <si>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</si>
  <si>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</si>
  <si>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</si>
  <si>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</si>
  <si>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</si>
  <si>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</si>
  <si>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</si>
  <si>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</si>
  <si>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</si>
  <si>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</si>
  <si>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</si>
  <si>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</si>
  <si>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</si>
  <si>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</si>
  <si>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</si>
  <si>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</si>
  <si>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</si>
  <si>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</si>
  <si>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</si>
  <si>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</si>
  <si>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</si>
  <si>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</si>
  <si>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</si>
  <si>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</si>
  <si>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</si>
  <si>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</si>
  <si>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</si>
  <si>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</si>
  <si>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</si>
  <si>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</si>
  <si>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</si>
  <si>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</si>
  <si>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</si>
  <si>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</si>
  <si>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</si>
  <si>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</si>
  <si>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</si>
  <si>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</si>
  <si>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</si>
  <si>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</si>
  <si>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</si>
  <si>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</si>
  <si>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</si>
  <si>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</si>
  <si>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</si>
  <si>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</si>
  <si>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</si>
  <si>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</si>
  <si>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</si>
  <si>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</si>
  <si>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</si>
  <si>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</si>
  <si>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</si>
  <si>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</si>
  <si>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</si>
  <si>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</si>
  <si>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</si>
  <si>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</si>
  <si>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</si>
  <si>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</si>
  <si>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</si>
  <si>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</si>
  <si>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</si>
  <si>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</si>
  <si>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</si>
  <si>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</si>
  <si>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</si>
  <si>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</si>
  <si>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</si>
  <si>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</si>
  <si>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</si>
  <si>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</si>
  <si>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</si>
  <si>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</si>
  <si>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</si>
  <si>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</si>
  <si>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</si>
  <si>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</si>
  <si>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</si>
  <si>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</si>
  <si>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</si>
  <si>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</si>
  <si>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</si>
  <si>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</si>
  <si>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</si>
  <si>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</si>
  <si>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</si>
  <si>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</si>
  <si>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</si>
  <si>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</si>
  <si>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</si>
  <si>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</si>
  <si>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</si>
  <si>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</si>
  <si>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</si>
  <si>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</si>
  <si>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</si>
  <si>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</si>
  <si>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</si>
  <si>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</si>
  <si>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</si>
  <si>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</si>
  <si>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</si>
  <si>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</si>
  <si>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</si>
  <si>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</si>
  <si>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</si>
  <si>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</si>
  <si>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</si>
  <si>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</si>
  <si>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</si>
  <si>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</si>
  <si>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</si>
  <si>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</si>
  <si>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</si>
  <si>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</si>
  <si>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</si>
  <si>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</si>
  <si>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</si>
  <si>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</si>
  <si>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</si>
  <si>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</si>
  <si>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</si>
  <si>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</si>
  <si>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</si>
  <si>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</si>
  <si>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</si>
  <si>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</si>
  <si>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</si>
  <si>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</si>
  <si>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</si>
  <si>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</si>
  <si>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</si>
  <si>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</si>
  <si>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</si>
  <si>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</si>
  <si>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</si>
  <si>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</si>
  <si>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</si>
  <si>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</si>
  <si>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</si>
  <si>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</si>
  <si>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</si>
  <si>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</si>
  <si>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</si>
  <si>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</si>
  <si>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</si>
  <si>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</si>
  <si>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</si>
  <si>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</si>
  <si>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</si>
  <si>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</si>
  <si>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</si>
  <si>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</si>
  <si>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</si>
  <si>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</si>
  <si>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</si>
  <si>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</si>
  <si>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</si>
  <si>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</si>
  <si>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</si>
  <si>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</si>
  <si>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</si>
  <si>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</si>
  <si>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</si>
  <si>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</si>
  <si>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</si>
  <si>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</si>
  <si>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</si>
  <si>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</si>
  <si>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</si>
  <si>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</si>
  <si>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</si>
  <si>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</si>
  <si>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</si>
  <si>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</si>
  <si>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</si>
  <si>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</si>
  <si>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</si>
  <si>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</si>
  <si>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</si>
  <si>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</si>
  <si>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</si>
  <si>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</si>
  <si>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</si>
  <si>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</si>
  <si>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</si>
  <si>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</si>
  <si>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</si>
  <si>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</si>
  <si>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</si>
  <si>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</si>
  <si>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</si>
  <si>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</si>
  <si>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</si>
  <si>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</si>
  <si>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</si>
  <si>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</si>
  <si>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</si>
  <si>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</si>
  <si>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</si>
  <si>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</si>
  <si>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</si>
  <si>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</si>
  <si>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</si>
  <si>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</si>
  <si>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</si>
  <si>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</si>
  <si>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</si>
  <si>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</si>
  <si>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</si>
  <si>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</si>
  <si>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</si>
  <si>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</si>
  <si>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</si>
  <si>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</si>
  <si>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</si>
  <si>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</si>
  <si>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</si>
  <si>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</si>
  <si>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</si>
  <si>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</si>
  <si>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</si>
  <si>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</si>
  <si>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</si>
  <si>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</si>
  <si>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</si>
  <si>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</si>
  <si>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</si>
  <si>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</si>
  <si>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</si>
  <si>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</si>
  <si>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</si>
  <si>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</si>
  <si>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</si>
  <si>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</si>
  <si>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</si>
  <si>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</si>
  <si>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</si>
  <si>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</si>
  <si>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</si>
  <si>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</si>
  <si>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</si>
  <si>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</si>
  <si>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</si>
  <si>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</si>
  <si>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</si>
  <si>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</si>
  <si>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</si>
  <si>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</si>
  <si>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</si>
  <si>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</si>
  <si>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</si>
  <si>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</si>
  <si>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</si>
  <si>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</si>
  <si>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</si>
  <si>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</si>
  <si>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</si>
  <si>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</si>
  <si>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</si>
  <si>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</si>
  <si>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</si>
  <si>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</si>
  <si>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</si>
  <si>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</si>
  <si>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</si>
  <si>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</si>
  <si>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</si>
  <si>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</si>
  <si>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</si>
  <si>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</si>
  <si>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</si>
  <si>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</si>
  <si>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</si>
  <si>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</si>
  <si>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</si>
  <si>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</si>
  <si>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</si>
  <si>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</si>
  <si>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</si>
  <si>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</si>
  <si>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</si>
  <si>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</si>
  <si>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</si>
  <si>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</si>
  <si>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</si>
  <si>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</si>
  <si>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</si>
  <si>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</si>
  <si>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</si>
  <si>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</si>
  <si>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</si>
  <si>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</si>
  <si>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</si>
  <si>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</si>
  <si>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</si>
  <si>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</si>
  <si>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</si>
  <si>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</si>
  <si>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</si>
  <si>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</si>
  <si>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</si>
  <si>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</si>
  <si>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</si>
  <si>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</si>
  <si>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</si>
  <si>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</si>
  <si>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</si>
  <si>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</si>
  <si>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</si>
  <si>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</si>
  <si>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</si>
  <si>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</si>
  <si>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</si>
  <si>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</si>
  <si>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</si>
  <si>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</si>
  <si>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</si>
  <si>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</si>
  <si>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</si>
  <si>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</si>
  <si>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</si>
  <si>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</si>
  <si>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</si>
  <si>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</si>
  <si>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</si>
  <si>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</si>
  <si>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</si>
  <si>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</si>
  <si>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</si>
  <si>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</si>
  <si>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</si>
  <si>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</si>
  <si>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</si>
  <si>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</si>
  <si>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</si>
  <si>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</si>
  <si>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</si>
  <si>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</si>
  <si>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</si>
  <si>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</si>
  <si>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</si>
  <si>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</si>
  <si>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</si>
  <si>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</si>
  <si>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</si>
  <si>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</si>
  <si>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</si>
  <si>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</si>
  <si>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</si>
  <si>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</si>
  <si>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</si>
  <si>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</si>
  <si>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</si>
  <si>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</si>
  <si>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</si>
  <si>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</si>
  <si>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</si>
  <si>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</si>
  <si>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</si>
  <si>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</si>
  <si>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</si>
  <si>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</si>
  <si>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</si>
  <si>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</si>
  <si>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</si>
  <si>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</si>
  <si>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</si>
  <si>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</si>
  <si>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</si>
  <si>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</si>
  <si>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</si>
  <si>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</si>
  <si>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</si>
  <si>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</si>
  <si>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</si>
  <si>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</si>
  <si>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</si>
  <si>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</si>
  <si>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</si>
  <si>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</si>
  <si>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</si>
  <si>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</si>
  <si>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</si>
  <si>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</si>
  <si>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</si>
  <si>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</si>
  <si>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</si>
  <si>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</si>
  <si>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</si>
  <si>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</si>
  <si>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</si>
  <si>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</si>
  <si>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</si>
  <si>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</si>
  <si>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</si>
  <si>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</si>
  <si>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</si>
  <si>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</si>
  <si>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</si>
  <si>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</si>
  <si>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</si>
  <si>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</si>
  <si>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</si>
  <si>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</si>
  <si>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</si>
  <si>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</si>
  <si>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</si>
  <si>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</si>
  <si>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</si>
  <si>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</si>
  <si>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</si>
  <si>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</si>
  <si>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</si>
  <si>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</si>
  <si>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</si>
  <si>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</si>
  <si>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</si>
  <si>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</si>
  <si>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</si>
  <si>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</si>
  <si>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</si>
  <si>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</si>
  <si>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</si>
  <si>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</si>
  <si>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</si>
  <si>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</si>
  <si>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</si>
  <si>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</si>
  <si>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</si>
  <si>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</si>
  <si>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</si>
  <si>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</si>
  <si>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</si>
  <si>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</si>
  <si>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</si>
  <si>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</si>
  <si>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</si>
  <si>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</si>
  <si>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</si>
  <si>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</si>
  <si>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</si>
  <si>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</si>
  <si>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</si>
  <si>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</si>
  <si>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</si>
  <si>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</si>
  <si>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</si>
  <si>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</si>
  <si>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</si>
  <si>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</si>
  <si>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</si>
  <si>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</si>
  <si>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</si>
  <si>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</si>
  <si>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</si>
  <si>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</si>
  <si>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</si>
  <si>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</si>
  <si>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</si>
  <si>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</si>
  <si>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</si>
  <si>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</si>
  <si>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</si>
  <si>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</si>
  <si>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</si>
  <si>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</si>
  <si>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</si>
  <si>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</si>
  <si>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</si>
  <si>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</si>
  <si>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</si>
  <si>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</si>
  <si>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</si>
  <si>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</si>
  <si>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</si>
  <si>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</si>
  <si>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</si>
  <si>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</si>
  <si>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</si>
  <si>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</si>
  <si>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</si>
  <si>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</si>
  <si>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</si>
  <si>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</si>
  <si>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</si>
  <si>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</si>
  <si>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</si>
  <si>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</si>
  <si>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</si>
  <si>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</si>
  <si>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</si>
  <si>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</si>
  <si>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</si>
  <si>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</si>
  <si>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</si>
  <si>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</si>
  <si>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</si>
  <si>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</si>
  <si>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</si>
  <si>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</si>
  <si>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</si>
  <si>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</si>
  <si>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</si>
  <si>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</si>
  <si>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</si>
  <si>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</si>
  <si>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</si>
  <si>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</si>
  <si>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</si>
  <si>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</si>
  <si>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</si>
  <si>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</si>
  <si>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</si>
  <si>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</si>
  <si>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</si>
  <si>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</si>
  <si>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</si>
  <si>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</si>
  <si>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</si>
  <si>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</si>
  <si>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</si>
  <si>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</si>
  <si>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</si>
  <si>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</si>
  <si>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</si>
  <si>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</si>
  <si>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</si>
  <si>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</si>
  <si>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</si>
  <si>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</si>
  <si>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</si>
  <si>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</si>
  <si>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</si>
  <si>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</si>
  <si>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</si>
  <si>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</si>
  <si>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</si>
  <si>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</si>
  <si>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</si>
  <si>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</si>
  <si>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</si>
  <si>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</si>
  <si>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</si>
  <si>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</si>
  <si>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</si>
  <si>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</si>
  <si>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</si>
  <si>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</si>
  <si>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</si>
  <si>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</si>
  <si>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</si>
  <si>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</si>
  <si>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</si>
  <si>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</si>
  <si>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</si>
  <si>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</si>
  <si>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</si>
  <si>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</si>
  <si>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</si>
  <si>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</si>
  <si>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</si>
  <si>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</si>
  <si>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</si>
  <si>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</si>
  <si>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</si>
  <si>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</si>
  <si>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</si>
  <si>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</si>
  <si>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</si>
  <si>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</si>
  <si>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</si>
  <si>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</si>
  <si>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</si>
  <si>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</si>
  <si>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</si>
  <si>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</si>
  <si>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</si>
  <si>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</si>
  <si>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</si>
  <si>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</si>
  <si>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</si>
  <si>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</si>
  <si>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</si>
  <si>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</si>
  <si>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</si>
  <si>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</si>
  <si>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</si>
  <si>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</si>
  <si>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</si>
  <si>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</si>
  <si>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</si>
  <si>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</si>
  <si>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</si>
  <si>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</si>
  <si>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</si>
  <si>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</si>
  <si>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</si>
  <si>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</si>
  <si>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</si>
  <si>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</si>
  <si>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</si>
  <si>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</si>
  <si>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</si>
  <si>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</si>
  <si>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</si>
  <si>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</si>
  <si>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</si>
  <si>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</si>
  <si>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</si>
  <si>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</si>
  <si>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</si>
  <si>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</si>
  <si>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</si>
  <si>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</si>
  <si>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</si>
  <si>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</si>
  <si>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</si>
  <si>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</si>
  <si>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</si>
  <si>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</si>
  <si>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</si>
  <si>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</si>
  <si>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</si>
  <si>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</si>
  <si>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</si>
  <si>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</si>
  <si>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</si>
  <si>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</si>
  <si>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</si>
  <si>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</si>
  <si>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</si>
  <si>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</si>
  <si>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</si>
  <si>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</si>
  <si>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</si>
  <si>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</si>
  <si>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</si>
  <si>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</si>
  <si>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</si>
  <si>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</si>
  <si>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</si>
  <si>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</si>
  <si>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</si>
  <si>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</si>
  <si>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</si>
  <si>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</si>
  <si>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</si>
  <si>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</si>
  <si>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</si>
  <si>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</si>
  <si>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</si>
  <si>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</si>
  <si>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</si>
  <si>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</si>
  <si>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</si>
  <si>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</si>
  <si>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</si>
  <si>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</si>
  <si>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</si>
  <si>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</si>
  <si>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</si>
  <si>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</si>
  <si>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</si>
  <si>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</si>
  <si>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</si>
  <si>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</si>
  <si>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</si>
  <si>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</si>
  <si>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</si>
  <si>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</si>
  <si>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</si>
  <si>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</si>
  <si>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</si>
  <si>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</si>
  <si>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</si>
  <si>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</si>
  <si>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</si>
  <si>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</si>
  <si>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</si>
  <si>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</si>
  <si>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</si>
  <si>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</si>
  <si>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</si>
  <si>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</si>
  <si>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</si>
  <si>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</si>
  <si>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</si>
  <si>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</si>
  <si>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</si>
  <si>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</si>
  <si>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</si>
  <si>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</si>
  <si>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</si>
  <si>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</si>
  <si>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</si>
  <si>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</si>
  <si>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</si>
  <si>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</si>
  <si>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</si>
  <si>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</si>
  <si>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</si>
  <si>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</si>
  <si>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</si>
  <si>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</si>
  <si>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</si>
  <si>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</si>
  <si>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</si>
  <si>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</si>
  <si>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</si>
  <si>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</si>
  <si>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</si>
  <si>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</si>
  <si>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</si>
  <si>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</si>
  <si>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</si>
  <si>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</si>
  <si>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</si>
  <si>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</si>
  <si>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</si>
  <si>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</si>
  <si>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</si>
  <si>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</si>
  <si>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</si>
  <si>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</si>
  <si>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</si>
  <si>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</si>
  <si>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</si>
  <si>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</si>
  <si>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</si>
  <si>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</si>
  <si>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</si>
  <si>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</si>
  <si>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</si>
  <si>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</si>
  <si>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</si>
  <si>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</si>
  <si>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</si>
  <si>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</si>
  <si>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</si>
  <si>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</si>
  <si>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</si>
  <si>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</si>
  <si>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</si>
  <si>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</si>
  <si>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</si>
  <si>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</si>
  <si>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</si>
  <si>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</si>
  <si>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</si>
  <si>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</si>
  <si>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</si>
  <si>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</si>
  <si>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</si>
  <si>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</si>
  <si>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</si>
  <si>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</si>
  <si>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</si>
  <si>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</si>
  <si>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</si>
  <si>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</si>
  <si>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</si>
  <si>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</si>
  <si>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</si>
  <si>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</si>
  <si>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</si>
  <si>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</si>
  <si>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</si>
  <si>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</si>
  <si>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</si>
  <si>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</si>
  <si>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</si>
  <si>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</si>
  <si>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</si>
  <si>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</si>
  <si>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</si>
  <si>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</si>
  <si>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</si>
  <si>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</si>
  <si>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</si>
  <si>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</si>
  <si>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</si>
  <si>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</si>
  <si>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</si>
  <si>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</si>
  <si>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</si>
  <si>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</si>
  <si>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</si>
  <si>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</si>
  <si>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</si>
  <si>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</si>
  <si>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</si>
  <si>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</si>
  <si>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</si>
  <si>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</si>
  <si>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</si>
  <si>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</si>
  <si>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</si>
  <si>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</si>
  <si>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</si>
  <si>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</si>
  <si>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</si>
  <si>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</si>
  <si>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</si>
  <si>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</si>
  <si>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</si>
  <si>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</si>
  <si>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</si>
  <si>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</si>
  <si>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</si>
  <si>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</si>
  <si>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</si>
  <si>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</si>
  <si>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</si>
  <si>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</si>
  <si>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</si>
  <si>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</si>
  <si>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</si>
  <si>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</si>
  <si>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</si>
  <si>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</si>
  <si>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</si>
  <si>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</si>
  <si>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</si>
  <si>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</si>
  <si>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</si>
  <si>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</si>
  <si>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</si>
  <si>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</si>
  <si>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</si>
  <si>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</si>
  <si>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</si>
  <si>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</si>
  <si>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</si>
  <si>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</si>
  <si>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</si>
  <si>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</si>
  <si>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</si>
  <si>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</si>
  <si>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</si>
  <si>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</si>
  <si>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</si>
  <si>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</si>
  <si>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</si>
  <si>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</si>
  <si>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</si>
  <si>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</si>
  <si>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</si>
  <si>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</si>
  <si>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</si>
  <si>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</si>
  <si>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</si>
  <si>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</si>
  <si>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</si>
  <si>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</si>
  <si>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</si>
  <si>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</si>
  <si>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</si>
  <si>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</si>
  <si>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</si>
  <si>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</si>
  <si>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</si>
  <si>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</si>
  <si>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</si>
  <si>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</si>
  <si>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</si>
  <si>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</si>
  <si>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</si>
  <si>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</si>
  <si>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</si>
  <si>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</si>
  <si>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</si>
  <si>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</si>
  <si>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</si>
  <si>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</si>
  <si>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</si>
  <si>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</si>
  <si>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</si>
  <si>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</si>
  <si>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</si>
  <si>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</si>
  <si>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</si>
  <si>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</si>
  <si>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</si>
  <si>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</si>
  <si>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</si>
  <si>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</si>
  <si>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</si>
  <si>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</si>
  <si>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</si>
  <si>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</si>
  <si>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</si>
  <si>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</si>
  <si>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</si>
  <si>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</si>
  <si>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</si>
  <si>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</si>
  <si>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</si>
  <si>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</si>
  <si>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</si>
  <si>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</si>
  <si>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</si>
  <si>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</si>
  <si>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</si>
  <si>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</si>
  <si>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</si>
  <si>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</si>
  <si>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</si>
  <si>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</si>
  <si>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</si>
  <si>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</si>
  <si>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</si>
  <si>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</si>
  <si>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</si>
  <si>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</si>
  <si>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</si>
  <si>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</si>
  <si>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</si>
  <si>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</si>
  <si>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</si>
  <si>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</si>
  <si>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</si>
  <si>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</si>
  <si>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</si>
  <si>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</si>
  <si>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</si>
  <si>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</si>
  <si>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</si>
  <si>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</si>
  <si>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</si>
  <si>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</si>
  <si>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</si>
  <si>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</si>
  <si>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</si>
  <si>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</si>
  <si>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</si>
  <si>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</si>
  <si>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</si>
  <si>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</si>
  <si>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</si>
  <si>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</si>
  <si>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</si>
  <si>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</si>
  <si>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</si>
  <si>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</si>
  <si>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</si>
  <si>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</si>
  <si>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</si>
  <si>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</si>
  <si>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</si>
  <si>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</si>
  <si>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</si>
  <si>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</si>
  <si>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</si>
  <si>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</si>
  <si>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</si>
  <si>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</si>
  <si>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</si>
  <si>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</si>
  <si>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</si>
  <si>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</si>
  <si>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</si>
  <si>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</si>
  <si>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</si>
  <si>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</si>
  <si>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</si>
  <si>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</si>
  <si>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</si>
  <si>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</si>
  <si>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</si>
  <si>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</si>
  <si>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</si>
  <si>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</si>
  <si>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</si>
  <si>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</si>
  <si>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</si>
  <si>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</si>
  <si>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</si>
  <si>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</si>
  <si>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</si>
  <si>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</si>
  <si>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</si>
  <si>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</si>
  <si>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</si>
  <si>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</si>
  <si>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</si>
  <si>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</si>
  <si>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</si>
  <si>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</si>
  <si>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</si>
  <si>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</si>
  <si>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</si>
  <si>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</si>
  <si>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</si>
  <si>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</si>
  <si>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</si>
  <si>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</si>
  <si>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</si>
  <si>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</si>
  <si>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</si>
  <si>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</si>
  <si>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</si>
  <si>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</si>
  <si>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</si>
  <si>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</si>
  <si>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</si>
  <si>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</si>
  <si>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</si>
  <si>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</si>
  <si>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</si>
  <si>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</si>
  <si>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</si>
  <si>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</si>
  <si>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</si>
  <si>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</si>
  <si>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</si>
  <si>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</si>
  <si>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</si>
  <si>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</si>
  <si>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</si>
  <si>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</si>
  <si>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</si>
  <si>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</si>
  <si>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</si>
  <si>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</si>
  <si>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</si>
  <si>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</si>
  <si>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</si>
  <si>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</si>
  <si>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</si>
  <si>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</si>
  <si>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</si>
  <si>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</si>
  <si>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</si>
  <si>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</si>
  <si>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</si>
  <si>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</si>
  <si>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</si>
  <si>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</si>
  <si>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</si>
  <si>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</si>
  <si>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</si>
  <si>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</si>
  <si>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</si>
  <si>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</si>
  <si>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</si>
  <si>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</si>
  <si>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</si>
  <si>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</si>
  <si>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</si>
  <si>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</si>
  <si>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</si>
  <si>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</si>
  <si>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</si>
  <si>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</si>
  <si>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</si>
  <si>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</si>
  <si>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</si>
  <si>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</si>
  <si>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</si>
  <si>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</si>
  <si>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</si>
  <si>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</si>
  <si>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</si>
  <si>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</si>
  <si>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</si>
  <si>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</si>
  <si>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</si>
  <si>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</si>
  <si>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</si>
  <si>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</si>
  <si>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</si>
  <si>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</si>
  <si>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</si>
  <si>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</si>
  <si>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</si>
  <si>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</si>
  <si>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</si>
  <si>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</si>
  <si>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</si>
  <si>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</si>
  <si>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</si>
  <si>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</si>
  <si>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</si>
  <si>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</si>
  <si>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</si>
  <si>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</si>
  <si>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</si>
  <si>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</si>
  <si>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</si>
  <si>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</si>
  <si>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</si>
  <si>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</si>
  <si>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</si>
  <si>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</si>
  <si>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</si>
  <si>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</si>
  <si>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</si>
  <si>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</si>
  <si>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</si>
  <si>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</si>
  <si>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</si>
  <si>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</si>
  <si>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</si>
  <si>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</si>
  <si>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</si>
  <si>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</si>
  <si>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</si>
  <si>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</si>
  <si>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</si>
  <si>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</si>
  <si>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</si>
  <si>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</si>
  <si>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</si>
  <si>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</si>
  <si>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</si>
  <si>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</si>
  <si>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</si>
  <si>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</si>
  <si>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</si>
  <si>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</si>
  <si>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</si>
  <si>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</si>
  <si>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</si>
  <si>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</si>
  <si>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</si>
  <si>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</si>
  <si>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</si>
  <si>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</si>
  <si>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</si>
  <si>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</si>
  <si>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</si>
  <si>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</si>
  <si>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</si>
  <si>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</si>
  <si>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</si>
  <si>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</si>
  <si>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</si>
  <si>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</si>
  <si>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</si>
  <si>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</si>
  <si>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</si>
  <si>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</si>
  <si>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</si>
  <si>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</si>
  <si>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</si>
  <si>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</si>
  <si>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</si>
  <si>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</si>
  <si>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</si>
  <si>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</si>
  <si>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</si>
  <si>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</si>
  <si>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</si>
  <si>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</si>
  <si>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</si>
  <si>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</si>
  <si>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</si>
  <si>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</si>
  <si>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</si>
  <si>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</si>
  <si>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</si>
  <si>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</si>
  <si>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</si>
  <si>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</si>
  <si>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</si>
  <si>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</si>
  <si>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</si>
  <si>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</si>
  <si>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</si>
  <si>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</si>
  <si>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</si>
  <si>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</si>
  <si>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</si>
  <si>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</si>
  <si>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</si>
  <si>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</si>
  <si>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</si>
  <si>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</si>
  <si>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</si>
  <si>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</si>
  <si>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</si>
  <si>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</si>
  <si>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</si>
  <si>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</si>
  <si>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</si>
  <si>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</si>
  <si>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</si>
  <si>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</si>
  <si>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</si>
  <si>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</si>
  <si>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</si>
  <si>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</si>
  <si>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</si>
  <si>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</si>
  <si>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</si>
  <si>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</si>
  <si>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</si>
  <si>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</si>
  <si>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</si>
  <si>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</si>
  <si>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</si>
  <si>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</si>
  <si>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</si>
  <si>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</si>
  <si>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</si>
  <si>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</si>
  <si>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</si>
  <si>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</si>
  <si>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</si>
  <si>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</si>
  <si>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</si>
  <si>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</si>
  <si>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</si>
  <si>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</si>
  <si>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</si>
  <si>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</si>
  <si>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</si>
  <si>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</si>
  <si>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</si>
  <si>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</si>
  <si>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</si>
  <si>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</si>
  <si>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</si>
  <si>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</si>
  <si>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</si>
  <si>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</si>
  <si>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</si>
  <si>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</si>
  <si>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</si>
  <si>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</si>
  <si>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</si>
  <si>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</si>
  <si>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</si>
  <si>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</si>
  <si>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</si>
  <si>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</si>
  <si>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</si>
  <si>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</si>
  <si>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</si>
  <si>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</si>
  <si>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</si>
  <si>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</si>
  <si>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</si>
  <si>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</si>
  <si>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</si>
  <si>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</si>
  <si>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</si>
  <si>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</si>
  <si>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</si>
  <si>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</si>
  <si>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</si>
  <si>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</si>
  <si>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</si>
  <si>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</si>
  <si>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</si>
  <si>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</si>
  <si>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</si>
  <si>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</si>
  <si>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</si>
  <si>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</si>
  <si>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</si>
  <si>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</si>
  <si>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</si>
  <si>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</si>
  <si>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</si>
  <si>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</si>
  <si>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</si>
  <si>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</si>
  <si>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</si>
  <si>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</si>
  <si>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</si>
  <si>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</si>
  <si>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</si>
  <si>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</si>
  <si>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</si>
  <si>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</si>
  <si>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</si>
  <si>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</si>
  <si>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</si>
  <si>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</si>
  <si>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</si>
  <si>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</si>
  <si>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</si>
  <si>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</si>
  <si>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</si>
  <si>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</si>
  <si>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</si>
  <si>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</si>
  <si>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</si>
  <si>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</si>
  <si>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</si>
  <si>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</si>
  <si>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</si>
  <si>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</si>
  <si>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</si>
  <si>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</si>
  <si>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</si>
  <si>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</si>
  <si>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</si>
  <si>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</si>
  <si>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</si>
  <si>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</si>
  <si>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</si>
  <si>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</si>
  <si>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</si>
  <si>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</si>
  <si>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</si>
  <si>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</si>
  <si>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</si>
  <si>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</si>
  <si>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</si>
  <si>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</si>
  <si>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</si>
  <si>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</si>
  <si>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</si>
  <si>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</si>
  <si>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</si>
  <si>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</si>
  <si>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</si>
  <si>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</si>
  <si>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</si>
  <si>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</si>
  <si>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</si>
  <si>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</si>
  <si>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</si>
  <si>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</si>
  <si>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</si>
  <si>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</si>
  <si>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</si>
  <si>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</si>
  <si>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</si>
  <si>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</si>
  <si>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</si>
  <si>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</si>
  <si>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</si>
  <si>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</si>
  <si>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</si>
  <si>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</si>
  <si>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</si>
  <si>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</si>
  <si>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</si>
  <si>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</si>
  <si>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</si>
  <si>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</si>
  <si>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</si>
  <si>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</si>
  <si>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</si>
  <si>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</si>
  <si>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</si>
  <si>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</si>
  <si>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</si>
  <si>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</si>
  <si>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</si>
  <si>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</si>
  <si>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</si>
  <si>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</si>
  <si>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</si>
  <si>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</si>
  <si>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</si>
  <si>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</si>
  <si>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</si>
  <si>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</si>
  <si>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</si>
  <si>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</si>
  <si>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</si>
  <si>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</si>
  <si>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</si>
  <si>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</si>
  <si>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</si>
  <si>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</si>
  <si>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</si>
  <si>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</si>
  <si>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</si>
  <si>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</si>
  <si>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</si>
  <si>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</si>
  <si>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</si>
  <si>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</si>
  <si>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</si>
  <si>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</si>
  <si>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</si>
  <si>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</si>
  <si>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</si>
  <si>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</si>
  <si>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</si>
  <si>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</si>
  <si>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</si>
  <si>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</si>
  <si>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</si>
  <si>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</si>
  <si>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</si>
  <si>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</si>
  <si>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</si>
  <si>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</si>
  <si>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</si>
  <si>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</si>
  <si>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</si>
  <si>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</si>
  <si>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</si>
  <si>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</si>
  <si>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</si>
  <si>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</si>
  <si>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</si>
  <si>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</si>
  <si>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</si>
  <si>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</si>
  <si>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</si>
  <si>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</si>
  <si>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</si>
  <si>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</si>
  <si>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</si>
  <si>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</si>
  <si>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</si>
  <si>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</si>
  <si>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</si>
  <si>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</si>
  <si>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</si>
  <si>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</si>
  <si>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</si>
  <si>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</si>
  <si>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</si>
  <si>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</si>
  <si>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</si>
  <si>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</si>
  <si>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</si>
  <si>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</si>
  <si>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</si>
  <si>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</si>
  <si>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</si>
  <si>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</si>
  <si>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</si>
  <si>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</si>
  <si>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</si>
  <si>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</si>
  <si>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</si>
  <si>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</si>
  <si>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</si>
  <si>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</si>
  <si>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</si>
  <si>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</si>
  <si>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</si>
  <si>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</si>
  <si>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</si>
  <si>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</si>
  <si>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</si>
  <si>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</si>
  <si>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</si>
  <si>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</si>
  <si>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</si>
  <si>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</si>
  <si>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</si>
  <si>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</si>
  <si>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</si>
  <si>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</si>
  <si>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</si>
  <si>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</si>
  <si>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</si>
  <si>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</si>
  <si>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</si>
  <si>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</si>
  <si>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</si>
  <si>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</si>
  <si>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</si>
  <si>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</si>
  <si>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</si>
  <si>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</si>
  <si>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</si>
  <si>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</si>
  <si>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</si>
  <si>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</si>
  <si>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</si>
  <si>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</si>
  <si>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</si>
  <si>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</si>
  <si>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</si>
  <si>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</si>
  <si>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</si>
  <si>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</si>
  <si>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</si>
  <si>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</si>
  <si>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</si>
  <si>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</si>
  <si>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</si>
  <si>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</si>
  <si>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</si>
  <si>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</si>
  <si>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</si>
  <si>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</si>
  <si>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</si>
  <si>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</si>
  <si>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</si>
  <si>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</si>
  <si>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</si>
  <si>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</si>
  <si>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</si>
  <si>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</si>
  <si>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</si>
  <si>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</si>
  <si>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</si>
  <si>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</si>
  <si>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</si>
  <si>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</si>
  <si>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</si>
  <si>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</si>
  <si>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</si>
  <si>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</si>
  <si>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</si>
  <si>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</si>
  <si>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</si>
  <si>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</si>
  <si>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</si>
  <si>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</si>
  <si>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</si>
  <si>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</si>
  <si>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</si>
  <si>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</si>
  <si>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</si>
  <si>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</si>
  <si>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</si>
  <si>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</si>
  <si>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</si>
  <si>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</si>
  <si>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</si>
  <si>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</si>
  <si>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</si>
  <si>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</si>
  <si>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</si>
  <si>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</si>
  <si>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</si>
  <si>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</si>
  <si>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</si>
  <si>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</si>
  <si>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</si>
  <si>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</si>
  <si>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</si>
  <si>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</si>
  <si>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</si>
  <si>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</si>
  <si>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</si>
  <si>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</si>
  <si>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</si>
  <si>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</si>
  <si>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</si>
  <si>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</si>
  <si>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</si>
  <si>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</si>
  <si>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</si>
  <si>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</si>
  <si>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</si>
  <si>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</si>
  <si>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</si>
  <si>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</si>
  <si>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</si>
  <si>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</si>
  <si>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</si>
  <si>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</si>
  <si>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</si>
  <si>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</si>
  <si>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</si>
  <si>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</si>
  <si>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</si>
  <si>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</si>
  <si>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</si>
  <si>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</si>
  <si>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</si>
  <si>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</si>
  <si>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</si>
  <si>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</si>
  <si>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</si>
  <si>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</si>
  <si>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</si>
  <si>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</si>
  <si>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</si>
  <si>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</si>
  <si>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</si>
  <si>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</si>
  <si>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</si>
  <si>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</si>
  <si>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</si>
  <si>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</si>
  <si>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</si>
  <si>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</si>
  <si>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</si>
  <si>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</si>
  <si>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</si>
  <si>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</si>
  <si>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</si>
  <si>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</si>
  <si>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</si>
  <si>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</si>
  <si>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</si>
  <si>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</si>
  <si>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</si>
  <si>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</si>
  <si>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</si>
  <si>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</si>
  <si>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</si>
  <si>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</si>
  <si>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</si>
  <si>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</si>
  <si>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</si>
  <si>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</si>
  <si>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</si>
  <si>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</si>
  <si>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</si>
  <si>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</si>
  <si>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</si>
  <si>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</si>
  <si>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</si>
  <si>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</si>
  <si>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</si>
  <si>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</si>
  <si>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</si>
  <si>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</si>
  <si>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</si>
  <si>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</si>
  <si>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</si>
  <si>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</si>
  <si>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</si>
  <si>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</si>
  <si>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</si>
  <si>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</si>
  <si>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</si>
  <si>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</si>
  <si>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</si>
  <si>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</si>
  <si>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</si>
  <si>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</si>
  <si>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</si>
  <si>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</si>
  <si>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</si>
  <si>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</si>
  <si>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</si>
  <si>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</si>
  <si>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</si>
  <si>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</si>
  <si>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</si>
  <si>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</si>
  <si>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</si>
  <si>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</si>
  <si>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</si>
  <si>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</si>
  <si>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</si>
  <si>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</si>
  <si>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</si>
  <si>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</si>
  <si>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</si>
  <si>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</si>
  <si>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</si>
  <si>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</si>
  <si>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</si>
  <si>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</si>
  <si>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</si>
  <si>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</si>
  <si>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</si>
  <si>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</si>
  <si>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</si>
  <si>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</si>
  <si>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</si>
  <si>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</si>
  <si>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</si>
  <si>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</si>
  <si>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</si>
  <si>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</si>
  <si>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</si>
  <si>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</si>
  <si>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</si>
  <si>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</si>
  <si>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</si>
  <si>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</si>
  <si>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</si>
  <si>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</si>
  <si>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</si>
  <si>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</si>
  <si>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</si>
  <si>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</si>
  <si>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</si>
  <si>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</si>
  <si>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</si>
  <si>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</si>
  <si>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</si>
  <si>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</si>
  <si>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</si>
  <si>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</si>
  <si>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</si>
  <si>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</si>
  <si>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</si>
  <si>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</si>
  <si>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</si>
  <si>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</si>
  <si>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</si>
  <si>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</si>
  <si>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</si>
  <si>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</si>
  <si>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</si>
  <si>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</si>
  <si>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</si>
  <si>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</si>
  <si>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</si>
  <si>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</si>
  <si>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</si>
  <si>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</si>
  <si>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</si>
  <si>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</si>
  <si>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</si>
  <si>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</si>
  <si>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</si>
  <si>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</si>
  <si>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</si>
  <si>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</si>
  <si>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</si>
  <si>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</si>
  <si>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</si>
  <si>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</si>
  <si>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</si>
  <si>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</si>
  <si>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</si>
  <si>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</si>
  <si>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</si>
  <si>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</si>
  <si>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</si>
  <si>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</si>
  <si>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</si>
  <si>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</si>
  <si>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</si>
  <si>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</si>
  <si>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</si>
  <si>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</si>
  <si>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</si>
  <si>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</si>
  <si>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</si>
  <si>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</si>
  <si>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</si>
  <si>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</si>
  <si>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</si>
  <si>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</si>
  <si>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</si>
  <si>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</si>
  <si>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</si>
  <si>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</si>
  <si>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</si>
  <si>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</si>
  <si>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</si>
  <si>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</si>
  <si>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</si>
  <si>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</si>
  <si>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</si>
  <si>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</si>
  <si>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</si>
  <si>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</si>
  <si>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</si>
  <si>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</si>
  <si>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</si>
  <si>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</si>
  <si>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</si>
  <si>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</si>
  <si>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</si>
  <si>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</si>
  <si>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</si>
  <si>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</si>
  <si>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</si>
  <si>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</si>
  <si>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</si>
  <si>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</si>
  <si>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</si>
  <si>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</si>
  <si>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</si>
  <si>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</si>
  <si>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</si>
  <si>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</si>
  <si>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</si>
  <si>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</si>
  <si>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</si>
  <si>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</si>
  <si>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</si>
  <si>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</si>
  <si>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</si>
  <si>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</si>
  <si>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</si>
  <si>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</si>
  <si>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</si>
  <si>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</si>
  <si>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</si>
  <si>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</si>
  <si>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</si>
  <si>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</si>
  <si>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</si>
  <si>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</si>
  <si>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</si>
  <si>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</si>
  <si>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</si>
  <si>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</si>
  <si>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</si>
  <si>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</si>
  <si>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</si>
  <si>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</si>
  <si>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</si>
  <si>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</si>
  <si>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</si>
  <si>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</si>
  <si>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</si>
  <si>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</si>
  <si>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</si>
  <si>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</si>
  <si>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</si>
  <si>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</si>
  <si>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</si>
  <si>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</si>
  <si>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</si>
  <si>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</si>
  <si>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</si>
  <si>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</si>
  <si>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</si>
  <si>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</si>
  <si>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</si>
  <si>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</si>
  <si>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</si>
  <si>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</si>
  <si>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</si>
  <si>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</si>
  <si>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</si>
  <si>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</si>
  <si>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</si>
  <si>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</si>
  <si>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</si>
  <si>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</si>
  <si>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</si>
  <si>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</si>
  <si>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</si>
  <si>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</si>
  <si>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</si>
  <si>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</si>
  <si>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</si>
  <si>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</si>
  <si>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</si>
  <si>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</si>
  <si>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</si>
  <si>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</si>
  <si>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</si>
  <si>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</si>
  <si>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</si>
  <si>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</si>
  <si>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</si>
  <si>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</si>
  <si>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</si>
  <si>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</si>
  <si>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</si>
  <si>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</si>
  <si>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</si>
  <si>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</si>
  <si>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</si>
  <si>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</si>
  <si>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</si>
  <si>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</si>
  <si>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</si>
  <si>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</si>
  <si>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</si>
  <si>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</si>
  <si>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</si>
  <si>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</si>
  <si>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</si>
  <si>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</si>
  <si>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</si>
  <si>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</si>
  <si>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</si>
  <si>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</si>
  <si>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</si>
  <si>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</si>
  <si>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</si>
  <si>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</si>
  <si>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</si>
  <si>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</si>
  <si>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</si>
  <si>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</si>
  <si>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</si>
  <si>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</si>
  <si>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</si>
  <si>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</si>
  <si>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</si>
  <si>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</si>
  <si>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</si>
  <si>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</si>
  <si>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</si>
  <si>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</si>
  <si>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</si>
  <si>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</si>
  <si>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</si>
  <si>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</si>
  <si>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</si>
  <si>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</si>
  <si>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</si>
  <si>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</si>
  <si>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</si>
  <si>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</si>
  <si>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</si>
  <si>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</si>
  <si>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</si>
  <si>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</si>
  <si>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</si>
  <si>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</si>
  <si>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</si>
  <si>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</si>
  <si>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</si>
  <si>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</si>
  <si>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</si>
  <si>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</si>
  <si>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</si>
  <si>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</si>
  <si>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</si>
  <si>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</si>
  <si>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</si>
  <si>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</si>
  <si>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</si>
  <si>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</si>
  <si>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</si>
  <si>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</si>
  <si>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</si>
  <si>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</si>
  <si>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</si>
  <si>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</si>
  <si>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</si>
  <si>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</si>
  <si>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</si>
  <si>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</si>
  <si>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</si>
  <si>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</si>
  <si>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</si>
  <si>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</si>
  <si>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</si>
  <si>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</si>
  <si>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</si>
  <si>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</si>
  <si>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</si>
  <si>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</si>
  <si>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</si>
  <si>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</si>
  <si>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</si>
  <si>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</si>
  <si>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</si>
  <si>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</si>
  <si>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</si>
  <si>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</si>
  <si>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</si>
  <si>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</si>
  <si>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</si>
  <si>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</si>
  <si>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</si>
  <si>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</si>
  <si>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</si>
  <si>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</si>
  <si>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</si>
  <si>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</si>
  <si>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</si>
  <si>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</si>
  <si>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</si>
  <si>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</si>
  <si>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</si>
  <si>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</si>
  <si>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</si>
  <si>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</si>
  <si>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</si>
  <si>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</si>
  <si>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</si>
  <si>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</si>
  <si>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</si>
  <si>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</si>
  <si>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</si>
  <si>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</si>
  <si>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</si>
  <si>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</si>
  <si>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</si>
  <si>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</si>
  <si>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</si>
  <si>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</si>
  <si>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</si>
  <si>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</si>
  <si>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</si>
  <si>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</si>
  <si>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</si>
  <si>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</si>
  <si>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</si>
  <si>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</si>
  <si>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</si>
  <si>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</si>
  <si>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</si>
  <si>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</si>
  <si>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</si>
  <si>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</si>
  <si>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</si>
  <si>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</si>
  <si>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</si>
  <si>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</si>
  <si>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</si>
  <si>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</si>
  <si>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</si>
  <si>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</si>
  <si>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</si>
  <si>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</si>
  <si>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</si>
  <si>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</si>
  <si>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</si>
  <si>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</si>
  <si>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</si>
  <si>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</si>
  <si>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</si>
  <si>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</si>
  <si>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</si>
  <si>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</si>
  <si>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</si>
  <si>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</si>
  <si>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</si>
  <si>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</si>
  <si>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</si>
  <si>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</si>
  <si>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</si>
  <si>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</si>
  <si>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</si>
  <si>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</si>
  <si>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</si>
  <si>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</si>
  <si>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</si>
  <si>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</si>
  <si>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</si>
  <si>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</si>
  <si>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</si>
  <si>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</si>
  <si>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</si>
  <si>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</si>
  <si>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</si>
  <si>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</si>
  <si>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</si>
  <si>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</si>
  <si>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</si>
  <si>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</si>
  <si>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</si>
  <si>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</si>
  <si>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</si>
  <si>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</si>
  <si>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</si>
  <si>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</si>
  <si>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</si>
  <si>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</si>
  <si>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</si>
  <si>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</si>
  <si>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</si>
  <si>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</si>
  <si>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</si>
  <si>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</si>
  <si>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</si>
  <si>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</si>
  <si>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</si>
  <si>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</si>
  <si>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</si>
  <si>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</si>
  <si>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</si>
  <si>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</si>
  <si>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</si>
  <si>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</si>
  <si>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</si>
  <si>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</si>
  <si>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</si>
  <si>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</si>
  <si>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</si>
  <si>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</si>
  <si>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</si>
  <si>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</si>
  <si>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</si>
  <si>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</si>
  <si>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</si>
  <si>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</si>
  <si>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</si>
  <si>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</si>
  <si>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</si>
  <si>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</si>
  <si>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</si>
  <si>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</si>
  <si>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</si>
  <si>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</si>
  <si>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</si>
  <si>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</si>
  <si>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</si>
  <si>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</si>
  <si>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</si>
  <si>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</si>
  <si>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</si>
  <si>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</si>
  <si>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</si>
  <si>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</si>
  <si>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</si>
  <si>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</si>
  <si>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</si>
  <si>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</si>
  <si>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</si>
  <si>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</si>
  <si>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</si>
  <si>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</si>
  <si>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</si>
  <si>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</si>
  <si>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</si>
  <si>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</si>
  <si>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</si>
  <si>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</si>
  <si>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</si>
  <si>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</si>
  <si>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</si>
  <si>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</si>
  <si>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</si>
  <si>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</si>
  <si>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</si>
  <si>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</si>
  <si>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</si>
  <si>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</si>
  <si>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</si>
  <si>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</si>
  <si>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</si>
  <si>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</si>
  <si>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</si>
  <si>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</si>
  <si>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</si>
  <si>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</si>
  <si>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</si>
  <si>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</si>
  <si>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</si>
  <si>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</si>
  <si>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</si>
  <si>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</si>
  <si>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</si>
  <si>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</si>
  <si>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</si>
  <si>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</si>
  <si>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</si>
  <si>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</si>
  <si>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</si>
  <si>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</si>
  <si>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</si>
  <si>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</si>
  <si>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</si>
  <si>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</si>
  <si>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</si>
  <si>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</si>
  <si>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</si>
  <si>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</si>
  <si>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</si>
  <si>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</si>
  <si>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</si>
  <si>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</si>
  <si>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</si>
  <si>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</si>
  <si>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</si>
  <si>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</si>
  <si>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</si>
  <si>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</si>
  <si>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</si>
  <si>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</si>
  <si>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</si>
  <si>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</si>
  <si>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</si>
  <si>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</si>
  <si>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</si>
  <si>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</si>
  <si>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</si>
  <si>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</si>
  <si>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</si>
  <si>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</si>
  <si>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</si>
  <si>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</si>
  <si>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</si>
  <si>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</si>
  <si>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</si>
  <si>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</si>
  <si>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</si>
  <si>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</si>
  <si>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</si>
  <si>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</si>
  <si>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</si>
  <si>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</si>
  <si>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</si>
  <si>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</si>
  <si>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</si>
  <si>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</si>
  <si>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</si>
  <si>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</si>
  <si>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</si>
  <si>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</si>
  <si>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</si>
  <si>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</si>
  <si>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</si>
  <si>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</si>
  <si>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</si>
  <si>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</si>
  <si>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</si>
  <si>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</si>
  <si>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</si>
  <si>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</si>
  <si>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</si>
  <si>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</si>
  <si>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</si>
  <si>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</si>
  <si>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</si>
  <si>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</si>
  <si>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</si>
  <si>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</si>
  <si>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</si>
  <si>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</si>
  <si>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</si>
  <si>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</si>
  <si>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</si>
  <si>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</si>
  <si>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</si>
  <si>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</si>
  <si>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</si>
  <si>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</si>
  <si>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</si>
  <si>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</si>
  <si>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</si>
  <si>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</si>
  <si>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</si>
  <si>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</si>
  <si>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</si>
  <si>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</si>
  <si>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</si>
  <si>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</si>
  <si>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</si>
  <si>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</si>
  <si>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</si>
  <si>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</si>
  <si>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</si>
  <si>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</si>
  <si>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</si>
  <si>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</si>
  <si>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</si>
  <si>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</si>
  <si>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</si>
  <si>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</si>
  <si>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</si>
  <si>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</si>
  <si>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</si>
  <si>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</si>
  <si>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</si>
  <si>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</si>
  <si>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</si>
  <si>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</si>
  <si>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</si>
  <si>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</si>
  <si>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</si>
  <si>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</si>
  <si>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</si>
  <si>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</si>
  <si>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</si>
  <si>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</si>
  <si>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</si>
  <si>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</si>
  <si>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</si>
  <si>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</si>
  <si>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</si>
  <si>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</si>
  <si>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</si>
  <si>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</si>
  <si>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</si>
  <si>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</si>
  <si>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</si>
  <si>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</si>
  <si>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</si>
  <si>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</si>
  <si>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</si>
  <si>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</si>
  <si>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</si>
  <si>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</si>
  <si>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</si>
  <si>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</si>
  <si>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</si>
  <si>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</si>
  <si>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</si>
  <si>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</si>
  <si>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</si>
  <si>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</si>
  <si>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</si>
  <si>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</si>
  <si>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</si>
  <si>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</si>
  <si>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</si>
  <si>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</si>
  <si>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</si>
  <si>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</si>
  <si>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</si>
  <si>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</si>
  <si>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</si>
  <si>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</si>
  <si>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</si>
  <si>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</si>
  <si>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</si>
  <si>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</si>
  <si>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</si>
  <si>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</si>
  <si>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</si>
  <si>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</si>
  <si>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</si>
  <si>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</si>
  <si>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</si>
  <si>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</si>
  <si>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</si>
  <si>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</si>
  <si>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</si>
  <si>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</si>
  <si>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</si>
  <si>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</si>
  <si>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</si>
  <si>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</si>
  <si>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</si>
  <si>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</si>
  <si>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</si>
  <si>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</si>
  <si>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</si>
  <si>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</si>
  <si>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</si>
  <si>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</si>
  <si>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</si>
  <si>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</si>
  <si>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</si>
  <si>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</si>
  <si>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</si>
  <si>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</si>
  <si>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</si>
  <si>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</si>
  <si>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</si>
  <si>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</si>
  <si>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</si>
  <si>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</si>
  <si>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</si>
  <si>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</si>
  <si>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</si>
  <si>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</si>
  <si>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</si>
  <si>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</si>
  <si>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</si>
  <si>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</si>
  <si>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</si>
  <si>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</si>
  <si>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</si>
  <si>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</si>
  <si>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</si>
  <si>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</si>
  <si>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</si>
  <si>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</si>
  <si>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</si>
  <si>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</si>
  <si>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</si>
  <si>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</si>
  <si>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</si>
  <si>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</si>
  <si>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</si>
  <si>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</si>
  <si>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</si>
  <si>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</si>
  <si>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</si>
  <si>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</si>
  <si>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</si>
  <si>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</si>
  <si>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</si>
  <si>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</si>
  <si>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</si>
  <si>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</si>
  <si>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</si>
  <si>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</si>
  <si>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</si>
  <si>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</si>
  <si>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</si>
  <si>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</si>
  <si>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</si>
  <si>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</si>
  <si>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</si>
  <si>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</si>
  <si>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</si>
  <si>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</si>
  <si>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</si>
  <si>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</si>
  <si>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</si>
  <si>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</si>
  <si>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</si>
  <si>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</si>
  <si>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</si>
  <si>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</si>
  <si>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</si>
  <si>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</si>
  <si>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</si>
  <si>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</si>
  <si>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</si>
  <si>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</si>
  <si>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</si>
  <si>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</si>
  <si>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</si>
  <si>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</si>
  <si>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</si>
  <si>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</si>
  <si>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</si>
  <si>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</si>
  <si>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</si>
  <si>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</si>
  <si>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</si>
  <si>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</si>
  <si>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</si>
  <si>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</si>
  <si>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</si>
  <si>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</si>
  <si>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</si>
  <si>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</si>
  <si>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</si>
  <si>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</si>
  <si>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</si>
  <si>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</si>
  <si>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</si>
  <si>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</si>
  <si>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</si>
  <si>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</si>
  <si>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</si>
  <si>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</si>
  <si>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</si>
  <si>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</si>
  <si>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</si>
  <si>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</si>
  <si>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</si>
  <si>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</si>
  <si>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</si>
  <si>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</si>
  <si>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</si>
  <si>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</si>
  <si>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</si>
  <si>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</si>
  <si>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</si>
  <si>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</si>
  <si>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</si>
  <si>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</si>
  <si>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</si>
  <si>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</si>
  <si>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</si>
  <si>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</si>
  <si>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</si>
  <si>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</si>
  <si>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</si>
  <si>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</si>
  <si>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</si>
  <si>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</si>
  <si>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</si>
  <si>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</si>
  <si>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</si>
  <si>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</si>
  <si>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</si>
  <si>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</si>
  <si>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</si>
  <si>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</si>
  <si>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</si>
  <si>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</si>
  <si>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</si>
  <si>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</si>
  <si>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</si>
  <si>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</si>
  <si>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</si>
  <si>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</si>
  <si>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</si>
  <si>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</si>
  <si>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</si>
  <si>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</si>
  <si>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</si>
  <si>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</si>
  <si>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</si>
  <si>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</si>
  <si>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</si>
  <si>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</si>
  <si>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</si>
  <si>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</si>
  <si>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</si>
  <si>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</si>
  <si>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</si>
  <si>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</si>
  <si>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</si>
  <si>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</si>
  <si>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</si>
  <si>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</si>
  <si>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</si>
  <si>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</si>
  <si>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</si>
  <si>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</si>
  <si>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</si>
  <si>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</si>
  <si>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</si>
  <si>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</si>
  <si>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</si>
  <si>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</si>
  <si>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</si>
  <si>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</si>
  <si>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</si>
  <si>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</si>
  <si>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</si>
  <si>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</si>
  <si>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</si>
  <si>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</si>
  <si>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</si>
  <si>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</si>
  <si>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</si>
  <si>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</si>
  <si>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</si>
  <si>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</si>
  <si>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</si>
  <si>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</si>
  <si>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</si>
  <si>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</si>
  <si>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</si>
  <si>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</si>
  <si>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</si>
  <si>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</si>
  <si>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</si>
  <si>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</si>
  <si>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</si>
  <si>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</si>
  <si>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</si>
  <si>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</si>
  <si>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</si>
  <si>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</si>
  <si>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</si>
  <si>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</si>
  <si>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</si>
  <si>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</si>
  <si>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</si>
  <si>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</si>
  <si>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</si>
  <si>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</si>
  <si>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</si>
  <si>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</si>
  <si>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</si>
  <si>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</si>
  <si>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</si>
  <si>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</si>
  <si>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</si>
  <si>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</si>
  <si>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</si>
  <si>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</si>
  <si>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</si>
  <si>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</si>
  <si>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</si>
  <si>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</si>
  <si>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</si>
  <si>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</si>
  <si>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</si>
  <si>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</si>
  <si>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</si>
  <si>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</si>
  <si>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</si>
  <si>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</si>
  <si>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</si>
  <si>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</si>
  <si>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</si>
  <si>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</si>
  <si>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</si>
  <si>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</si>
  <si>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</si>
  <si>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</si>
  <si>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</si>
  <si>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</si>
  <si>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</si>
  <si>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</si>
  <si>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</si>
  <si>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</si>
  <si>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</si>
  <si>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</si>
  <si>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</si>
  <si>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</si>
  <si>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</si>
  <si>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</si>
  <si>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</si>
  <si>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</si>
  <si>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</si>
  <si>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</si>
  <si>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</si>
  <si>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</si>
  <si>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</si>
  <si>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</si>
  <si>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</si>
  <si>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</si>
  <si>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</si>
  <si>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</si>
  <si>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</si>
  <si>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</si>
  <si>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</si>
  <si>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</si>
  <si>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</si>
  <si>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</si>
  <si>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</si>
  <si>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</si>
  <si>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</si>
  <si>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</si>
  <si>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</si>
  <si>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</si>
  <si>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</si>
  <si>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</si>
  <si>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</si>
  <si>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</si>
  <si>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</si>
  <si>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</si>
  <si>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</si>
  <si>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</si>
  <si>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</si>
  <si>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</si>
  <si>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</si>
  <si>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</si>
  <si>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</si>
  <si>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</si>
  <si>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</si>
  <si>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</si>
  <si>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</si>
  <si>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</si>
  <si>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</si>
  <si>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</si>
  <si>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</si>
  <si>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</si>
  <si>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</si>
  <si>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</si>
  <si>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</si>
  <si>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</si>
  <si>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</si>
  <si>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</si>
  <si>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</si>
  <si>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</si>
  <si>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</si>
  <si>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</si>
  <si>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</si>
  <si>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</si>
  <si>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</si>
  <si>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</si>
  <si>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</si>
  <si>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</si>
  <si>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</si>
  <si>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</si>
  <si>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</si>
  <si>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</si>
  <si>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</si>
  <si>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</si>
  <si>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</si>
  <si>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</si>
  <si>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</si>
  <si>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</si>
  <si>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</si>
  <si>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</si>
  <si>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</si>
  <si>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</si>
  <si>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</si>
  <si>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</si>
  <si>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</si>
  <si>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</si>
  <si>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</si>
  <si>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</si>
  <si>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</si>
  <si>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</si>
  <si>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</si>
  <si>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</si>
  <si>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</si>
  <si>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</si>
  <si>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</si>
  <si>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</si>
  <si>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</si>
  <si>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</si>
  <si>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</si>
  <si>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</si>
  <si>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</si>
  <si>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</si>
  <si>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</si>
  <si>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</si>
  <si>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</si>
  <si>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</si>
  <si>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</si>
  <si>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</si>
  <si>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</si>
  <si>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</si>
  <si>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</si>
  <si>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</si>
  <si>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</si>
  <si>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</si>
  <si>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</si>
  <si>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</si>
  <si>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</si>
  <si>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</si>
  <si>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</si>
  <si>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</si>
  <si>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</si>
  <si>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</si>
  <si>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</si>
  <si>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</si>
  <si>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</si>
  <si>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</si>
  <si>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</si>
  <si>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</si>
  <si>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</si>
  <si>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</si>
  <si>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</si>
  <si>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</si>
  <si>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</si>
  <si>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</si>
  <si>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</si>
  <si>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</si>
  <si>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</si>
  <si>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</si>
  <si>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</si>
  <si>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</si>
  <si>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</si>
  <si>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</si>
  <si>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</si>
  <si>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</si>
  <si>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</si>
  <si>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</si>
  <si>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</si>
  <si>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</si>
  <si>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</si>
  <si>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</si>
  <si>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</si>
  <si>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</si>
  <si>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</si>
  <si>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</si>
  <si>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</si>
  <si>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</si>
  <si>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</si>
  <si>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</si>
  <si>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</si>
  <si>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</si>
  <si>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</si>
  <si>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</si>
  <si>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</si>
  <si>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</si>
  <si>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</si>
  <si>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</si>
  <si>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</si>
  <si>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</si>
  <si>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</si>
  <si>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</si>
  <si>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</si>
  <si>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</si>
  <si>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</si>
  <si>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</si>
  <si>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</si>
  <si>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</si>
  <si>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</si>
  <si>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</si>
  <si>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</si>
  <si>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</si>
  <si>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</si>
  <si>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</si>
  <si>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</si>
  <si>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</si>
  <si>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</si>
  <si>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</si>
  <si>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</si>
  <si>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</si>
  <si>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</si>
  <si>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</si>
  <si>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</si>
  <si>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</si>
  <si>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</si>
  <si>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</si>
  <si>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</si>
  <si>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</si>
  <si>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</si>
  <si>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</si>
  <si>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</si>
  <si>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</si>
  <si>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</si>
  <si>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</si>
  <si>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</si>
  <si>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</si>
  <si>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</si>
  <si>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</si>
  <si>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</si>
  <si>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</si>
  <si>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</si>
  <si>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</si>
  <si>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</si>
  <si>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</si>
  <si>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</si>
  <si>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</si>
  <si>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</si>
  <si>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</si>
  <si>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</si>
  <si>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</si>
  <si>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</si>
  <si>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</si>
  <si>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</si>
  <si>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</si>
  <si>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</si>
  <si>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</si>
  <si>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</si>
  <si>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</si>
  <si>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</si>
  <si>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</si>
  <si>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</si>
  <si>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</si>
  <si>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</si>
  <si>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</si>
  <si>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</si>
  <si>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</si>
  <si>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</si>
  <si>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</si>
  <si>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</si>
  <si>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</si>
  <si>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</si>
  <si>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</si>
  <si>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</si>
  <si>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</si>
  <si>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</si>
  <si>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</si>
  <si>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</si>
  <si>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</si>
  <si>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</si>
  <si>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</si>
  <si>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</si>
  <si>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</si>
  <si>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</si>
  <si>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</si>
  <si>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</si>
  <si>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</si>
  <si>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</si>
  <si>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</si>
  <si>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</si>
  <si>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</si>
  <si>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</si>
  <si>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</si>
  <si>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</si>
  <si>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</si>
  <si>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</si>
  <si>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</si>
  <si>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</si>
  <si>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</si>
  <si>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</si>
  <si>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</si>
  <si>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</si>
  <si>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</si>
  <si>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</si>
  <si>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</si>
  <si>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</si>
  <si>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</si>
  <si>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</si>
  <si>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</si>
  <si>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</si>
  <si>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</si>
  <si>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</si>
  <si>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</si>
  <si>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</si>
  <si>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</si>
  <si>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</si>
  <si>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</si>
  <si>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</si>
  <si>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</si>
  <si>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</si>
  <si>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</si>
  <si>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</si>
  <si>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</si>
  <si>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</si>
  <si>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</si>
  <si>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</si>
  <si>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</si>
  <si>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</si>
  <si>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</si>
  <si>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</si>
  <si>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</si>
  <si>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</si>
  <si>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</si>
  <si>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</si>
  <si>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</si>
  <si>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</si>
  <si>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</si>
  <si>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</si>
  <si>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</si>
  <si>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</si>
  <si>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</si>
  <si>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</si>
  <si>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</si>
  <si>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</si>
  <si>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</si>
  <si>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</si>
  <si>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</si>
  <si>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</si>
  <si>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</si>
  <si>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</si>
  <si>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</si>
  <si>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</si>
  <si>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</si>
  <si>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</si>
  <si>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</si>
  <si>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</si>
  <si>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</si>
  <si>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</si>
  <si>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</si>
  <si>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</si>
  <si>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</si>
  <si>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</si>
  <si>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</si>
  <si>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</si>
  <si>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</si>
  <si>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</si>
  <si>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</si>
  <si>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</si>
  <si>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</si>
  <si>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</si>
  <si>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</si>
  <si>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</si>
  <si>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</si>
  <si>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</si>
  <si>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</si>
  <si>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</si>
  <si>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</si>
  <si>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</si>
  <si>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</si>
  <si>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</si>
  <si>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</si>
  <si>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</si>
  <si>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</si>
  <si>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</si>
  <si>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</si>
  <si>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</si>
  <si>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</si>
  <si>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</si>
  <si>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</si>
  <si>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</si>
  <si>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</si>
  <si>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</si>
  <si>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</si>
  <si>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</si>
  <si>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</si>
  <si>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</si>
  <si>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</si>
  <si>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</si>
  <si>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</si>
  <si>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</si>
  <si>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</si>
  <si>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</si>
  <si>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</si>
  <si>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</si>
  <si>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</si>
  <si>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</si>
  <si>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</si>
  <si>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</si>
  <si>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</si>
  <si>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</si>
  <si>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</si>
  <si>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</si>
  <si>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</si>
  <si>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</si>
  <si>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</si>
  <si>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</si>
  <si>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</si>
  <si>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</si>
  <si>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</si>
  <si>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</si>
  <si>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</si>
  <si>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</si>
  <si>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</si>
  <si>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</si>
  <si>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</si>
  <si>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</si>
  <si>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</si>
  <si>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</si>
  <si>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</si>
  <si>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</si>
  <si>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</si>
  <si>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</si>
  <si>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</si>
  <si>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</si>
  <si>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</si>
  <si>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</si>
  <si>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</si>
  <si>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</si>
  <si>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</si>
  <si>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</si>
  <si>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</si>
  <si>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</si>
  <si>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</si>
  <si>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</si>
  <si>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</si>
  <si>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</si>
  <si>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</si>
  <si>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</si>
  <si>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</si>
  <si>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</si>
  <si>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</si>
  <si>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</si>
  <si>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</si>
  <si>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</si>
  <si>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</si>
  <si>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</si>
  <si>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</si>
  <si>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</si>
  <si>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</si>
  <si>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</si>
  <si>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</si>
  <si>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</si>
  <si>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</si>
  <si>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</si>
  <si>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</si>
  <si>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</si>
  <si>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</si>
  <si>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</si>
  <si>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</si>
  <si>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</si>
  <si>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</si>
  <si>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</si>
  <si>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</si>
  <si>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</si>
  <si>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</si>
  <si>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</si>
  <si>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</si>
  <si>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</si>
  <si>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</si>
  <si>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</si>
  <si>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</si>
  <si>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</si>
  <si>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</si>
  <si>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</si>
  <si>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</si>
  <si>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</si>
  <si>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</si>
  <si>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</si>
  <si>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</si>
  <si>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</si>
  <si>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</si>
  <si>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</si>
  <si>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</si>
  <si>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</si>
  <si>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</si>
  <si>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</si>
  <si>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</si>
  <si>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</si>
  <si>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</si>
  <si>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</si>
  <si>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</si>
  <si>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</si>
  <si>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</si>
  <si>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</si>
  <si>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</si>
  <si>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</si>
  <si>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</si>
  <si>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</si>
  <si>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</si>
  <si>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</si>
  <si>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</si>
  <si>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</si>
  <si>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</si>
  <si>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</si>
  <si>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</si>
  <si>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</si>
  <si>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</si>
  <si>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</si>
  <si>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</si>
  <si>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</si>
  <si>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</si>
  <si>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</si>
  <si>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</si>
  <si>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</si>
  <si>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</si>
  <si>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</si>
  <si>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</si>
  <si>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</si>
  <si>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</si>
  <si>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</si>
  <si>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</si>
  <si>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</si>
  <si>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</si>
  <si>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</si>
  <si>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</si>
  <si>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</si>
  <si>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</si>
  <si>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</si>
  <si>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</si>
  <si>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</si>
  <si>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</si>
  <si>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</si>
  <si>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</si>
  <si>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</si>
  <si>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</si>
  <si>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</si>
  <si>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</si>
  <si>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</si>
  <si>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</si>
  <si>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</si>
  <si>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</si>
  <si>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</si>
  <si>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</si>
  <si>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</si>
  <si>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</si>
  <si>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</si>
  <si>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</si>
  <si>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</si>
  <si>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</si>
  <si>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</si>
  <si>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</si>
  <si>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</si>
  <si>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</si>
  <si>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</si>
  <si>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</si>
  <si>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</si>
  <si>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</si>
  <si>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</si>
  <si>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</si>
  <si>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</si>
  <si>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</si>
  <si>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</si>
  <si>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</si>
  <si>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</si>
  <si>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</si>
  <si>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</si>
  <si>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</si>
  <si>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</si>
  <si>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</si>
  <si>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</si>
  <si>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</si>
  <si>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</si>
  <si>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</si>
  <si>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</si>
  <si>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</si>
  <si>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</si>
  <si>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</si>
  <si>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</si>
  <si>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</si>
  <si>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</si>
  <si>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</si>
  <si>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</si>
  <si>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</si>
  <si>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</si>
  <si>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</si>
  <si>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</si>
  <si>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</si>
  <si>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</si>
  <si>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</si>
  <si>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</si>
  <si>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</si>
  <si>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</si>
  <si>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</si>
  <si>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</si>
  <si>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</si>
  <si>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</si>
  <si>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</si>
  <si>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</si>
  <si>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</si>
  <si>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</si>
  <si>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</si>
  <si>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</si>
  <si>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</si>
  <si>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</si>
  <si>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</si>
  <si>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</si>
  <si>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</si>
  <si>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</si>
  <si>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</si>
  <si>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</si>
  <si>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</si>
  <si>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</si>
  <si>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</si>
  <si>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</si>
  <si>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</si>
  <si>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</si>
  <si>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</si>
  <si>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</si>
  <si>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</si>
  <si>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</si>
  <si>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</si>
  <si>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</si>
  <si>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</si>
  <si>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</si>
  <si>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</si>
  <si>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</si>
  <si>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</si>
  <si>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</si>
  <si>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</si>
  <si>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</si>
  <si>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</si>
  <si>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</si>
  <si>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</si>
  <si>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</si>
  <si>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</si>
  <si>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</si>
  <si>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</si>
  <si>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</si>
  <si>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</si>
  <si>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</si>
  <si>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</si>
  <si>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</si>
  <si>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</si>
  <si>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</si>
  <si>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</si>
  <si>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</si>
  <si>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</si>
  <si>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</si>
  <si>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</si>
  <si>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</si>
  <si>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</si>
  <si>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</si>
  <si>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</si>
  <si>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</si>
  <si>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</si>
  <si>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</si>
  <si>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</si>
  <si>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</si>
  <si>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</si>
  <si>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</si>
  <si>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</si>
  <si>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</si>
  <si>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</si>
  <si>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</si>
  <si>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</si>
  <si>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</si>
  <si>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</si>
  <si>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</si>
  <si>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</si>
  <si>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</si>
  <si>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</si>
  <si>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</si>
  <si>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</si>
  <si>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</si>
  <si>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</si>
  <si>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</si>
  <si>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</si>
  <si>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</si>
  <si>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</si>
  <si>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</si>
  <si>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</si>
  <si>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</si>
  <si>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</si>
  <si>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</si>
  <si>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</si>
  <si>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</si>
  <si>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</si>
  <si>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</si>
  <si>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</si>
  <si>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</si>
  <si>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</si>
  <si>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</si>
  <si>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</si>
  <si>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</si>
  <si>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</si>
  <si>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</si>
  <si>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</si>
  <si>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</si>
  <si>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</si>
  <si>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</si>
  <si>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</si>
  <si>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</si>
  <si>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</si>
  <si>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</si>
  <si>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</si>
  <si>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</si>
  <si>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</si>
  <si>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</si>
  <si>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</si>
  <si>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</si>
  <si>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</si>
  <si>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</si>
  <si>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</si>
  <si>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</si>
  <si>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</si>
  <si>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</si>
  <si>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</si>
  <si>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</si>
  <si>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</si>
  <si>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</si>
  <si>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</si>
  <si>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</si>
  <si>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</si>
  <si>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</si>
  <si>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</si>
  <si>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</si>
  <si>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</si>
  <si>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</si>
  <si>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</si>
  <si>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</si>
  <si>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</si>
  <si>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</si>
  <si>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</si>
  <si>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</si>
  <si>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</si>
  <si>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</si>
  <si>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</si>
  <si>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</si>
  <si>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</si>
  <si>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</si>
  <si>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</si>
  <si>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</si>
  <si>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</si>
  <si>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</si>
  <si>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</si>
  <si>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</si>
  <si>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</si>
  <si>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</si>
  <si>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</si>
  <si>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</si>
  <si>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</si>
  <si>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</si>
  <si>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</si>
  <si>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</si>
  <si>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</si>
  <si>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</si>
  <si>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</si>
  <si>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</si>
  <si>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</si>
  <si>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</si>
  <si>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</si>
  <si>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</si>
  <si>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</si>
  <si>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</si>
  <si>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</si>
  <si>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</si>
  <si>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</si>
  <si>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</si>
  <si>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</si>
  <si>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</si>
  <si>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</si>
  <si>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</si>
  <si>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</si>
  <si>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</si>
  <si>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</si>
  <si>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</si>
  <si>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</si>
  <si>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</si>
  <si>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</si>
  <si>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</si>
  <si>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</si>
  <si>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</si>
  <si>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</si>
  <si>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</si>
  <si>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</si>
  <si>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</si>
  <si>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</si>
  <si>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</si>
  <si>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</si>
  <si>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</si>
  <si>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</si>
  <si>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</si>
  <si>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</si>
  <si>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</si>
  <si>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</si>
  <si>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</si>
  <si>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</si>
  <si>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</si>
  <si>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</si>
  <si>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</si>
  <si>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</si>
  <si>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</si>
  <si>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</si>
  <si>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</si>
  <si>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</si>
  <si>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</si>
  <si>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</si>
  <si>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</si>
  <si>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</si>
  <si>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</si>
  <si>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</si>
  <si>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</si>
  <si>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</si>
  <si>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</si>
  <si>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</si>
  <si>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</si>
  <si>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</si>
  <si>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</si>
  <si>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</si>
  <si>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</si>
  <si>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</si>
  <si>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</si>
  <si>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</si>
  <si>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</si>
  <si>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</si>
  <si>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</si>
  <si>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</si>
  <si>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</si>
  <si>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</si>
  <si>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</si>
  <si>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</si>
  <si>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</si>
  <si>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</si>
  <si>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</si>
  <si>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</si>
  <si>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</si>
  <si>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</si>
  <si>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</si>
  <si>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</si>
  <si>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</si>
  <si>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</si>
  <si>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</si>
  <si>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</si>
  <si>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</si>
  <si>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</si>
  <si>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</si>
  <si>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</si>
  <si>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</si>
  <si>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</si>
  <si>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</si>
  <si>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</si>
  <si>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</si>
  <si>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</si>
  <si>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</si>
  <si>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</si>
  <si>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</si>
  <si>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</si>
  <si>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</si>
  <si>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</si>
  <si>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</si>
  <si>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</si>
  <si>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</si>
  <si>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</si>
  <si>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</si>
  <si>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</si>
  <si>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</si>
  <si>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</si>
  <si>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</si>
  <si>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</si>
  <si>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</si>
  <si>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</si>
  <si>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</si>
  <si>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</si>
  <si>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</si>
  <si>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</si>
  <si>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</si>
  <si>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</si>
  <si>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</si>
  <si>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</si>
  <si>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</si>
  <si>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</si>
  <si>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</si>
  <si>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</si>
  <si>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</si>
  <si>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</si>
  <si>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</si>
  <si>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</si>
  <si>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</si>
  <si>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</si>
  <si>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</si>
  <si>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</si>
  <si>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</si>
  <si>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</si>
  <si>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</si>
  <si>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</si>
  <si>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</si>
  <si>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</si>
  <si>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</si>
  <si>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</si>
  <si>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</si>
  <si>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</si>
  <si>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</si>
  <si>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</si>
  <si>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</si>
  <si>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</si>
  <si>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</si>
  <si>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</si>
  <si>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</si>
  <si>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</si>
  <si>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</si>
  <si>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</si>
  <si>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</si>
  <si>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</si>
  <si>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</si>
  <si>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</si>
  <si>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</si>
  <si>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</si>
  <si>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</si>
  <si>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</si>
  <si>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</si>
  <si>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</si>
  <si>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</si>
  <si>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</si>
  <si>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</si>
  <si>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</si>
  <si>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</si>
  <si>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</si>
  <si>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</si>
  <si>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</si>
  <si>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</si>
  <si>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</si>
  <si>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</si>
  <si>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</si>
  <si>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</si>
  <si>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</si>
  <si>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</si>
  <si>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</si>
  <si>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</si>
  <si>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</si>
  <si>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</si>
  <si>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</si>
  <si>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</si>
  <si>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</si>
  <si>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</si>
  <si>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</si>
  <si>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</si>
  <si>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</si>
  <si>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</si>
  <si>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</si>
  <si>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</si>
  <si>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</si>
  <si>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</si>
  <si>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</si>
  <si>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</si>
  <si>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</si>
  <si>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</si>
  <si>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</si>
  <si>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</si>
  <si>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</si>
  <si>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</si>
  <si>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</si>
  <si>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</si>
  <si>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</si>
  <si>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</si>
  <si>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</si>
  <si>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</si>
  <si>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</si>
  <si>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</si>
  <si>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</si>
  <si>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</si>
  <si>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</si>
  <si>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</si>
  <si>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</si>
  <si>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</si>
  <si>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</si>
  <si>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</si>
  <si>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</si>
  <si>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</si>
  <si>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</si>
  <si>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</si>
  <si>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</si>
  <si>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</si>
  <si>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</si>
  <si>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</si>
  <si>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</si>
  <si>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</si>
  <si>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</si>
  <si>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</si>
  <si>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</si>
  <si>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</si>
  <si>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</si>
  <si>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</si>
  <si>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</si>
  <si>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</si>
  <si>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</si>
  <si>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</si>
  <si>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</si>
  <si>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</si>
  <si>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</si>
  <si>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</si>
  <si>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</si>
  <si>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</si>
  <si>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</si>
  <si>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</si>
  <si>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</si>
  <si>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</si>
  <si>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</si>
  <si>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</si>
  <si>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</si>
  <si>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</si>
  <si>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</si>
  <si>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</si>
  <si>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</si>
  <si>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</si>
  <si>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</si>
  <si>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</si>
  <si>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</si>
  <si>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</si>
  <si>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</si>
  <si>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</si>
  <si>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</si>
  <si>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</si>
  <si>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</si>
  <si>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</si>
  <si>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</si>
  <si>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</si>
  <si>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</si>
  <si>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</si>
  <si>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</si>
  <si>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</si>
  <si>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</si>
  <si>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</si>
  <si>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</si>
  <si>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</si>
  <si>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</si>
  <si>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</si>
  <si>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</si>
  <si>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</si>
  <si>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</si>
  <si>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</si>
  <si>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</si>
  <si>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</si>
  <si>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</si>
  <si>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</si>
  <si>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</si>
  <si>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</si>
  <si>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</si>
  <si>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</si>
  <si>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</si>
  <si>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</si>
  <si>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</si>
  <si>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</si>
  <si>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</si>
  <si>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</si>
  <si>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</si>
  <si>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</si>
  <si>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</si>
  <si>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</si>
  <si>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</si>
  <si>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</si>
  <si>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</si>
  <si>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</si>
  <si>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</si>
  <si>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</si>
  <si>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</si>
  <si>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</si>
  <si>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</si>
  <si>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</si>
  <si>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</si>
  <si>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</si>
  <si>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</si>
  <si>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</si>
  <si>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</si>
  <si>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</si>
  <si>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</si>
  <si>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</si>
  <si>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</si>
  <si>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</si>
  <si>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</si>
  <si>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</si>
  <si>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</si>
  <si>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</si>
  <si>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</si>
  <si>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</si>
  <si>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</si>
  <si>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</si>
  <si>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</si>
  <si>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</si>
  <si>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</si>
  <si>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</si>
  <si>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</si>
  <si>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</si>
  <si>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</si>
  <si>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</si>
  <si>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</si>
  <si>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</si>
  <si>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</si>
  <si>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</si>
  <si>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</si>
  <si>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</si>
  <si>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</si>
  <si>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</si>
  <si>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</si>
  <si>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</si>
  <si>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</si>
  <si>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</si>
  <si>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</si>
  <si>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</si>
  <si>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</si>
  <si>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</si>
  <si>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</si>
  <si>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</si>
  <si>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</si>
  <si>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</si>
  <si>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</si>
  <si>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</si>
  <si>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</si>
  <si>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</si>
  <si>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</si>
  <si>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</si>
  <si>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</si>
  <si>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</si>
  <si>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</si>
  <si>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</si>
  <si>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</si>
  <si>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</si>
  <si>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</si>
  <si>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</si>
  <si>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</si>
  <si>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</si>
  <si>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</si>
  <si>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</si>
  <si>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</si>
  <si>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</si>
  <si>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</si>
  <si>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</si>
  <si>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</si>
  <si>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</si>
  <si>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</si>
  <si>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</si>
  <si>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</si>
  <si>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</si>
  <si>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</si>
  <si>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</si>
  <si>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</si>
  <si>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</si>
  <si>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</si>
  <si>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</si>
  <si>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</si>
  <si>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</si>
  <si>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</si>
  <si>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</si>
  <si>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</si>
  <si>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</si>
  <si>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</si>
  <si>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</si>
  <si>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</si>
  <si>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</si>
  <si>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</si>
  <si>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</si>
  <si>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</si>
  <si>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</si>
  <si>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</si>
  <si>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</si>
  <si>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</si>
  <si>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</si>
  <si>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</si>
  <si>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</si>
  <si>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</si>
  <si>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</si>
  <si>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</si>
  <si>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</si>
  <si>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</si>
  <si>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</si>
  <si>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</si>
  <si>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</si>
  <si>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</si>
  <si>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</si>
  <si>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</si>
  <si>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</si>
  <si>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</si>
  <si>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</si>
  <si>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</si>
  <si>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</si>
  <si>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</si>
  <si>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</si>
  <si>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</si>
  <si>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</si>
  <si>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</si>
  <si>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</si>
  <si>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</si>
  <si>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</si>
  <si>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</si>
  <si>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</si>
  <si>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</si>
  <si>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</si>
  <si>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</si>
  <si>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</si>
  <si>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</si>
  <si>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</si>
  <si>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</si>
  <si>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</si>
  <si>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</si>
  <si>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</si>
  <si>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</si>
  <si>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</si>
  <si>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</si>
  <si>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</si>
  <si>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</si>
  <si>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</si>
  <si>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</si>
  <si>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</si>
  <si>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</si>
  <si>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</si>
  <si>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</si>
  <si>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</si>
  <si>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</si>
  <si>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</si>
  <si>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</si>
  <si>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</si>
  <si>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</si>
  <si>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</si>
  <si>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</si>
  <si>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</si>
  <si>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</si>
  <si>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</si>
  <si>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</si>
  <si>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</si>
  <si>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</si>
  <si>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</si>
  <si>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</si>
  <si>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</si>
  <si>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</si>
  <si>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</si>
  <si>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</si>
  <si>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</si>
  <si>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</si>
  <si>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</si>
  <si>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</si>
  <si>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</si>
  <si>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</si>
  <si>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</si>
  <si>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</si>
  <si>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</si>
  <si>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</si>
  <si>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</si>
  <si>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</si>
  <si>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</si>
  <si>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</si>
  <si>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</si>
  <si>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</si>
  <si>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</si>
  <si>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</si>
  <si>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</si>
  <si>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</si>
  <si>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</si>
  <si>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</si>
  <si>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</si>
  <si>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</si>
  <si>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</si>
  <si>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</si>
  <si>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</si>
  <si>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</si>
  <si>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</si>
  <si>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</si>
  <si>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</si>
  <si>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</si>
  <si>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</si>
  <si>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</si>
  <si>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</si>
  <si>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</si>
  <si>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</si>
  <si>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</si>
  <si>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</si>
  <si>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</si>
  <si>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</si>
  <si>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</si>
  <si>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</si>
  <si>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</si>
  <si>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</si>
  <si>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</si>
  <si>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</si>
  <si>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</si>
  <si>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</si>
  <si>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</si>
  <si>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</si>
  <si>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</si>
  <si>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</si>
  <si>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</si>
  <si>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</si>
  <si>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</si>
  <si>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</si>
  <si>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</si>
  <si>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</si>
  <si>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</si>
  <si>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</si>
  <si>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</si>
  <si>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</si>
  <si>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</si>
  <si>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</si>
  <si>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</si>
  <si>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</si>
  <si>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</si>
  <si>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</si>
  <si>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</si>
  <si>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</si>
  <si>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</si>
  <si>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</si>
  <si>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</si>
  <si>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</si>
  <si>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</si>
  <si>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</si>
  <si>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</si>
  <si>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</si>
  <si>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</si>
  <si>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</si>
  <si>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</si>
  <si>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</si>
  <si>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</si>
  <si>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</si>
  <si>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</si>
  <si>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</si>
  <si>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</si>
  <si>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</si>
  <si>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</si>
  <si>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</si>
  <si>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</si>
  <si>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</si>
  <si>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</si>
  <si>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</si>
  <si>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</si>
  <si>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</si>
  <si>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</si>
  <si>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</si>
  <si>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</si>
  <si>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</si>
  <si>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</si>
  <si>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</si>
  <si>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</si>
  <si>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</si>
  <si>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</si>
  <si>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</si>
  <si>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</si>
  <si>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</si>
  <si>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</si>
  <si>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</si>
  <si>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</si>
  <si>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</si>
  <si>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</si>
  <si>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</si>
  <si>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</si>
  <si>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</si>
  <si>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</si>
  <si>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</si>
  <si>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</si>
  <si>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</si>
  <si>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</si>
  <si>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</si>
  <si>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</si>
  <si>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</si>
  <si>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</si>
  <si>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</si>
  <si>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</si>
  <si>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</si>
  <si>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</si>
  <si>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</si>
  <si>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</si>
  <si>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</si>
  <si>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</si>
  <si>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</si>
  <si>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</si>
  <si>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</si>
  <si>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</si>
  <si>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</si>
  <si>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</si>
  <si>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</si>
  <si>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</si>
  <si>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</si>
  <si>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</si>
  <si>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</si>
  <si>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</si>
  <si>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</si>
  <si>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</si>
  <si>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</si>
  <si>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</si>
  <si>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</si>
  <si>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</si>
  <si>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</si>
  <si>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</si>
  <si>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</si>
  <si>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</si>
  <si>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</si>
  <si>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</si>
  <si>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</si>
  <si>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</si>
  <si>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</si>
  <si>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</si>
  <si>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</si>
  <si>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</si>
  <si>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</si>
  <si>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</si>
  <si>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</si>
  <si>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</si>
  <si>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</si>
  <si>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</si>
  <si>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</si>
  <si>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</si>
  <si>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</si>
  <si>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</si>
  <si>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</si>
  <si>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</si>
  <si>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</si>
  <si>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</si>
  <si>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</si>
  <si>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</si>
  <si>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</si>
  <si>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</si>
  <si>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</si>
  <si>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</si>
  <si>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</si>
  <si>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</si>
  <si>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</si>
  <si>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</si>
  <si>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</si>
  <si>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</si>
  <si>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</si>
  <si>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</si>
  <si>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</si>
  <si>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</si>
  <si>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</si>
  <si>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</si>
  <si>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</si>
  <si>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</si>
  <si>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</si>
  <si>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</si>
  <si>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</si>
  <si>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</si>
  <si>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</si>
  <si>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</si>
  <si>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</si>
  <si>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</si>
  <si>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</si>
  <si>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</si>
  <si>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</si>
  <si>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</si>
  <si>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</si>
  <si>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</si>
  <si>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</si>
  <si>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</si>
  <si>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</si>
  <si>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</si>
  <si>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</si>
  <si>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</si>
  <si>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</si>
  <si>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</si>
  <si>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</si>
  <si>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</si>
  <si>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</si>
  <si>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</si>
  <si>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</si>
  <si>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</si>
  <si>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</si>
  <si>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</si>
  <si>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</si>
  <si>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</si>
  <si>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</si>
  <si>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</si>
  <si>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</si>
  <si>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</si>
  <si>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</si>
  <si>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</si>
  <si>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</si>
  <si>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</si>
  <si>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</si>
  <si>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</si>
  <si>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</si>
  <si>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</si>
  <si>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</si>
  <si>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</si>
  <si>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</si>
  <si>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</si>
  <si>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</si>
  <si>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</si>
  <si>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</si>
  <si>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</si>
  <si>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</si>
  <si>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</si>
  <si>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</si>
  <si>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</si>
  <si>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</si>
  <si>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</si>
  <si>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</si>
  <si>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</si>
  <si>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</si>
  <si>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</si>
  <si>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</si>
  <si>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</si>
  <si>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</si>
  <si>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</si>
  <si>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</si>
  <si>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</si>
  <si>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</si>
  <si>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</si>
  <si>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</si>
  <si>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</si>
  <si>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</si>
  <si>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</si>
  <si>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</si>
  <si>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</si>
  <si>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</si>
  <si>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</si>
  <si>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</si>
  <si>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</si>
  <si>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</si>
  <si>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</si>
  <si>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</si>
  <si>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</si>
  <si>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</si>
  <si>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</si>
  <si>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</si>
  <si>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</si>
  <si>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</si>
  <si>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</si>
  <si>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</si>
  <si>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</si>
  <si>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</si>
  <si>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</si>
  <si>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</si>
  <si>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</si>
  <si>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</si>
  <si>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</si>
  <si>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</si>
  <si>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</si>
  <si>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</si>
  <si>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</si>
  <si>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</si>
  <si>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</si>
  <si>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</si>
  <si>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</si>
  <si>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</si>
  <si>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</si>
  <si>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</si>
  <si>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</si>
  <si>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</si>
  <si>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</si>
  <si>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</si>
  <si>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</si>
  <si>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</si>
  <si>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</si>
  <si>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</si>
  <si>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</si>
  <si>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</si>
  <si>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</si>
  <si>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</si>
  <si>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</si>
  <si>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</si>
  <si>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</si>
  <si>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</si>
  <si>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</si>
  <si>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</si>
  <si>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</si>
  <si>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</si>
  <si>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</si>
  <si>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</si>
  <si>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</si>
  <si>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</si>
  <si>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</si>
  <si>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</si>
  <si>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</si>
  <si>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</si>
  <si>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</si>
  <si>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</si>
  <si>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</si>
  <si>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</si>
  <si>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</si>
  <si>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</si>
  <si>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</si>
  <si>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</si>
  <si>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</si>
  <si>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</si>
  <si>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</si>
  <si>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</si>
  <si>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</si>
  <si>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</si>
  <si>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</si>
  <si>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</si>
  <si>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</si>
  <si>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</si>
  <si>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</si>
  <si>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</si>
  <si>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</si>
  <si>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</si>
  <si>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</si>
  <si>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</si>
  <si>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</si>
  <si>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</si>
  <si>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</si>
  <si>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</si>
  <si>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</si>
  <si>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</si>
  <si>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</si>
  <si>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</si>
  <si>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</si>
  <si>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</si>
  <si>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</si>
  <si>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</si>
  <si>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</si>
  <si>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</si>
  <si>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</si>
  <si>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</si>
  <si>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</si>
  <si>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</si>
  <si>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</si>
  <si>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</si>
  <si>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</si>
  <si>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</si>
  <si>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</si>
  <si>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</si>
  <si>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</si>
  <si>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</si>
  <si>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</si>
  <si>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</si>
  <si>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</si>
  <si>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</si>
  <si>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</si>
  <si>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</si>
  <si>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</si>
  <si>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</si>
  <si>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</si>
  <si>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</si>
  <si>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</si>
  <si>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</si>
  <si>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</si>
  <si>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</si>
  <si>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</si>
  <si>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</si>
  <si>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</si>
  <si>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</si>
  <si>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</si>
  <si>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</si>
  <si>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</si>
  <si>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</si>
  <si>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</si>
  <si>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</si>
  <si>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</si>
  <si>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</si>
  <si>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</si>
  <si>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</si>
  <si>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</si>
  <si>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</si>
  <si>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</si>
  <si>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</si>
  <si>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</si>
  <si>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</si>
  <si>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</si>
  <si>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</si>
  <si>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</si>
  <si>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</si>
  <si>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</si>
  <si>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</si>
  <si>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</si>
  <si>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</si>
  <si>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</si>
  <si>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</si>
  <si>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</si>
  <si>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</si>
  <si>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</si>
  <si>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</si>
  <si>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</si>
  <si>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</si>
  <si>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</si>
  <si>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</si>
  <si>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</si>
  <si>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</si>
  <si>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</si>
  <si>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</si>
  <si>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</si>
  <si>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</si>
  <si>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</si>
  <si>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</si>
  <si>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</si>
  <si>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</si>
  <si>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</si>
  <si>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</si>
  <si>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</si>
  <si>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</si>
  <si>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</si>
  <si>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</si>
  <si>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</si>
  <si>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</si>
  <si>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</si>
  <si>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</si>
  <si>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</si>
  <si>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</si>
  <si>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</si>
  <si>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</si>
  <si>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</si>
  <si>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</si>
  <si>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</si>
  <si>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</si>
  <si>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</si>
  <si>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</si>
  <si>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</si>
  <si>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</si>
  <si>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</si>
  <si>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</si>
  <si>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</si>
  <si>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</si>
  <si>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</si>
  <si>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</si>
  <si>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</si>
  <si>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</si>
  <si>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</si>
  <si>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</si>
  <si>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</si>
  <si>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</si>
  <si>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</si>
  <si>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</si>
  <si>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</si>
  <si>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</si>
  <si>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</si>
  <si>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</si>
  <si>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</si>
  <si>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</si>
  <si>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</si>
  <si>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</si>
  <si>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</si>
  <si>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</si>
  <si>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</si>
  <si>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</si>
  <si>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</si>
  <si>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</si>
  <si>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</si>
  <si>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</si>
  <si>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</si>
  <si>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</si>
  <si>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</si>
  <si>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</si>
  <si>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</si>
  <si>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</si>
  <si>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</si>
  <si>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</si>
  <si>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</si>
  <si>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</si>
  <si>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</si>
  <si>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</si>
  <si>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</si>
  <si>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</si>
  <si>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</si>
  <si>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</si>
  <si>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</si>
  <si>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</si>
  <si>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</si>
  <si>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</si>
  <si>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</si>
  <si>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</si>
  <si>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</si>
  <si>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</si>
  <si>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</si>
  <si>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</si>
  <si>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</si>
  <si>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</si>
  <si>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</si>
  <si>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</si>
  <si>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</si>
  <si>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</si>
  <si>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</si>
  <si>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</si>
  <si>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</si>
  <si>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</si>
  <si>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</si>
  <si>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</si>
  <si>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</si>
  <si>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</si>
  <si>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</si>
  <si>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</si>
  <si>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</si>
  <si>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</si>
  <si>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</si>
  <si>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</si>
  <si>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</si>
  <si>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</si>
  <si>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</si>
  <si>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</si>
  <si>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</si>
  <si>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</si>
  <si>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</si>
  <si>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</si>
  <si>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</si>
  <si>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</si>
  <si>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</si>
  <si>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</si>
  <si>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</si>
  <si>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</si>
  <si>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</si>
  <si>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</si>
  <si>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</si>
  <si>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</si>
  <si>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</si>
  <si>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</si>
  <si>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</si>
  <si>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</si>
  <si>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</si>
  <si>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</si>
  <si>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</si>
  <si>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</si>
  <si>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</si>
  <si>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</si>
  <si>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</si>
  <si>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</si>
  <si>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</si>
  <si>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</si>
  <si>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</si>
  <si>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</si>
  <si>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</si>
  <si>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</si>
  <si>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</si>
  <si>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</si>
  <si>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</si>
  <si>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</si>
  <si>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</si>
  <si>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</si>
  <si>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</si>
  <si>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</si>
  <si>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</si>
  <si>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</si>
  <si>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</si>
  <si>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</si>
  <si>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</si>
  <si>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</si>
  <si>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</si>
  <si>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</si>
  <si>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</si>
  <si>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</si>
  <si>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</si>
  <si>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</si>
  <si>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</si>
  <si>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</si>
  <si>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</si>
  <si>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</si>
  <si>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</si>
  <si>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</si>
  <si>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</si>
  <si>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</si>
  <si>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</si>
  <si>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</si>
  <si>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</si>
  <si>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</si>
  <si>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</si>
  <si>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</si>
  <si>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</si>
  <si>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</si>
  <si>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</si>
  <si>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</si>
  <si>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</si>
  <si>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</si>
  <si>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</si>
  <si>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</si>
  <si>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</si>
  <si>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</si>
  <si>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</si>
  <si>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</si>
  <si>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</si>
  <si>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</si>
  <si>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</si>
  <si>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</si>
  <si>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</si>
  <si>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</si>
  <si>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</si>
  <si>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</si>
  <si>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</si>
  <si>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</si>
  <si>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</si>
  <si>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</si>
  <si>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</si>
  <si>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</si>
  <si>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</si>
  <si>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</si>
  <si>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</si>
  <si>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</si>
  <si>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</si>
  <si>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</si>
  <si>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</si>
  <si>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</si>
  <si>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</si>
  <si>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</si>
  <si>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</si>
  <si>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</si>
  <si>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</si>
  <si>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</si>
  <si>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</si>
  <si>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</si>
  <si>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</si>
  <si>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</si>
  <si>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</si>
  <si>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</si>
  <si>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</si>
  <si>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</si>
  <si>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</si>
  <si>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</si>
  <si>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</si>
  <si>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</si>
  <si>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</si>
  <si>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</si>
  <si>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</si>
  <si>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</si>
  <si>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</si>
  <si>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</si>
  <si>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</si>
  <si>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</si>
  <si>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</si>
  <si>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</si>
  <si>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</si>
  <si>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</si>
  <si>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</si>
  <si>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</si>
  <si>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</si>
  <si>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</si>
  <si>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</si>
  <si>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</si>
  <si>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</si>
  <si>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</si>
  <si>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</si>
  <si>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</si>
  <si>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</si>
  <si>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</si>
  <si>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</si>
  <si>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</si>
  <si>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</si>
  <si>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</si>
  <si>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</si>
  <si>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</si>
  <si>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</si>
  <si>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</si>
  <si>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</si>
  <si>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</si>
  <si>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</si>
  <si>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</si>
  <si>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</si>
  <si>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</si>
  <si>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</si>
  <si>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</si>
  <si>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</si>
  <si>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</si>
  <si>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</si>
  <si>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</si>
  <si>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</si>
  <si>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</si>
  <si>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</si>
  <si>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</si>
  <si>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</si>
  <si>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</si>
  <si>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</si>
  <si>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</si>
  <si>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</si>
  <si>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</si>
  <si>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</si>
  <si>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</si>
  <si>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</si>
  <si>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</si>
  <si>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</si>
  <si>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</si>
  <si>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</si>
  <si>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</si>
  <si>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</si>
  <si>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</si>
  <si>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</si>
  <si>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</si>
  <si>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</si>
  <si>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</si>
  <si>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</si>
  <si>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</si>
  <si>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</si>
  <si>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</si>
  <si>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</si>
  <si>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</si>
  <si>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</si>
  <si>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</si>
  <si>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</si>
  <si>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</si>
  <si>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</si>
  <si>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</si>
  <si>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</si>
  <si>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</si>
  <si>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</si>
  <si>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</si>
  <si>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</si>
  <si>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</si>
  <si>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</si>
  <si>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</si>
  <si>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</si>
  <si>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</si>
  <si>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</si>
  <si>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</si>
  <si>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</si>
  <si>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</si>
  <si>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</si>
  <si>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</si>
  <si>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</si>
  <si>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</si>
  <si>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</si>
  <si>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</si>
  <si>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</si>
  <si>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</si>
  <si>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</si>
  <si>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</si>
  <si>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</si>
  <si>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</si>
  <si>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</si>
  <si>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</si>
  <si>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</si>
  <si>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</si>
  <si>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</si>
  <si>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</si>
  <si>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</si>
  <si>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</si>
  <si>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</si>
  <si>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</si>
  <si>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</si>
  <si>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</si>
  <si>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</si>
  <si>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</si>
  <si>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</si>
  <si>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</si>
  <si>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</si>
  <si>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</si>
  <si>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</si>
  <si>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</si>
  <si>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</si>
  <si>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</si>
  <si>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</si>
  <si>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</si>
  <si>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</si>
  <si>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</si>
  <si>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</si>
  <si>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</si>
  <si>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</si>
  <si>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</si>
  <si>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</si>
  <si>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</si>
  <si>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</si>
  <si>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</si>
  <si>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</si>
  <si>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</si>
  <si>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</si>
  <si>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</si>
  <si>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</si>
  <si>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</si>
  <si>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</si>
  <si>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</si>
  <si>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</si>
  <si>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</si>
  <si>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</si>
  <si>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</si>
  <si>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</si>
  <si>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</si>
  <si>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</si>
  <si>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</si>
  <si>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</si>
  <si>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</si>
  <si>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</si>
  <si>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</si>
  <si>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</si>
  <si>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</si>
  <si>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</si>
  <si>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</si>
  <si>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</si>
  <si>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</si>
  <si>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</si>
  <si>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</si>
  <si>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</si>
  <si>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</si>
  <si>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</si>
  <si>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</si>
  <si>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</si>
  <si>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</si>
  <si>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</si>
  <si>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</si>
  <si>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</si>
  <si>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</si>
  <si>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</si>
  <si>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</si>
  <si>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</si>
  <si>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</si>
  <si>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</si>
  <si>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</si>
  <si>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</si>
  <si>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</si>
  <si>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</si>
  <si>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</si>
  <si>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</si>
  <si>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</si>
  <si>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</si>
  <si>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</si>
  <si>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</si>
  <si>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</si>
  <si>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</si>
  <si>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</si>
  <si>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</si>
  <si>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</si>
  <si>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</si>
  <si>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</si>
  <si>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</si>
  <si>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</si>
  <si>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</si>
  <si>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</si>
  <si>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</si>
  <si>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</si>
  <si>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</si>
  <si>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</si>
  <si>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</si>
  <si>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</si>
  <si>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</si>
  <si>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</si>
  <si>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</si>
  <si>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</si>
  <si>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</si>
  <si>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</si>
  <si>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</si>
  <si>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</si>
  <si>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</si>
  <si>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</si>
  <si>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</si>
  <si>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</si>
  <si>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</si>
  <si>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</si>
  <si>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</si>
  <si>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</si>
  <si>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</si>
  <si>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</si>
  <si>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</si>
  <si>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</si>
  <si>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</si>
  <si>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</si>
  <si>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</si>
  <si>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</si>
  <si>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</si>
  <si>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</si>
  <si>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</si>
  <si>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</si>
  <si>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</si>
  <si>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</si>
  <si>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</si>
  <si>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</si>
  <si>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</si>
  <si>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</si>
  <si>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</si>
  <si>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</si>
  <si>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</si>
  <si>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</si>
  <si>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</si>
  <si>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</si>
  <si>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</si>
  <si>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</si>
  <si>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</si>
  <si>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</si>
  <si>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</si>
  <si>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</si>
  <si>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</si>
  <si>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</si>
  <si>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</si>
  <si>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</si>
  <si>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</si>
  <si>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</si>
  <si>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</si>
  <si>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</si>
  <si>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</si>
  <si>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</si>
  <si>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</si>
  <si>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</si>
  <si>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</si>
  <si>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</si>
  <si>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</si>
  <si>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</si>
  <si>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</si>
  <si>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</si>
  <si>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</si>
  <si>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</si>
  <si>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</si>
  <si>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</si>
  <si>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</si>
  <si>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</si>
  <si>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</si>
  <si>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</si>
  <si>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</si>
  <si>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</si>
  <si>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</si>
  <si>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</si>
  <si>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</si>
  <si>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</si>
  <si>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</si>
  <si>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</si>
  <si>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</si>
  <si>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</si>
  <si>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</si>
  <si>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</si>
  <si>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</si>
  <si>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</si>
  <si>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</si>
  <si>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</si>
  <si>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</si>
  <si>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</si>
  <si>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</si>
  <si>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</si>
  <si>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</si>
  <si>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</si>
  <si>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</si>
  <si>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</si>
  <si>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</si>
  <si>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</si>
  <si>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</si>
  <si>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</si>
  <si>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</si>
  <si>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</si>
  <si>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</si>
  <si>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</si>
  <si>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</si>
  <si>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</si>
  <si>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</si>
  <si>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</si>
  <si>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</si>
  <si>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</si>
  <si>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</si>
  <si>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</si>
  <si>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</si>
  <si>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</si>
  <si>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</si>
  <si>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</si>
  <si>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</si>
  <si>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</si>
  <si>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</si>
  <si>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</si>
  <si>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</si>
  <si>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</si>
  <si>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</si>
  <si>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</si>
  <si>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</si>
  <si>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</si>
  <si>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</si>
  <si>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</si>
  <si>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</si>
  <si>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</si>
  <si>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</si>
  <si>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</si>
  <si>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</si>
  <si>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</si>
  <si>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</si>
  <si>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</si>
  <si>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</si>
  <si>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</si>
  <si>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</si>
  <si>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</si>
  <si>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</si>
  <si>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</si>
  <si>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</si>
  <si>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</si>
  <si>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</si>
  <si>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</si>
  <si>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</si>
  <si>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</si>
  <si>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</si>
  <si>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</si>
  <si>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</si>
  <si>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</si>
  <si>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</si>
  <si>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</si>
  <si>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</si>
  <si>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</si>
  <si>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</si>
  <si>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</si>
  <si>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</si>
  <si>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</si>
  <si>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</si>
  <si>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</si>
  <si>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</si>
  <si>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</si>
  <si>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</si>
  <si>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</si>
  <si>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</si>
  <si>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</si>
  <si>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</si>
  <si>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</si>
  <si>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</si>
  <si>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</si>
  <si>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</si>
  <si>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</si>
  <si>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</si>
  <si>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</si>
  <si>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</si>
  <si>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</si>
  <si>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</si>
  <si>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</si>
  <si>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</si>
  <si>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</si>
  <si>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</si>
  <si>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</si>
  <si>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</si>
  <si>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</si>
  <si>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</si>
  <si>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</si>
  <si>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</si>
  <si>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</si>
  <si>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</si>
  <si>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</si>
  <si>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</si>
  <si>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</si>
  <si>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</si>
  <si>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</si>
  <si>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</si>
  <si>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</si>
  <si>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</si>
  <si>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</si>
  <si>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</si>
  <si>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</si>
  <si>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</si>
  <si>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</si>
  <si>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</si>
  <si>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</si>
  <si>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</si>
  <si>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</si>
  <si>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</si>
  <si>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</si>
  <si>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</si>
  <si>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</si>
  <si>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</si>
  <si>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</si>
  <si>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</si>
  <si>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</si>
  <si>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</si>
  <si>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</si>
  <si>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</si>
  <si>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</si>
  <si>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</si>
  <si>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</si>
  <si>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</si>
  <si>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</si>
  <si>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</si>
  <si>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</si>
  <si>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</si>
  <si>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</si>
  <si>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</si>
  <si>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</si>
  <si>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</si>
  <si>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</si>
  <si>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</si>
  <si>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</si>
  <si>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</si>
  <si>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</si>
  <si>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</si>
  <si>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</si>
  <si>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</si>
  <si>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</si>
  <si>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</si>
  <si>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</si>
  <si>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</si>
  <si>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</si>
  <si>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</si>
  <si>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</si>
  <si>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</si>
  <si>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</si>
  <si>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</si>
  <si>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</si>
  <si>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</si>
  <si>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</si>
  <si>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</si>
  <si>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</si>
  <si>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</si>
  <si>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</si>
  <si>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</si>
  <si>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</si>
  <si>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</si>
  <si>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</si>
  <si>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</si>
  <si>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</si>
  <si>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</si>
  <si>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</si>
  <si>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</si>
  <si>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</si>
  <si>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</si>
  <si>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</si>
  <si>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</si>
  <si>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</si>
  <si>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</si>
  <si>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</si>
  <si>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</si>
  <si>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</si>
  <si>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</si>
  <si>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</si>
  <si>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</si>
  <si>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</si>
  <si>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</si>
  <si>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</si>
  <si>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</si>
  <si>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</si>
  <si>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</si>
  <si>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</si>
  <si>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</si>
  <si>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</si>
  <si>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</si>
  <si>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</si>
  <si>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</si>
  <si>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</si>
  <si>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</si>
  <si>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</si>
  <si>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</si>
  <si>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</si>
  <si>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</si>
  <si>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</si>
  <si>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</si>
  <si>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</si>
  <si>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</si>
  <si>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</si>
  <si>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</si>
  <si>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</si>
  <si>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</si>
  <si>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</si>
  <si>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</si>
  <si>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</si>
  <si>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</si>
  <si>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</si>
  <si>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</si>
  <si>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</si>
  <si>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</si>
  <si>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</si>
  <si>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</si>
  <si>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</si>
  <si>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</si>
  <si>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</si>
  <si>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</si>
  <si>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</si>
  <si>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</si>
  <si>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</si>
  <si>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</si>
  <si>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</si>
  <si>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</si>
  <si>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</si>
  <si>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</si>
  <si>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</si>
  <si>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</si>
  <si>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</si>
  <si>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</si>
  <si>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</si>
  <si>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</si>
  <si>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</si>
  <si>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</si>
  <si>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</si>
  <si>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</si>
  <si>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</si>
  <si>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</si>
  <si>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</si>
  <si>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</si>
  <si>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</si>
  <si>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</si>
  <si>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</si>
  <si>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</si>
  <si>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</si>
  <si>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</si>
  <si>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</si>
  <si>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</si>
  <si>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</si>
  <si>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</si>
  <si>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</si>
  <si>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</si>
  <si>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</si>
  <si>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</si>
  <si>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</si>
  <si>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</si>
  <si>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</si>
  <si>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</si>
  <si>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</si>
  <si>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</si>
  <si>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</si>
  <si>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</si>
  <si>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</si>
  <si>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</si>
  <si>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</si>
  <si>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</si>
  <si>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</si>
  <si>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</si>
  <si>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</si>
  <si>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</si>
  <si>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</si>
  <si>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</si>
  <si>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</si>
  <si>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</si>
  <si>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</si>
  <si>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</si>
  <si>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</si>
  <si>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</si>
  <si>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</si>
  <si>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</si>
  <si>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</si>
  <si>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</si>
  <si>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</si>
  <si>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</si>
  <si>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</si>
  <si>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</si>
  <si>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</si>
  <si>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</si>
  <si>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</si>
  <si>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</si>
  <si>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</si>
  <si>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</si>
  <si>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</si>
  <si>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</si>
  <si>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</si>
  <si>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</si>
  <si>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</si>
  <si>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</si>
  <si>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</si>
  <si>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</si>
  <si>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</si>
  <si>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</si>
  <si>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</si>
  <si>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</si>
  <si>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</si>
  <si>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</si>
  <si>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</si>
  <si>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</si>
  <si>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</si>
  <si>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</si>
  <si>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</si>
  <si>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</si>
  <si>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</si>
  <si>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</si>
  <si>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</si>
  <si>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</si>
  <si>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</si>
  <si>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</si>
  <si>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</si>
  <si>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</si>
  <si>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</si>
  <si>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</si>
  <si>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</si>
  <si>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</si>
  <si>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</si>
  <si>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</si>
  <si>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</si>
  <si>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</si>
  <si>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</si>
  <si>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</si>
  <si>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</si>
  <si>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</si>
  <si>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</si>
  <si>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</si>
  <si>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</si>
  <si>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</si>
  <si>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</si>
  <si>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</si>
  <si>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</si>
  <si>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</si>
  <si>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</si>
  <si>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</si>
  <si>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</si>
  <si>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</si>
  <si>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</si>
  <si>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</si>
  <si>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</si>
  <si>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</si>
  <si>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</si>
  <si>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</si>
  <si>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</si>
  <si>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</si>
  <si>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</si>
  <si>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</si>
  <si>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</si>
  <si>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</si>
  <si>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</si>
  <si>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</si>
  <si>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</si>
  <si>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</si>
  <si>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</si>
  <si>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</si>
  <si>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</si>
  <si>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</si>
  <si>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</si>
  <si>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</si>
  <si>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</si>
  <si>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</si>
  <si>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</si>
  <si>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</si>
  <si>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</si>
  <si>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</si>
  <si>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</si>
  <si>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</si>
  <si>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</si>
  <si>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</si>
  <si>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</si>
  <si>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</si>
  <si>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</si>
  <si>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</si>
  <si>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</si>
  <si>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</si>
  <si>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</si>
  <si>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</si>
  <si>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</si>
  <si>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</si>
  <si>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</si>
  <si>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</si>
  <si>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</si>
  <si>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</si>
  <si>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</si>
  <si>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</si>
  <si>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</si>
  <si>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</si>
  <si>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</si>
  <si>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</si>
  <si>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</si>
  <si>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</si>
  <si>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</si>
  <si>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</si>
  <si>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</si>
  <si>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</si>
  <si>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</si>
  <si>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</si>
  <si>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</si>
  <si>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</si>
  <si>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</si>
  <si>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</si>
  <si>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</si>
  <si>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</si>
  <si>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</si>
  <si>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</si>
  <si>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</si>
  <si>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</si>
  <si>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</si>
  <si>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</si>
  <si>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</si>
  <si>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</si>
  <si>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</si>
  <si>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</si>
  <si>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</si>
  <si>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</si>
  <si>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</si>
  <si>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</si>
  <si>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</si>
  <si>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</si>
  <si>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</si>
  <si>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</si>
  <si>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</si>
  <si>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</si>
  <si>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</si>
  <si>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</si>
  <si>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</si>
  <si>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</si>
  <si>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</si>
  <si>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</si>
  <si>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</si>
  <si>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</si>
  <si>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</si>
  <si>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</si>
  <si>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</si>
  <si>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</si>
  <si>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</si>
  <si>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</si>
  <si>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</si>
  <si>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</si>
  <si>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</si>
  <si>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</si>
  <si>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</si>
  <si>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</si>
  <si>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</si>
  <si>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</si>
  <si>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</si>
  <si>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</si>
  <si>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</si>
  <si>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</si>
  <si>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</si>
  <si>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</si>
  <si>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</si>
  <si>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</si>
  <si>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</si>
  <si>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</si>
  <si>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</si>
  <si>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</si>
  <si>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</si>
  <si>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</si>
  <si>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</si>
  <si>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</si>
  <si>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</si>
  <si>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</si>
  <si>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</si>
  <si>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</si>
  <si>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</si>
  <si>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</si>
  <si>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</si>
  <si>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</si>
  <si>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</si>
  <si>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</si>
  <si>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</si>
  <si>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</si>
  <si>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</si>
  <si>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</si>
  <si>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</si>
  <si>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</si>
  <si>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</si>
  <si>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</si>
  <si>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</si>
  <si>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</si>
  <si>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</si>
  <si>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</si>
  <si>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</si>
  <si>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</si>
  <si>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</si>
  <si>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</si>
  <si>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</si>
  <si>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</si>
  <si>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</si>
  <si>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</si>
  <si>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</si>
  <si>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</si>
  <si>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</si>
  <si>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</si>
  <si>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</si>
  <si>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</si>
  <si>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</si>
  <si>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</si>
  <si>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</si>
  <si>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</si>
  <si>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</si>
  <si>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</si>
  <si>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</si>
  <si>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</si>
  <si>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</si>
  <si>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</si>
  <si>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</si>
  <si>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</si>
  <si>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</si>
  <si>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</si>
  <si>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</si>
  <si>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</si>
  <si>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</si>
  <si>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</si>
  <si>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</si>
  <si>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</si>
  <si>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</si>
  <si>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</si>
  <si>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</si>
  <si>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</si>
  <si>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</si>
  <si>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</si>
  <si>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</si>
  <si>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</si>
  <si>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</si>
  <si>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</si>
  <si>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</si>
  <si>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</si>
  <si>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</si>
  <si>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</si>
  <si>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</si>
  <si>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</si>
  <si>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</si>
  <si>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</si>
  <si>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</si>
  <si>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</si>
  <si>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</si>
  <si>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</si>
  <si>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</si>
  <si>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</si>
  <si>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</si>
  <si>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</si>
  <si>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</si>
  <si>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</si>
  <si>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</si>
  <si>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</si>
  <si>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</si>
  <si>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</si>
  <si>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</si>
  <si>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</si>
  <si>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</si>
  <si>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</si>
  <si>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</si>
  <si>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</si>
  <si>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</si>
  <si>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</si>
  <si>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</si>
  <si>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</si>
  <si>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</si>
  <si>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</si>
  <si>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</si>
  <si>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</si>
  <si>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</si>
  <si>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</si>
  <si>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</si>
  <si>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</si>
  <si>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</si>
  <si>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</si>
  <si>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</si>
  <si>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</si>
  <si>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</si>
  <si>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</si>
  <si>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</si>
  <si>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</si>
  <si>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</si>
  <si>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</si>
  <si>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</si>
  <si>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</si>
  <si>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</si>
  <si>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</si>
  <si>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</si>
  <si>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</si>
  <si>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</si>
  <si>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</si>
  <si>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</si>
  <si>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</si>
  <si>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</si>
  <si>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</si>
  <si>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</si>
  <si>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</si>
  <si>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</si>
  <si>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</si>
  <si>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</si>
  <si>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</si>
  <si>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</si>
  <si>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</si>
  <si>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</si>
  <si>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</si>
  <si>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</si>
  <si>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</si>
  <si>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</si>
  <si>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</si>
  <si>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</si>
  <si>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</si>
  <si>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</si>
  <si>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</si>
  <si>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</si>
  <si>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</si>
  <si>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</si>
  <si>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</si>
  <si>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</si>
  <si>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</si>
  <si>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</si>
  <si>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</si>
  <si>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</si>
  <si>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</si>
  <si>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</si>
  <si>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</si>
  <si>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</si>
  <si>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</si>
  <si>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</si>
  <si>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</si>
  <si>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</si>
  <si>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</si>
  <si>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</si>
  <si>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</si>
  <si>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</si>
  <si>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</si>
  <si>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</si>
  <si>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</si>
  <si>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</si>
  <si>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</si>
  <si>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</si>
  <si>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</si>
  <si>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</si>
  <si>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</si>
  <si>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</si>
  <si>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</si>
  <si>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</si>
  <si>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</si>
  <si>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</si>
  <si>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</si>
  <si>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</si>
  <si>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</si>
  <si>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</si>
  <si>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</si>
  <si>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</si>
  <si>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</si>
  <si>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</si>
  <si>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</si>
  <si>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</si>
  <si>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</si>
  <si>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</si>
  <si>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</si>
  <si>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</si>
  <si>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</si>
  <si>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</si>
  <si>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</si>
  <si>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</si>
  <si>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</si>
  <si>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</si>
  <si>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</si>
  <si>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</si>
  <si>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</si>
  <si>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</si>
  <si>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</si>
  <si>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</si>
  <si>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</si>
  <si>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</si>
  <si>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</si>
  <si>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</si>
  <si>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</si>
  <si>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</si>
  <si>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</si>
  <si>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</si>
  <si>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</si>
  <si>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</si>
  <si>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</si>
  <si>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</si>
  <si>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</si>
  <si>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</si>
  <si>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</si>
  <si>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</si>
  <si>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</si>
  <si>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</si>
  <si>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</si>
  <si>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</si>
  <si>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</si>
  <si>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</si>
  <si>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</si>
  <si>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</si>
  <si>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</si>
  <si>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</si>
  <si>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</si>
  <si>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</si>
  <si>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</si>
  <si>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</si>
  <si>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</si>
  <si>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</si>
  <si>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</si>
  <si>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</si>
  <si>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</si>
  <si>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</si>
  <si>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</si>
  <si>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</si>
  <si>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</si>
  <si>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</si>
  <si>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</si>
  <si>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</si>
  <si>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</si>
  <si>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</si>
  <si>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</si>
  <si>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</si>
  <si>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</si>
  <si>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</si>
  <si>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</si>
  <si>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</si>
  <si>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</si>
  <si>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</si>
  <si>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</si>
  <si>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</si>
  <si>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</si>
  <si>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</si>
  <si>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</si>
  <si>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</si>
  <si>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</si>
  <si>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</si>
  <si>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</si>
  <si>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</si>
  <si>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</si>
  <si>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</si>
  <si>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</si>
  <si>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</si>
  <si>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</si>
  <si>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</si>
  <si>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</si>
  <si>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</si>
  <si>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</si>
  <si>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</si>
  <si>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</si>
  <si>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</si>
  <si>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</si>
  <si>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</si>
  <si>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</si>
  <si>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</si>
  <si>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</si>
  <si>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</si>
  <si>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</si>
  <si>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</si>
  <si>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</si>
  <si>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</si>
  <si>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</si>
  <si>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</si>
  <si>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</si>
  <si>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</si>
  <si>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</si>
  <si>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</si>
  <si>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</si>
  <si>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</si>
  <si>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</si>
  <si>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</si>
  <si>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</si>
  <si>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</si>
  <si>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</si>
  <si>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</si>
  <si>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</si>
  <si>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</si>
  <si>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</si>
  <si>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</si>
  <si>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</si>
  <si>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</si>
  <si>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</si>
  <si>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</si>
  <si>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</si>
  <si>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</si>
  <si>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</si>
  <si>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</si>
  <si>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</si>
  <si>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</si>
  <si>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</si>
  <si>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</si>
  <si>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</si>
  <si>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</si>
  <si>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</si>
  <si>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</si>
  <si>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</si>
  <si>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</si>
  <si>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</si>
  <si>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</si>
  <si>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</si>
  <si>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</si>
  <si>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</si>
  <si>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</si>
  <si>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</si>
  <si>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</si>
  <si>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</si>
  <si>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</si>
  <si>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</si>
  <si>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</si>
  <si>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</si>
  <si>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</si>
  <si>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</si>
  <si>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</si>
  <si>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</si>
  <si>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</si>
  <si>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</si>
  <si>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</si>
  <si>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</si>
  <si>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</si>
  <si>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</si>
  <si>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</si>
  <si>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</si>
  <si>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</si>
  <si>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</si>
  <si>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</si>
  <si>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</si>
  <si>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</si>
  <si>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</si>
  <si>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</si>
  <si>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</si>
  <si>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</si>
  <si>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</si>
  <si>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</si>
  <si>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</si>
  <si>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</si>
  <si>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</si>
  <si>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</si>
  <si>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</si>
  <si>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</si>
  <si>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</si>
  <si>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</si>
  <si>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</si>
  <si>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</si>
  <si>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</si>
  <si>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</si>
  <si>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</si>
  <si>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</si>
  <si>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</si>
  <si>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</si>
  <si>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</si>
  <si>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</si>
  <si>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</si>
  <si>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</si>
  <si>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</si>
  <si>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</si>
  <si>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</si>
  <si>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</si>
  <si>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</si>
  <si>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</si>
  <si>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</si>
  <si>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</si>
  <si>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</si>
  <si>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</si>
  <si>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</si>
  <si>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</si>
  <si>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</si>
  <si>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</si>
  <si>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</si>
  <si>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</si>
  <si>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</si>
  <si>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</si>
  <si>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</si>
  <si>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</si>
  <si>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</si>
  <si>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</si>
  <si>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</si>
  <si>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</si>
  <si>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</si>
  <si>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</si>
  <si>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</si>
  <si>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</si>
  <si>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</si>
  <si>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</si>
  <si>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</si>
  <si>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</si>
  <si>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</si>
  <si>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</si>
  <si>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</si>
  <si>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</si>
  <si>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</si>
  <si>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</si>
  <si>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</si>
  <si>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</si>
  <si>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</si>
  <si>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</si>
  <si>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</si>
  <si>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</si>
  <si>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</si>
  <si>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</si>
  <si>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</si>
  <si>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</si>
  <si>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</si>
  <si>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</si>
  <si>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</si>
  <si>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</si>
  <si>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</si>
  <si>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</si>
  <si>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</si>
  <si>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</si>
  <si>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</si>
  <si>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</si>
  <si>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</si>
  <si>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</si>
  <si>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</si>
  <si>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</si>
  <si>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</si>
  <si>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</si>
  <si>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</si>
  <si>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</si>
  <si>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</si>
  <si>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</si>
  <si>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</si>
  <si>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</si>
  <si>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</si>
  <si>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</si>
  <si>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</si>
  <si>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</si>
  <si>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</si>
  <si>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</si>
  <si>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</si>
  <si>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</si>
  <si>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</si>
  <si>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</si>
  <si>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</si>
  <si>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</si>
  <si>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</si>
  <si>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</si>
  <si>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</si>
  <si>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</si>
  <si>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</si>
  <si>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</si>
  <si>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</si>
  <si>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</si>
  <si>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</si>
  <si>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</si>
  <si>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</si>
  <si>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</si>
  <si>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</si>
  <si>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</si>
  <si>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</si>
  <si>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</si>
  <si>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</si>
  <si>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</si>
  <si>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</si>
  <si>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</si>
  <si>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</si>
  <si>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</si>
  <si>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</si>
  <si>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</si>
  <si>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</si>
  <si>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</si>
  <si>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</si>
  <si>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</si>
  <si>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</si>
  <si>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</si>
  <si>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</si>
  <si>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</si>
  <si>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</si>
  <si>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</si>
  <si>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</si>
  <si>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</si>
  <si>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</si>
  <si>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</si>
  <si>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</si>
  <si>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</si>
  <si>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</si>
  <si>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</si>
  <si>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</si>
  <si>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</si>
  <si>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</si>
  <si>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</si>
  <si>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</si>
  <si>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</si>
  <si>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</si>
  <si>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</si>
  <si>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</si>
  <si>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</si>
  <si>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</si>
  <si>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</si>
  <si>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</si>
  <si>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</si>
  <si>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</si>
  <si>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</si>
  <si>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</si>
  <si>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</si>
  <si>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</si>
  <si>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</si>
  <si>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</si>
  <si>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</si>
  <si>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</si>
  <si>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</si>
  <si>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</si>
  <si>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</si>
  <si>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</si>
  <si>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</si>
  <si>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</si>
  <si>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</si>
  <si>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</si>
  <si>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</si>
  <si>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</si>
  <si>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</si>
  <si>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</si>
  <si>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</si>
  <si>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</si>
  <si>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</si>
  <si>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</si>
  <si>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</si>
  <si>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</si>
  <si>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</si>
  <si>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</si>
  <si>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</si>
  <si>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</si>
  <si>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</si>
  <si>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</si>
  <si>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</si>
  <si>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</si>
  <si>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</si>
  <si>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</si>
  <si>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</si>
  <si>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</si>
  <si>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</si>
  <si>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</si>
  <si>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</si>
  <si>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</si>
  <si>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</si>
  <si>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</si>
  <si>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</si>
  <si>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</si>
  <si>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</si>
  <si>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</si>
  <si>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</si>
  <si>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</si>
  <si>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</si>
  <si>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</si>
  <si>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</si>
  <si>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</si>
  <si>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</si>
  <si>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</si>
  <si>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</si>
  <si>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</si>
  <si>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</si>
  <si>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</si>
  <si>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</si>
  <si>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</si>
  <si>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</si>
  <si>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</si>
  <si>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</si>
  <si>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</si>
  <si>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</si>
  <si>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</si>
  <si>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</si>
  <si>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</si>
  <si>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</si>
  <si>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</si>
  <si>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</si>
  <si>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</si>
  <si>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</si>
  <si>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</si>
  <si>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</si>
  <si>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</si>
  <si>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</si>
  <si>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</si>
  <si>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</si>
  <si>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</si>
  <si>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</si>
  <si>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</si>
  <si>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</si>
  <si>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</si>
  <si>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</si>
  <si>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</si>
  <si>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</si>
  <si>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</si>
  <si>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</si>
  <si>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</si>
  <si>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</si>
  <si>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</si>
  <si>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</si>
  <si>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</si>
  <si>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</si>
  <si>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</si>
  <si>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</si>
  <si>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</si>
  <si>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</si>
  <si>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</si>
  <si>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</si>
  <si>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</si>
  <si>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</si>
  <si>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</si>
  <si>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</si>
  <si>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</si>
  <si>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</si>
  <si>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</si>
  <si>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</si>
  <si>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</si>
  <si>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</si>
  <si>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</si>
  <si>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</si>
  <si>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</si>
  <si>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</si>
  <si>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</si>
  <si>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</si>
  <si>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</si>
  <si>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</si>
  <si>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</si>
  <si>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</si>
  <si>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</si>
  <si>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</si>
  <si>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</si>
  <si>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</si>
  <si>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</si>
  <si>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</si>
  <si>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</si>
  <si>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</si>
  <si>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</si>
  <si>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</si>
  <si>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</si>
  <si>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</si>
  <si>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</si>
  <si>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</si>
  <si>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</si>
  <si>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</si>
  <si>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</si>
  <si>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</si>
  <si>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</si>
  <si>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</si>
  <si>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</si>
  <si>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</si>
  <si>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</si>
  <si>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</si>
  <si>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</si>
  <si>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</si>
  <si>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</si>
  <si>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</si>
  <si>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</si>
  <si>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</si>
  <si>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</si>
  <si>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</si>
  <si>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</si>
  <si>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</si>
  <si>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</si>
  <si>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</si>
  <si>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</si>
  <si>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</si>
  <si>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</si>
  <si>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</si>
  <si>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</si>
  <si>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</si>
  <si>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</si>
  <si>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</si>
  <si>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</si>
  <si>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</si>
  <si>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</si>
  <si>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</si>
  <si>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</si>
  <si>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</si>
  <si>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</si>
  <si>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</si>
  <si>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</si>
  <si>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</si>
  <si>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</si>
  <si>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</si>
  <si>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</si>
  <si>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</si>
  <si>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</si>
  <si>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</si>
  <si>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</si>
  <si>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</si>
  <si>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</si>
  <si>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</si>
  <si>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</si>
  <si>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</si>
  <si>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</si>
  <si>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</si>
  <si>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</si>
  <si>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</si>
  <si>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</si>
  <si>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</si>
  <si>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</si>
  <si>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</si>
  <si>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</si>
  <si>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</si>
  <si>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</si>
  <si>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</si>
  <si>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</si>
  <si>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</si>
  <si>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</si>
  <si>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</si>
  <si>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</si>
  <si>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</si>
  <si>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</si>
  <si>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</si>
  <si>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</si>
  <si>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</si>
  <si>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</si>
  <si>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</si>
  <si>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</si>
  <si>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</si>
  <si>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</si>
  <si>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</si>
  <si>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</si>
  <si>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</si>
  <si>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</si>
  <si>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</si>
  <si>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</si>
  <si>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</si>
  <si>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</si>
  <si>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</si>
  <si>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</si>
  <si>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</si>
  <si>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</si>
  <si>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</si>
  <si>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</si>
  <si>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</si>
  <si>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</si>
  <si>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</si>
  <si>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</si>
  <si>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</si>
  <si>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</si>
  <si>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</si>
  <si>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</si>
  <si>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</si>
  <si>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</si>
  <si>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</si>
  <si>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</si>
  <si>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</si>
  <si>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</si>
  <si>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</si>
  <si>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</si>
  <si>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</si>
  <si>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</si>
  <si>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</si>
  <si>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</si>
  <si>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</si>
  <si>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</si>
  <si>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</si>
  <si>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</si>
  <si>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</si>
  <si>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</si>
  <si>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</si>
  <si>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</si>
  <si>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</si>
  <si>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</si>
  <si>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</si>
  <si>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</si>
  <si>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</si>
  <si>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</si>
  <si>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</si>
  <si>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</si>
  <si>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</si>
  <si>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</si>
  <si>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</si>
  <si>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</si>
  <si>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</si>
  <si>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</si>
  <si>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</si>
  <si>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</si>
  <si>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</si>
  <si>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</si>
  <si>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</si>
  <si>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</si>
  <si>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</si>
  <si>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</si>
  <si>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</si>
  <si>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</si>
  <si>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</si>
  <si>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</si>
  <si>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</si>
  <si>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</si>
  <si>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</si>
  <si>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</si>
  <si>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</si>
  <si>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</si>
  <si>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</si>
  <si>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</si>
  <si>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</si>
  <si>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</si>
  <si>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</si>
  <si>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</si>
  <si>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</si>
  <si>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</si>
  <si>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</si>
  <si>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</si>
  <si>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</si>
  <si>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</si>
  <si>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</si>
  <si>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</si>
  <si>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</si>
  <si>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</si>
  <si>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</si>
  <si>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</si>
  <si>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</si>
  <si>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</si>
  <si>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</si>
  <si>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</si>
  <si>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</si>
  <si>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</si>
  <si>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</si>
  <si>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</si>
  <si>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</si>
  <si>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</si>
  <si>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</si>
  <si>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</si>
  <si>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</si>
  <si>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</si>
  <si>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</si>
  <si>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</si>
  <si>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</si>
  <si>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</si>
  <si>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</si>
  <si>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</si>
  <si>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</si>
  <si>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</si>
  <si>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</si>
  <si>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</si>
  <si>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</si>
  <si>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</si>
  <si>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</si>
  <si>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</si>
  <si>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</si>
  <si>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</si>
  <si>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</si>
  <si>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</si>
  <si>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</si>
  <si>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</si>
  <si>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</si>
  <si>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</si>
  <si>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</si>
  <si>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</si>
  <si>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</si>
  <si>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</si>
  <si>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</si>
  <si>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</si>
  <si>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</si>
  <si>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</si>
  <si>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</si>
  <si>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</si>
  <si>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</si>
  <si>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</si>
  <si>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</si>
  <si>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</si>
  <si>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</si>
  <si>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</si>
  <si>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</si>
  <si>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</si>
  <si>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</si>
  <si>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</si>
  <si>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</si>
  <si>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</si>
  <si>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</si>
  <si>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</si>
  <si>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</si>
  <si>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</si>
  <si>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</si>
  <si>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</si>
  <si>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</si>
  <si>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</si>
  <si>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</si>
  <si>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</si>
  <si>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</si>
  <si>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</si>
  <si>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</si>
  <si>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</si>
  <si>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</si>
  <si>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</si>
  <si>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</si>
  <si>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</si>
  <si>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</si>
  <si>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</si>
  <si>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</si>
  <si>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</si>
  <si>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</si>
  <si>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</si>
  <si>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</si>
  <si>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</si>
  <si>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</si>
  <si>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</si>
  <si>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</si>
  <si>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</si>
  <si>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</si>
  <si>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</si>
  <si>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</si>
  <si>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</si>
  <si>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</si>
  <si>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</si>
  <si>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</si>
  <si>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</si>
  <si>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</si>
  <si>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</si>
  <si>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</si>
  <si>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</si>
  <si>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</si>
  <si>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</si>
  <si>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</si>
  <si>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</si>
  <si>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</si>
  <si>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</si>
  <si>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</si>
  <si>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</si>
  <si>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</si>
  <si>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</si>
  <si>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</si>
  <si>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</si>
  <si>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</si>
  <si>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</si>
  <si>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</si>
  <si>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</si>
  <si>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</si>
  <si>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</si>
  <si>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</si>
  <si>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</si>
  <si>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</si>
  <si>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</si>
  <si>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</si>
  <si>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</si>
  <si>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</si>
  <si>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</si>
  <si>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</si>
  <si>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</si>
  <si>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</si>
  <si>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</si>
  <si>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</si>
  <si>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</si>
  <si>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</si>
  <si>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</si>
  <si>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</si>
  <si>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</si>
  <si>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</si>
  <si>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</si>
  <si>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</si>
  <si>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</si>
  <si>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</si>
  <si>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</si>
  <si>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</si>
  <si>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</si>
  <si>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</si>
  <si>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</si>
  <si>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</si>
  <si>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</si>
  <si>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</si>
  <si>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</si>
  <si>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</si>
  <si>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</si>
  <si>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</si>
  <si>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</si>
  <si>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</si>
  <si>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</si>
  <si>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</si>
  <si>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</si>
  <si>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</si>
  <si>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</si>
  <si>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</si>
  <si>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</si>
  <si>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</si>
  <si>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</si>
  <si>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</si>
  <si>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</si>
  <si>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</si>
  <si>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</si>
  <si>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</si>
  <si>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</si>
  <si>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</si>
  <si>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</si>
  <si>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</si>
  <si>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</si>
  <si>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</si>
  <si>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</si>
  <si>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</si>
  <si>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</si>
  <si>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</si>
  <si>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</si>
  <si>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</si>
  <si>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</si>
  <si>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</si>
  <si>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</si>
  <si>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</si>
  <si>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</si>
  <si>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</si>
  <si>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</si>
  <si>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</si>
  <si>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</si>
  <si>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</si>
  <si>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</si>
  <si>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</si>
  <si>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</si>
  <si>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</si>
  <si>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</si>
  <si>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</si>
  <si>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</si>
  <si>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</si>
  <si>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</si>
  <si>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</si>
  <si>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</si>
  <si>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</si>
  <si>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</si>
  <si>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</si>
  <si>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</si>
  <si>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</si>
  <si>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</si>
  <si>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</si>
  <si>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</si>
  <si>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</si>
  <si>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</si>
  <si>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</si>
  <si>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</si>
  <si>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</si>
  <si>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</si>
  <si>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</si>
  <si>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</si>
  <si>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</si>
  <si>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</si>
  <si>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</si>
  <si>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</si>
  <si>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</si>
  <si>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</si>
  <si>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</si>
  <si>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</si>
  <si>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</si>
  <si>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</si>
  <si>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</si>
  <si>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</si>
  <si>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</si>
  <si>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</si>
  <si>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</si>
  <si>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</si>
  <si>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</si>
  <si>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</si>
  <si>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</si>
  <si>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</si>
  <si>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</si>
  <si>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</si>
  <si>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</si>
  <si>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</si>
  <si>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</si>
  <si>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</si>
  <si>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</si>
  <si>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</si>
  <si>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</si>
  <si>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</si>
  <si>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</si>
  <si>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</si>
  <si>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</si>
  <si>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</si>
  <si>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</si>
  <si>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</si>
  <si>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</si>
  <si>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</si>
  <si>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</si>
  <si>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</si>
  <si>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</si>
  <si>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</si>
  <si>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</si>
  <si>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</si>
  <si>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</si>
  <si>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</si>
  <si>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</si>
  <si>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</si>
  <si>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</si>
  <si>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</si>
  <si>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</si>
  <si>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</si>
  <si>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</si>
  <si>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</si>
  <si>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</si>
  <si>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</si>
  <si>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</si>
  <si>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</si>
  <si>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</si>
  <si>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</si>
  <si>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</si>
  <si>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</si>
  <si>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</si>
  <si>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</si>
  <si>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</si>
  <si>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</si>
  <si>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</si>
  <si>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</si>
  <si>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</si>
  <si>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</si>
  <si>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</si>
  <si>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</si>
  <si>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</si>
  <si>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</si>
  <si>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</si>
  <si>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</si>
  <si>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</si>
  <si>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</si>
  <si>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</si>
  <si>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</si>
  <si>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</si>
  <si>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</si>
  <si>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</si>
  <si>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</si>
  <si>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</si>
  <si>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</si>
  <si>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</si>
  <si>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</si>
  <si>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</si>
  <si>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</si>
  <si>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</si>
  <si>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</si>
  <si>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</si>
  <si>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</si>
  <si>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</si>
  <si>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</si>
  <si>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</si>
  <si>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</si>
  <si>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</si>
  <si>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</si>
  <si>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</si>
  <si>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</si>
  <si>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</si>
  <si>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</si>
  <si>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</si>
  <si>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</si>
  <si>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</si>
  <si>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</si>
  <si>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</si>
  <si>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</si>
  <si>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</si>
  <si>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</si>
  <si>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</si>
  <si>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</si>
  <si>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</si>
  <si>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</si>
  <si>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</si>
  <si>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</si>
  <si>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</si>
  <si>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</si>
  <si>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</si>
  <si>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</si>
  <si>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</si>
  <si>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</si>
  <si>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</si>
  <si>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</si>
  <si>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</si>
  <si>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</si>
  <si>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</si>
  <si>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</si>
  <si>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</si>
  <si>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</si>
  <si>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</si>
  <si>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</si>
  <si>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</si>
  <si>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</si>
  <si>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</si>
  <si>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</si>
  <si>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</si>
  <si>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</si>
  <si>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</si>
  <si>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</si>
  <si>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</si>
  <si>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</si>
  <si>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</si>
  <si>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</si>
  <si>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</si>
  <si>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</si>
  <si>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</si>
  <si>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</si>
  <si>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</si>
  <si>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</si>
  <si>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</si>
  <si>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</si>
  <si>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</si>
  <si>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</si>
  <si>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</si>
  <si>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</si>
  <si>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</si>
  <si>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</si>
  <si>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</si>
  <si>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</si>
  <si>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</si>
  <si>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</si>
  <si>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</si>
  <si>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</si>
  <si>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</si>
  <si>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</si>
  <si>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</si>
  <si>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</si>
  <si>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</si>
  <si>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</si>
  <si>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</si>
  <si>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</si>
  <si>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</si>
  <si>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</si>
  <si>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</si>
  <si>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</si>
  <si>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</si>
  <si>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</si>
  <si>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</si>
  <si>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</si>
  <si>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</si>
  <si>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</si>
  <si>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</si>
  <si>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</si>
  <si>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</si>
  <si>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</si>
  <si>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</si>
  <si>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</si>
  <si>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</si>
  <si>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</si>
  <si>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</si>
  <si>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</si>
  <si>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</si>
  <si>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</si>
  <si>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</si>
  <si>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</si>
  <si>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</si>
  <si>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</si>
  <si>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</si>
  <si>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</si>
  <si>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</si>
  <si>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</si>
  <si>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</si>
  <si>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</si>
  <si>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</si>
  <si>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</si>
  <si>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</si>
  <si>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</si>
  <si>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</si>
  <si>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</si>
  <si>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</si>
  <si>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</si>
  <si>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</si>
  <si>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</si>
  <si>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</si>
  <si>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</si>
  <si>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</si>
  <si>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</si>
  <si>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</si>
  <si>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</si>
  <si>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</si>
  <si>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</si>
  <si>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</si>
  <si>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</si>
  <si>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</si>
  <si>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</si>
  <si>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</si>
  <si>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02/07/2023</t>
  </si>
  <si>
    <t>04/07/2023</t>
  </si>
  <si>
    <t>Nghiêm Văn Đồng</t>
  </si>
  <si>
    <t>24/09/1986</t>
  </si>
  <si>
    <t>019086007536</t>
  </si>
  <si>
    <t>Đỗ Thu Thảo</t>
  </si>
  <si>
    <t>16/10/1993</t>
  </si>
  <si>
    <t>026193658282</t>
  </si>
  <si>
    <t>Đại Đình</t>
  </si>
  <si>
    <t>Đào Thảo Trang</t>
  </si>
  <si>
    <t>11/02/1991</t>
  </si>
  <si>
    <t>026191879156</t>
  </si>
  <si>
    <t>Phan Phương Thảo</t>
  </si>
  <si>
    <t>20/06/1987</t>
  </si>
  <si>
    <t>026187800807</t>
  </si>
  <si>
    <t>Võ Minh Dũng</t>
  </si>
  <si>
    <t>09/05/1992</t>
  </si>
  <si>
    <t>026092708578</t>
  </si>
  <si>
    <t>Vũ Long Tuấn</t>
  </si>
  <si>
    <t>21/01/1988</t>
  </si>
  <si>
    <t>026088679522</t>
  </si>
  <si>
    <t>Huỳnh Ngọc Cẩm</t>
  </si>
  <si>
    <t>20/02/1994</t>
  </si>
  <si>
    <t>026194307105</t>
  </si>
  <si>
    <t>Mai Thảo Nhi</t>
  </si>
  <si>
    <t>21/10/1993</t>
  </si>
  <si>
    <t>026193216717</t>
  </si>
  <si>
    <t>Trương Sơn Thủy</t>
  </si>
  <si>
    <t>17/12/1998</t>
  </si>
  <si>
    <t>026098921900</t>
  </si>
  <si>
    <t>Huỳnh Phương Hạnh</t>
  </si>
  <si>
    <t>27/05/1994</t>
  </si>
  <si>
    <t>026194435475</t>
  </si>
  <si>
    <t>Trịnh Hạnh Bích</t>
  </si>
  <si>
    <t>14/10/1982</t>
  </si>
  <si>
    <t>026182495525</t>
  </si>
  <si>
    <t>Đoàn Ngọc Anh</t>
  </si>
  <si>
    <t>15/06/1999</t>
  </si>
  <si>
    <t>026199918242</t>
  </si>
  <si>
    <t>Thái Thảo Lan</t>
  </si>
  <si>
    <t>20/08/1999</t>
  </si>
  <si>
    <t>026199427459</t>
  </si>
  <si>
    <t>Trịnh Nhật Thành</t>
  </si>
  <si>
    <t>11/11/1994</t>
  </si>
  <si>
    <t>026094268729</t>
  </si>
  <si>
    <t>Dương Thu Yến</t>
  </si>
  <si>
    <t>28/08/1992</t>
  </si>
  <si>
    <t>026192324823</t>
  </si>
  <si>
    <t>Mai Tuấn Linh</t>
  </si>
  <si>
    <t>026092882540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</si>
</sst>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O1" workbookViewId="0">
      <selection activeCell="P3" sqref="P3:P18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1" t="s">
        <v>18</v>
      </c>
      <c r="F2" s="21"/>
      <c r="G2" s="21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22048</v>
      </c>
      <c r="C3" s="16" t="s">
        <v>22049</v>
      </c>
      <c r="D3" s="16" t="s">
        <v>38</v>
      </c>
      <c r="E3" s="16" t="s">
        <v>22050</v>
      </c>
      <c r="I3" s="16" t="s">
        <v>369</v>
      </c>
      <c r="J3" s="17" t="s">
        <v>22054</v>
      </c>
      <c r="K3" s="16" t="s">
        <v>743</v>
      </c>
      <c r="L3" s="16" t="s">
        <v>1826</v>
      </c>
      <c r="M3" s="16" t="s">
        <v>1917</v>
      </c>
      <c r="N3" s="16" t="s">
        <v>1961</v>
      </c>
      <c r="O3" s="16" t="s">
        <v>11903</v>
      </c>
      <c r="P3" s="20" t="s">
        <v>11930</v>
      </c>
      <c r="Q3" s="17" t="s">
        <v>22054</v>
      </c>
      <c r="R3" s="16" t="s">
        <v>13</v>
      </c>
      <c r="S3" s="20" t="s">
        <v>22046</v>
      </c>
      <c r="T3" s="20" t="s">
        <v>22047</v>
      </c>
      <c r="U3" s="16" t="s">
        <v>22044</v>
      </c>
      <c r="V3">
        <v>504</v>
      </c>
    </row>
    <row r="4" spans="1:23" x14ac:dyDescent="0.3">
      <c r="A4" s="15">
        <v>2</v>
      </c>
      <c r="B4" s="16" t="s">
        <v>22051</v>
      </c>
      <c r="C4" s="16" t="s">
        <v>22052</v>
      </c>
      <c r="D4" s="16" t="s">
        <v>22043</v>
      </c>
      <c r="E4" s="16" t="s">
        <v>22053</v>
      </c>
      <c r="I4" s="16" t="s">
        <v>369</v>
      </c>
      <c r="J4" s="17" t="s">
        <v>22054</v>
      </c>
      <c r="K4" s="16" t="s">
        <v>743</v>
      </c>
      <c r="L4" s="16" t="s">
        <v>1826</v>
      </c>
      <c r="M4" s="16" t="s">
        <v>1917</v>
      </c>
      <c r="N4" s="16" t="s">
        <v>1961</v>
      </c>
      <c r="O4" s="16" t="s">
        <v>11903</v>
      </c>
      <c r="P4" s="20" t="s">
        <v>11930</v>
      </c>
      <c r="Q4" s="17" t="s">
        <v>22054</v>
      </c>
      <c r="R4" s="16" t="s">
        <v>13</v>
      </c>
      <c r="S4" s="20" t="s">
        <v>22046</v>
      </c>
      <c r="T4" s="20" t="s">
        <v>22047</v>
      </c>
      <c r="U4" s="17" t="s">
        <v>22044</v>
      </c>
      <c r="V4">
        <v>504</v>
      </c>
    </row>
    <row r="5" spans="1:23" x14ac:dyDescent="0.3">
      <c r="A5" s="15">
        <v>3</v>
      </c>
      <c r="B5" s="16" t="s">
        <v>22055</v>
      </c>
      <c r="C5" s="16" t="s">
        <v>22056</v>
      </c>
      <c r="D5" s="16" t="s">
        <v>22043</v>
      </c>
      <c r="E5" s="16" t="s">
        <v>22057</v>
      </c>
      <c r="I5" s="16" t="s">
        <v>369</v>
      </c>
      <c r="J5" s="17" t="s">
        <v>22054</v>
      </c>
      <c r="K5" s="16" t="s">
        <v>743</v>
      </c>
      <c r="L5" s="16" t="s">
        <v>1826</v>
      </c>
      <c r="M5" s="16" t="s">
        <v>1917</v>
      </c>
      <c r="N5" s="16" t="s">
        <v>1961</v>
      </c>
      <c r="O5" s="16" t="s">
        <v>11903</v>
      </c>
      <c r="P5" s="20" t="s">
        <v>11930</v>
      </c>
      <c r="Q5" s="17" t="s">
        <v>22054</v>
      </c>
      <c r="R5" s="16" t="s">
        <v>13</v>
      </c>
      <c r="S5" s="20" t="s">
        <v>22046</v>
      </c>
      <c r="T5" s="20" t="s">
        <v>22047</v>
      </c>
      <c r="U5" s="17" t="s">
        <v>22044</v>
      </c>
      <c r="V5">
        <v>504</v>
      </c>
    </row>
    <row r="6" spans="1:23" x14ac:dyDescent="0.3">
      <c r="A6" s="15">
        <v>4</v>
      </c>
      <c r="B6" s="16" t="s">
        <v>22058</v>
      </c>
      <c r="C6" s="16" t="s">
        <v>22059</v>
      </c>
      <c r="D6" s="16" t="s">
        <v>22043</v>
      </c>
      <c r="E6" s="16" t="s">
        <v>22060</v>
      </c>
      <c r="I6" s="16" t="s">
        <v>369</v>
      </c>
      <c r="J6" s="17" t="s">
        <v>22054</v>
      </c>
      <c r="K6" s="16" t="s">
        <v>743</v>
      </c>
      <c r="L6" s="16" t="s">
        <v>1826</v>
      </c>
      <c r="M6" s="16" t="s">
        <v>1917</v>
      </c>
      <c r="N6" s="16" t="s">
        <v>1961</v>
      </c>
      <c r="O6" s="16" t="s">
        <v>11903</v>
      </c>
      <c r="P6" s="20" t="s">
        <v>11930</v>
      </c>
      <c r="Q6" s="17" t="s">
        <v>22054</v>
      </c>
      <c r="R6" s="16" t="s">
        <v>13</v>
      </c>
      <c r="S6" s="20" t="s">
        <v>22046</v>
      </c>
      <c r="T6" s="20" t="s">
        <v>22047</v>
      </c>
      <c r="U6" s="17" t="s">
        <v>22044</v>
      </c>
      <c r="V6">
        <v>504</v>
      </c>
    </row>
    <row r="7" spans="1:23" x14ac:dyDescent="0.3">
      <c r="A7" s="15">
        <v>5</v>
      </c>
      <c r="B7" s="16" t="s">
        <v>22061</v>
      </c>
      <c r="C7" s="16" t="s">
        <v>22062</v>
      </c>
      <c r="D7" s="16" t="s">
        <v>22045</v>
      </c>
      <c r="E7" s="16" t="s">
        <v>22063</v>
      </c>
      <c r="I7" s="16" t="s">
        <v>369</v>
      </c>
      <c r="J7" s="17" t="s">
        <v>22054</v>
      </c>
      <c r="K7" s="16" t="s">
        <v>743</v>
      </c>
      <c r="L7" s="16" t="s">
        <v>1826</v>
      </c>
      <c r="M7" s="16" t="s">
        <v>1917</v>
      </c>
      <c r="N7" s="16" t="s">
        <v>1961</v>
      </c>
      <c r="O7" s="16" t="s">
        <v>11903</v>
      </c>
      <c r="P7" s="20" t="s">
        <v>11930</v>
      </c>
      <c r="Q7" s="17" t="s">
        <v>22054</v>
      </c>
      <c r="R7" s="16" t="s">
        <v>13</v>
      </c>
      <c r="S7" s="20" t="s">
        <v>22046</v>
      </c>
      <c r="T7" s="20" t="s">
        <v>22047</v>
      </c>
      <c r="U7" s="17" t="s">
        <v>22044</v>
      </c>
      <c r="V7">
        <v>505</v>
      </c>
    </row>
    <row r="8" spans="1:23" x14ac:dyDescent="0.3">
      <c r="A8" s="15">
        <v>6</v>
      </c>
      <c r="B8" s="16" t="s">
        <v>22064</v>
      </c>
      <c r="C8" s="16" t="s">
        <v>22065</v>
      </c>
      <c r="D8" s="16" t="s">
        <v>22045</v>
      </c>
      <c r="E8" s="16" t="s">
        <v>22066</v>
      </c>
      <c r="I8" s="16" t="s">
        <v>369</v>
      </c>
      <c r="J8" s="17" t="s">
        <v>22054</v>
      </c>
      <c r="K8" s="16" t="s">
        <v>743</v>
      </c>
      <c r="L8" s="16" t="s">
        <v>1826</v>
      </c>
      <c r="M8" s="16" t="s">
        <v>1917</v>
      </c>
      <c r="N8" s="16" t="s">
        <v>1961</v>
      </c>
      <c r="O8" s="16" t="s">
        <v>11903</v>
      </c>
      <c r="P8" s="20" t="s">
        <v>11930</v>
      </c>
      <c r="Q8" s="17" t="s">
        <v>22054</v>
      </c>
      <c r="R8" s="16" t="s">
        <v>13</v>
      </c>
      <c r="S8" s="20" t="s">
        <v>22046</v>
      </c>
      <c r="T8" s="20" t="s">
        <v>22047</v>
      </c>
      <c r="U8" s="17" t="s">
        <v>22044</v>
      </c>
      <c r="V8">
        <v>505</v>
      </c>
    </row>
    <row r="9" spans="1:23" x14ac:dyDescent="0.3">
      <c r="A9" s="15">
        <v>7</v>
      </c>
      <c r="B9" s="16" t="s">
        <v>22067</v>
      </c>
      <c r="C9" s="16" t="s">
        <v>22068</v>
      </c>
      <c r="D9" s="16" t="s">
        <v>22043</v>
      </c>
      <c r="E9" s="16" t="s">
        <v>22069</v>
      </c>
      <c r="I9" s="16" t="s">
        <v>369</v>
      </c>
      <c r="J9" s="17" t="s">
        <v>22054</v>
      </c>
      <c r="K9" s="16" t="s">
        <v>743</v>
      </c>
      <c r="L9" s="16" t="s">
        <v>1826</v>
      </c>
      <c r="M9" s="16" t="s">
        <v>1917</v>
      </c>
      <c r="N9" s="16" t="s">
        <v>1961</v>
      </c>
      <c r="O9" s="16" t="s">
        <v>11903</v>
      </c>
      <c r="P9" s="20" t="s">
        <v>11930</v>
      </c>
      <c r="Q9" s="17" t="s">
        <v>22054</v>
      </c>
      <c r="R9" s="16" t="s">
        <v>13</v>
      </c>
      <c r="S9" s="20" t="s">
        <v>22046</v>
      </c>
      <c r="T9" s="20" t="s">
        <v>22047</v>
      </c>
      <c r="U9" s="17" t="s">
        <v>22044</v>
      </c>
      <c r="V9">
        <v>505</v>
      </c>
    </row>
    <row r="10" spans="1:23" x14ac:dyDescent="0.3">
      <c r="A10" s="15">
        <v>8</v>
      </c>
      <c r="B10" s="16" t="s">
        <v>22070</v>
      </c>
      <c r="C10" s="16" t="s">
        <v>22071</v>
      </c>
      <c r="D10" s="16" t="s">
        <v>22043</v>
      </c>
      <c r="E10" s="16" t="s">
        <v>22072</v>
      </c>
      <c r="I10" s="16" t="s">
        <v>369</v>
      </c>
      <c r="J10" s="17" t="s">
        <v>22054</v>
      </c>
      <c r="K10" s="16" t="s">
        <v>743</v>
      </c>
      <c r="L10" s="16" t="s">
        <v>1826</v>
      </c>
      <c r="M10" s="16" t="s">
        <v>1917</v>
      </c>
      <c r="N10" s="16" t="s">
        <v>1961</v>
      </c>
      <c r="O10" s="16" t="s">
        <v>11903</v>
      </c>
      <c r="P10" s="20" t="s">
        <v>11930</v>
      </c>
      <c r="Q10" s="17" t="s">
        <v>22054</v>
      </c>
      <c r="R10" s="16" t="s">
        <v>13</v>
      </c>
      <c r="S10" s="20" t="s">
        <v>22046</v>
      </c>
      <c r="T10" s="20" t="s">
        <v>22047</v>
      </c>
      <c r="U10" s="17" t="s">
        <v>22044</v>
      </c>
      <c r="V10">
        <v>505</v>
      </c>
    </row>
    <row r="11" spans="1:23" x14ac:dyDescent="0.3">
      <c r="A11" s="15">
        <v>9</v>
      </c>
      <c r="B11" s="16" t="s">
        <v>22073</v>
      </c>
      <c r="C11" s="16" t="s">
        <v>22074</v>
      </c>
      <c r="D11" s="16" t="s">
        <v>22045</v>
      </c>
      <c r="E11" s="16" t="s">
        <v>22075</v>
      </c>
      <c r="I11" s="16" t="s">
        <v>369</v>
      </c>
      <c r="J11" s="17" t="s">
        <v>22054</v>
      </c>
      <c r="K11" s="16" t="s">
        <v>743</v>
      </c>
      <c r="L11" s="16" t="s">
        <v>1826</v>
      </c>
      <c r="M11" s="16" t="s">
        <v>1917</v>
      </c>
      <c r="N11" s="16" t="s">
        <v>1961</v>
      </c>
      <c r="O11" s="16" t="s">
        <v>11903</v>
      </c>
      <c r="P11" s="20" t="s">
        <v>11930</v>
      </c>
      <c r="Q11" s="17" t="s">
        <v>22054</v>
      </c>
      <c r="R11" s="16" t="s">
        <v>13</v>
      </c>
      <c r="S11" s="20" t="s">
        <v>22046</v>
      </c>
      <c r="T11" s="20" t="s">
        <v>22047</v>
      </c>
      <c r="U11" s="17" t="s">
        <v>22044</v>
      </c>
      <c r="V11">
        <v>506</v>
      </c>
    </row>
    <row r="12" spans="1:23" x14ac:dyDescent="0.3">
      <c r="A12" s="15">
        <v>10</v>
      </c>
      <c r="B12" s="16" t="s">
        <v>22076</v>
      </c>
      <c r="C12" s="16" t="s">
        <v>22077</v>
      </c>
      <c r="D12" s="16" t="s">
        <v>22043</v>
      </c>
      <c r="E12" s="16" t="s">
        <v>22078</v>
      </c>
      <c r="I12" s="16" t="s">
        <v>369</v>
      </c>
      <c r="J12" s="17" t="s">
        <v>22054</v>
      </c>
      <c r="K12" s="16" t="s">
        <v>743</v>
      </c>
      <c r="L12" s="16" t="s">
        <v>1826</v>
      </c>
      <c r="M12" s="16" t="s">
        <v>1917</v>
      </c>
      <c r="N12" s="16" t="s">
        <v>1961</v>
      </c>
      <c r="O12" s="16" t="s">
        <v>11903</v>
      </c>
      <c r="P12" s="20" t="s">
        <v>11930</v>
      </c>
      <c r="Q12" s="17" t="s">
        <v>22054</v>
      </c>
      <c r="R12" s="16" t="s">
        <v>13</v>
      </c>
      <c r="S12" s="20" t="s">
        <v>22046</v>
      </c>
      <c r="T12" s="20" t="s">
        <v>22047</v>
      </c>
      <c r="U12" s="17" t="s">
        <v>22044</v>
      </c>
      <c r="V12">
        <v>506</v>
      </c>
    </row>
    <row r="13" spans="1:23" x14ac:dyDescent="0.3">
      <c r="A13" s="15">
        <v>11</v>
      </c>
      <c r="B13" s="16" t="s">
        <v>22079</v>
      </c>
      <c r="C13" s="16" t="s">
        <v>22080</v>
      </c>
      <c r="D13" s="16" t="s">
        <v>22043</v>
      </c>
      <c r="E13" s="16" t="s">
        <v>22081</v>
      </c>
      <c r="I13" s="16" t="s">
        <v>369</v>
      </c>
      <c r="J13" s="17" t="s">
        <v>22054</v>
      </c>
      <c r="K13" s="16" t="s">
        <v>743</v>
      </c>
      <c r="L13" s="16" t="s">
        <v>1826</v>
      </c>
      <c r="M13" s="16" t="s">
        <v>1917</v>
      </c>
      <c r="N13" s="16" t="s">
        <v>1961</v>
      </c>
      <c r="O13" s="16" t="s">
        <v>11903</v>
      </c>
      <c r="P13" s="20" t="s">
        <v>11930</v>
      </c>
      <c r="Q13" s="17" t="s">
        <v>22054</v>
      </c>
      <c r="R13" s="16" t="s">
        <v>13</v>
      </c>
      <c r="S13" s="20" t="s">
        <v>22046</v>
      </c>
      <c r="T13" s="20" t="s">
        <v>22047</v>
      </c>
      <c r="U13" s="17" t="s">
        <v>22044</v>
      </c>
      <c r="V13">
        <v>506</v>
      </c>
    </row>
    <row r="14" spans="1:23" x14ac:dyDescent="0.3">
      <c r="A14" s="15">
        <v>12</v>
      </c>
      <c r="B14" s="16" t="s">
        <v>22082</v>
      </c>
      <c r="C14" s="16" t="s">
        <v>22083</v>
      </c>
      <c r="D14" s="16" t="s">
        <v>22043</v>
      </c>
      <c r="E14" s="16" t="s">
        <v>22084</v>
      </c>
      <c r="I14" s="16" t="s">
        <v>369</v>
      </c>
      <c r="J14" s="17" t="s">
        <v>22054</v>
      </c>
      <c r="K14" s="16" t="s">
        <v>743</v>
      </c>
      <c r="L14" s="16" t="s">
        <v>1826</v>
      </c>
      <c r="M14" s="16" t="s">
        <v>1917</v>
      </c>
      <c r="N14" s="16" t="s">
        <v>1961</v>
      </c>
      <c r="O14" s="16" t="s">
        <v>11903</v>
      </c>
      <c r="P14" s="20" t="s">
        <v>11930</v>
      </c>
      <c r="Q14" s="17" t="s">
        <v>22054</v>
      </c>
      <c r="R14" s="16" t="s">
        <v>13</v>
      </c>
      <c r="S14" s="20" t="s">
        <v>22046</v>
      </c>
      <c r="T14" s="20" t="s">
        <v>22047</v>
      </c>
      <c r="U14" s="17" t="s">
        <v>22044</v>
      </c>
      <c r="V14">
        <v>506</v>
      </c>
    </row>
    <row r="15" spans="1:23" x14ac:dyDescent="0.3">
      <c r="A15" s="15">
        <v>13</v>
      </c>
      <c r="B15" s="16" t="s">
        <v>22085</v>
      </c>
      <c r="C15" s="16" t="s">
        <v>22086</v>
      </c>
      <c r="D15" s="16" t="s">
        <v>22043</v>
      </c>
      <c r="E15" s="16" t="s">
        <v>22087</v>
      </c>
      <c r="I15" s="16" t="s">
        <v>369</v>
      </c>
      <c r="J15" s="17" t="s">
        <v>22054</v>
      </c>
      <c r="K15" s="16" t="s">
        <v>743</v>
      </c>
      <c r="L15" s="16" t="s">
        <v>1826</v>
      </c>
      <c r="M15" s="16" t="s">
        <v>1917</v>
      </c>
      <c r="N15" s="16" t="s">
        <v>1961</v>
      </c>
      <c r="O15" s="16" t="s">
        <v>11903</v>
      </c>
      <c r="P15" s="20" t="s">
        <v>11930</v>
      </c>
      <c r="Q15" s="17" t="s">
        <v>22054</v>
      </c>
      <c r="R15" s="16" t="s">
        <v>13</v>
      </c>
      <c r="S15" s="20" t="s">
        <v>22046</v>
      </c>
      <c r="T15" s="20" t="s">
        <v>22047</v>
      </c>
      <c r="U15" s="17" t="s">
        <v>22044</v>
      </c>
      <c r="V15">
        <v>507</v>
      </c>
    </row>
    <row r="16" spans="1:23" x14ac:dyDescent="0.3">
      <c r="A16" s="15">
        <v>14</v>
      </c>
      <c r="B16" s="16" t="s">
        <v>22088</v>
      </c>
      <c r="C16" s="16" t="s">
        <v>22089</v>
      </c>
      <c r="D16" s="16" t="s">
        <v>22045</v>
      </c>
      <c r="E16" s="16" t="s">
        <v>22090</v>
      </c>
      <c r="I16" s="16" t="s">
        <v>369</v>
      </c>
      <c r="J16" s="16" t="s">
        <v>22054</v>
      </c>
      <c r="K16" s="16" t="s">
        <v>743</v>
      </c>
      <c r="L16" s="16" t="s">
        <v>1826</v>
      </c>
      <c r="M16" s="16" t="s">
        <v>1917</v>
      </c>
      <c r="N16" s="16" t="s">
        <v>1961</v>
      </c>
      <c r="O16" s="16" t="s">
        <v>11903</v>
      </c>
      <c r="P16" s="20" t="s">
        <v>11930</v>
      </c>
      <c r="Q16" s="16" t="s">
        <v>22054</v>
      </c>
      <c r="R16" s="16" t="s">
        <v>13</v>
      </c>
      <c r="S16" s="20" t="s">
        <v>22046</v>
      </c>
      <c r="T16" s="20" t="s">
        <v>22047</v>
      </c>
      <c r="U16" s="16" t="s">
        <v>22044</v>
      </c>
      <c r="V16">
        <v>507</v>
      </c>
    </row>
    <row r="17" spans="1:22" x14ac:dyDescent="0.3">
      <c r="A17" s="15">
        <v>15</v>
      </c>
      <c r="B17" s="16" t="s">
        <v>22091</v>
      </c>
      <c r="C17" s="16" t="s">
        <v>22092</v>
      </c>
      <c r="D17" s="16" t="s">
        <v>22043</v>
      </c>
      <c r="E17" s="16" t="s">
        <v>22093</v>
      </c>
      <c r="I17" s="16" t="s">
        <v>369</v>
      </c>
      <c r="J17" s="16" t="s">
        <v>22054</v>
      </c>
      <c r="K17" s="16" t="s">
        <v>743</v>
      </c>
      <c r="L17" s="16" t="s">
        <v>1826</v>
      </c>
      <c r="M17" s="16" t="s">
        <v>1917</v>
      </c>
      <c r="N17" s="16" t="s">
        <v>1961</v>
      </c>
      <c r="O17" s="16" t="s">
        <v>11903</v>
      </c>
      <c r="P17" s="20" t="s">
        <v>11930</v>
      </c>
      <c r="Q17" s="16" t="s">
        <v>22054</v>
      </c>
      <c r="R17" s="16" t="s">
        <v>13</v>
      </c>
      <c r="S17" s="20" t="s">
        <v>22046</v>
      </c>
      <c r="T17" s="20" t="s">
        <v>22047</v>
      </c>
      <c r="U17" s="16" t="s">
        <v>22044</v>
      </c>
      <c r="V17">
        <v>507</v>
      </c>
    </row>
    <row r="18" spans="1:22" x14ac:dyDescent="0.3">
      <c r="A18" s="15">
        <v>16</v>
      </c>
      <c r="B18" s="16" t="s">
        <v>22094</v>
      </c>
      <c r="C18" s="16" t="s">
        <v>22092</v>
      </c>
      <c r="D18" s="16" t="s">
        <v>22045</v>
      </c>
      <c r="E18" s="16" t="s">
        <v>22095</v>
      </c>
      <c r="I18" s="16" t="s">
        <v>369</v>
      </c>
      <c r="J18" s="16" t="s">
        <v>22054</v>
      </c>
      <c r="K18" s="16" t="s">
        <v>743</v>
      </c>
      <c r="L18" s="16" t="s">
        <v>1826</v>
      </c>
      <c r="M18" s="16" t="s">
        <v>1917</v>
      </c>
      <c r="N18" s="16" t="s">
        <v>1961</v>
      </c>
      <c r="O18" s="16" t="s">
        <v>11903</v>
      </c>
      <c r="P18" s="20" t="s">
        <v>11930</v>
      </c>
      <c r="Q18" s="16" t="s">
        <v>22054</v>
      </c>
      <c r="R18" s="16" t="s">
        <v>13</v>
      </c>
      <c r="S18" s="20" t="s">
        <v>22046</v>
      </c>
      <c r="T18" s="20" t="s">
        <v>22047</v>
      </c>
      <c r="U18" s="16" t="s">
        <v>22044</v>
      </c>
      <c r="V18">
        <v>507</v>
      </c>
    </row>
    <row r="19" spans="1:22" x14ac:dyDescent="0.3">
      <c r="A19" s="15">
        <v>17</v>
      </c>
      <c r="J19" s="16"/>
      <c r="Q19" s="16"/>
      <c r="S19" s="20"/>
      <c r="T19" s="20"/>
      <c r="U19" s="16"/>
    </row>
    <row r="20" spans="1:22" x14ac:dyDescent="0.3">
      <c r="A20" s="15">
        <v>18</v>
      </c>
      <c r="J20" s="16"/>
      <c r="Q20" s="16"/>
      <c r="S20" s="20"/>
      <c r="T20" s="20"/>
      <c r="U20" s="16"/>
    </row>
    <row r="21" spans="1:22" x14ac:dyDescent="0.3">
      <c r="A21" s="15">
        <v>19</v>
      </c>
      <c r="J21" s="16"/>
      <c r="Q21" s="16"/>
      <c r="S21" s="20"/>
      <c r="T21" s="20"/>
      <c r="U21" s="16"/>
    </row>
    <row r="22" spans="1:22" x14ac:dyDescent="0.3">
      <c r="A22" s="15">
        <v>20</v>
      </c>
      <c r="J22" s="16"/>
      <c r="Q22" s="16"/>
      <c r="S22" s="20"/>
      <c r="T22" s="20"/>
      <c r="U22" s="16"/>
    </row>
    <row r="23" spans="1:22" x14ac:dyDescent="0.3">
      <c r="A23" s="15">
        <v>21</v>
      </c>
      <c r="J23" s="16"/>
      <c r="Q23" s="16"/>
      <c r="S23" s="20"/>
      <c r="T23" s="20"/>
      <c r="U23" s="16"/>
    </row>
    <row r="24" spans="1:22" x14ac:dyDescent="0.3">
      <c r="A24" s="15">
        <v>22</v>
      </c>
      <c r="J24" s="16"/>
      <c r="Q24" s="16"/>
      <c r="S24" s="20"/>
      <c r="T24" s="20"/>
      <c r="U24" s="16"/>
    </row>
    <row r="25" spans="1:22" x14ac:dyDescent="0.3">
      <c r="A25" s="15">
        <v>23</v>
      </c>
      <c r="J25" s="16"/>
      <c r="Q25" s="16"/>
      <c r="S25" s="20"/>
      <c r="T25" s="20"/>
      <c r="U25" s="16"/>
    </row>
    <row r="26" spans="1:22" x14ac:dyDescent="0.3">
      <c r="A26" s="15">
        <v>24</v>
      </c>
      <c r="J26" s="16"/>
      <c r="Q26" s="16"/>
      <c r="S26" s="20"/>
      <c r="T26" s="20"/>
      <c r="U26" s="16"/>
    </row>
    <row r="27" spans="1:22" x14ac:dyDescent="0.3">
      <c r="A27" s="15">
        <v>25</v>
      </c>
      <c r="J27" s="16"/>
      <c r="Q27" s="16"/>
      <c r="S27" s="20"/>
      <c r="T27" s="20"/>
      <c r="U27" s="16"/>
    </row>
    <row r="28" spans="1:22" x14ac:dyDescent="0.3">
      <c r="A28" s="15">
        <v>26</v>
      </c>
      <c r="J28" s="16"/>
      <c r="Q28" s="16"/>
      <c r="S28" s="20"/>
      <c r="T28" s="20"/>
      <c r="U28" s="16"/>
    </row>
    <row r="29" spans="1:22" x14ac:dyDescent="0.3">
      <c r="A29" s="15">
        <v>27</v>
      </c>
      <c r="J29" s="16"/>
      <c r="Q29" s="16"/>
      <c r="S29" s="20"/>
      <c r="T29" s="20"/>
      <c r="U29" s="16"/>
    </row>
    <row r="30" spans="1:22" x14ac:dyDescent="0.3">
      <c r="A30" s="15">
        <v>28</v>
      </c>
      <c r="J30" s="16"/>
      <c r="Q30" s="16"/>
      <c r="S30" s="20"/>
      <c r="T30" s="20"/>
      <c r="U30" s="16"/>
    </row>
    <row r="31" spans="1:22" x14ac:dyDescent="0.3">
      <c r="A31" s="15">
        <v>29</v>
      </c>
      <c r="J31" s="16"/>
      <c r="Q31" s="16"/>
      <c r="S31" s="20"/>
      <c r="T31" s="20"/>
      <c r="U31" s="16"/>
    </row>
    <row r="32" spans="1:22" x14ac:dyDescent="0.3">
      <c r="A32" s="15">
        <v>30</v>
      </c>
      <c r="J32" s="16"/>
      <c r="Q32" s="16"/>
      <c r="S32" s="20"/>
      <c r="T32" s="20"/>
      <c r="U32" s="16"/>
    </row>
    <row r="33" spans="1:21" x14ac:dyDescent="0.3">
      <c r="A33" s="15">
        <v>31</v>
      </c>
      <c r="J33" s="16"/>
      <c r="Q33" s="16"/>
      <c r="S33" s="20"/>
      <c r="T33" s="20"/>
      <c r="U33" s="16"/>
    </row>
    <row r="34" spans="1:21" x14ac:dyDescent="0.3">
      <c r="A34" s="15">
        <v>32</v>
      </c>
      <c r="J34" s="16"/>
      <c r="Q34" s="16"/>
      <c r="S34" s="20"/>
      <c r="T34" s="20"/>
      <c r="U34" s="16"/>
    </row>
    <row r="35" spans="1:21" x14ac:dyDescent="0.3">
      <c r="A35" s="15">
        <v>33</v>
      </c>
      <c r="J35" s="16"/>
      <c r="Q35" s="16"/>
      <c r="S35" s="20"/>
      <c r="T35" s="20"/>
      <c r="U35" s="16"/>
    </row>
    <row r="36" spans="1:21" x14ac:dyDescent="0.3">
      <c r="A36" s="15">
        <v>34</v>
      </c>
      <c r="J36" s="16"/>
      <c r="Q36" s="16"/>
      <c r="S36" s="20"/>
      <c r="T36" s="20"/>
      <c r="U36" s="16"/>
    </row>
    <row r="37" spans="1:21" x14ac:dyDescent="0.3">
      <c r="A37" s="15">
        <v>35</v>
      </c>
      <c r="J37" s="16"/>
      <c r="Q37" s="16"/>
      <c r="S37" s="20"/>
      <c r="T37" s="20"/>
      <c r="U37" s="16"/>
    </row>
    <row r="38" spans="1:21" x14ac:dyDescent="0.3">
      <c r="A38" s="15">
        <v>36</v>
      </c>
      <c r="J38" s="16"/>
      <c r="Q38" s="16"/>
      <c r="S38" s="20"/>
      <c r="T38" s="20"/>
      <c r="U38" s="16"/>
    </row>
    <row r="39" spans="1:21" x14ac:dyDescent="0.3">
      <c r="A39" s="15">
        <v>37</v>
      </c>
      <c r="J39" s="16"/>
      <c r="Q39" s="16"/>
      <c r="S39" s="20"/>
      <c r="T39" s="20"/>
      <c r="U39" s="16"/>
    </row>
    <row r="40" spans="1:21" x14ac:dyDescent="0.3">
      <c r="A40" s="15">
        <v>38</v>
      </c>
      <c r="J40" s="16"/>
      <c r="Q40" s="16"/>
      <c r="S40" s="20"/>
      <c r="T40" s="20"/>
      <c r="U40" s="16"/>
    </row>
    <row r="41" spans="1:21" x14ac:dyDescent="0.3">
      <c r="A41" s="15">
        <v>39</v>
      </c>
      <c r="J41" s="16"/>
      <c r="Q41" s="16"/>
      <c r="S41" s="20"/>
      <c r="T41" s="20"/>
      <c r="U41" s="16"/>
    </row>
    <row r="42" spans="1:21" x14ac:dyDescent="0.3">
      <c r="A42" s="15">
        <v>40</v>
      </c>
      <c r="J42" s="16"/>
      <c r="Q42" s="16"/>
      <c r="S42" s="20"/>
      <c r="T42" s="20"/>
      <c r="U42" s="16"/>
    </row>
    <row r="43" spans="1:21" x14ac:dyDescent="0.3">
      <c r="A43" s="15">
        <v>41</v>
      </c>
      <c r="J43" s="16"/>
      <c r="Q43" s="16"/>
      <c r="S43" s="20"/>
      <c r="T43" s="20"/>
      <c r="U43" s="16"/>
    </row>
    <row r="44" spans="1:21" x14ac:dyDescent="0.3">
      <c r="A44" s="15">
        <v>42</v>
      </c>
      <c r="J44" s="16"/>
      <c r="Q44" s="16"/>
      <c r="S44" s="20"/>
      <c r="T44" s="20"/>
      <c r="U44" s="16"/>
    </row>
    <row r="45" spans="1:21" x14ac:dyDescent="0.3">
      <c r="A45" s="15">
        <v>43</v>
      </c>
      <c r="J45" s="16"/>
      <c r="Q45" s="16"/>
      <c r="S45" s="20"/>
      <c r="T45" s="20"/>
      <c r="U45" s="16"/>
    </row>
    <row r="46" spans="1:21" x14ac:dyDescent="0.3">
      <c r="A46" s="15">
        <v>44</v>
      </c>
      <c r="J46" s="16"/>
      <c r="Q46" s="16"/>
      <c r="S46" s="20"/>
      <c r="T46" s="20"/>
      <c r="U46" s="16"/>
    </row>
    <row r="47" spans="1:21" x14ac:dyDescent="0.3">
      <c r="A47" s="15">
        <v>45</v>
      </c>
      <c r="J47" s="16"/>
      <c r="Q47" s="16"/>
      <c r="S47" s="20"/>
      <c r="T47" s="20"/>
      <c r="U47" s="16"/>
    </row>
    <row r="48" spans="1:21" x14ac:dyDescent="0.3">
      <c r="A48" s="15">
        <v>46</v>
      </c>
      <c r="J48" s="16"/>
      <c r="Q48" s="16"/>
      <c r="S48" s="20"/>
      <c r="T48" s="20"/>
      <c r="U48" s="16"/>
    </row>
    <row r="49" spans="1:21" x14ac:dyDescent="0.3">
      <c r="A49" s="15">
        <v>47</v>
      </c>
      <c r="J49" s="16"/>
      <c r="Q49" s="16"/>
      <c r="S49" s="20"/>
      <c r="T49" s="20"/>
      <c r="U49" s="16"/>
    </row>
    <row r="50" spans="1:21" x14ac:dyDescent="0.3">
      <c r="A50" s="15">
        <v>48</v>
      </c>
      <c r="J50" s="16"/>
      <c r="Q50" s="16"/>
      <c r="S50" s="20"/>
      <c r="T50" s="20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Nghiêm Văn Đồng</v>
      </c>
      <c r="B1" s="18" t="str">
        <f>DanhsachNguoiluutru!C3</f>
        <v>24/09/1986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019086007536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Đại Đình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26</v>
      </c>
      <c r="S1" s="18" t="str">
        <f ca="1">INDEX(OFFSET(QuanHuyen!$C$1,MATCH(extracted!$R1,QuanHuyen!$A:$A,0)-1,0,10000,1),MATCH(DanhsachNguoiluutru!$O3,OFFSET(QuanHuyen!$B$1,MATCH(extracted!$R1,QuanHuyen!$A:$A,0)-1,0,10000,1), 0))</f>
        <v>248</v>
      </c>
      <c r="T1" s="18" t="str">
        <f ca="1">INDEX(OFFSET(PhuongXa!$C$1,MATCH(extracted!$S1,PhuongXa!$A:$A,0)-1,0,10000,1),MATCH(DanhsachNguoiluutru!$P3,OFFSET(PhuongXa!$B$1,MATCH(extracted!$S1,PhuongXa!$A:$A,0)-1,0,10000,1), 0))</f>
        <v>08923</v>
      </c>
      <c r="U1" s="18" t="str">
        <f>DanhsachNguoiluutru!Q3</f>
        <v>Đại Đình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Đại Đình, Thị trấn Đại Đình, Huyện Tam Đảo, Tỉnh Vĩnh Phúc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02/07/2023</v>
      </c>
      <c r="Z1" s="18" t="str">
        <f>DanhsachNguoiluutru!T3</f>
        <v>04/07/2023</v>
      </c>
      <c r="AA1" s="18" t="str">
        <f>DanhsachNguoiluutru!U3</f>
        <v>Du Lịch</v>
      </c>
      <c r="AB1" s="18">
        <f>DanhsachNguoiluutru!V3</f>
        <v>504</v>
      </c>
    </row>
    <row r="2" spans="1:28" x14ac:dyDescent="0.3">
      <c r="A2" s="18" t="str">
        <f>DanhsachNguoiluutru!B4</f>
        <v>Đỗ Thu Thảo</v>
      </c>
      <c r="B2" s="18" t="str">
        <f>DanhsachNguoiluutru!C4</f>
        <v>16/10/1993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026193658282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Đại Đình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26</v>
      </c>
      <c r="S2" s="18" t="str">
        <f ca="1">INDEX(OFFSET(QuanHuyen!$C$1,MATCH(extracted!$R2,QuanHuyen!$A:$A,0)-1,0,10000,1),MATCH(DanhsachNguoiluutru!$O4,OFFSET(QuanHuyen!$B$1,MATCH(extracted!$R2,QuanHuyen!$A:$A,0)-1,0,10000,1), 0))</f>
        <v>248</v>
      </c>
      <c r="T2" s="18" t="str">
        <f ca="1">INDEX(OFFSET(PhuongXa!$C$1,MATCH(extracted!$S2,PhuongXa!$A:$A,0)-1,0,10000,1),MATCH(DanhsachNguoiluutru!$P4,OFFSET(PhuongXa!$B$1,MATCH(extracted!$S2,PhuongXa!$A:$A,0)-1,0,10000,1), 0))</f>
        <v>08923</v>
      </c>
      <c r="U2" s="18" t="str">
        <f>DanhsachNguoiluutru!Q4</f>
        <v>Đại Đình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Đại Đình, Thị trấn Đại Đình, Huyện Tam Đảo, Tỉnh Vĩnh Phúc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02/07/2023</v>
      </c>
      <c r="Z2" s="18" t="str">
        <f>DanhsachNguoiluutru!T4</f>
        <v>04/07/2023</v>
      </c>
      <c r="AA2" s="18" t="str">
        <f>DanhsachNguoiluutru!U4</f>
        <v>Du Lịch</v>
      </c>
      <c r="AB2" s="18">
        <f>DanhsachNguoiluutru!V4</f>
        <v>504</v>
      </c>
    </row>
    <row r="3" spans="1:28" x14ac:dyDescent="0.3">
      <c r="A3" s="18" t="str">
        <f>DanhsachNguoiluutru!B5</f>
        <v>Đào Thảo Trang</v>
      </c>
      <c r="B3" s="18" t="str">
        <f>DanhsachNguoiluutru!C5</f>
        <v>11/02/1991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026191879156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Đại Đình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26</v>
      </c>
      <c r="S3" s="18" t="str">
        <f ca="1">INDEX(OFFSET(QuanHuyen!$C$1,MATCH(extracted!$R3,QuanHuyen!$A:$A,0)-1,0,10000,1),MATCH(DanhsachNguoiluutru!$O5,OFFSET(QuanHuyen!$B$1,MATCH(extracted!$R3,QuanHuyen!$A:$A,0)-1,0,10000,1), 0))</f>
        <v>248</v>
      </c>
      <c r="T3" s="18" t="str">
        <f ca="1">INDEX(OFFSET(PhuongXa!$C$1,MATCH(extracted!$S3,PhuongXa!$A:$A,0)-1,0,10000,1),MATCH(DanhsachNguoiluutru!$P5,OFFSET(PhuongXa!$B$1,MATCH(extracted!$S3,PhuongXa!$A:$A,0)-1,0,10000,1), 0))</f>
        <v>08923</v>
      </c>
      <c r="U3" s="18" t="str">
        <f>DanhsachNguoiluutru!Q5</f>
        <v>Đại Đình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Đại Đình, Thị trấn Đại Đình, Huyện Tam Đảo, Tỉnh Vĩnh Phúc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02/07/2023</v>
      </c>
      <c r="Z3" s="18" t="str">
        <f>DanhsachNguoiluutru!T5</f>
        <v>04/07/2023</v>
      </c>
      <c r="AA3" s="18" t="str">
        <f>DanhsachNguoiluutru!U5</f>
        <v>Du Lịch</v>
      </c>
      <c r="AB3" s="18">
        <f>DanhsachNguoiluutru!V5</f>
        <v>504</v>
      </c>
    </row>
    <row r="4" spans="1:28" x14ac:dyDescent="0.3">
      <c r="A4" s="18" t="str">
        <f>DanhsachNguoiluutru!B6</f>
        <v>Phan Phương Thảo</v>
      </c>
      <c r="B4" s="18" t="str">
        <f>DanhsachNguoiluutru!C6</f>
        <v>20/06/1987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026187800807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Đại Đình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26</v>
      </c>
      <c r="S4" s="18" t="str">
        <f ca="1">INDEX(OFFSET(QuanHuyen!$C$1,MATCH(extracted!$R4,QuanHuyen!$A:$A,0)-1,0,10000,1),MATCH(DanhsachNguoiluutru!$O6,OFFSET(QuanHuyen!$B$1,MATCH(extracted!$R4,QuanHuyen!$A:$A,0)-1,0,10000,1), 0))</f>
        <v>248</v>
      </c>
      <c r="T4" s="18" t="str">
        <f ca="1">INDEX(OFFSET(PhuongXa!$C$1,MATCH(extracted!$S4,PhuongXa!$A:$A,0)-1,0,10000,1),MATCH(DanhsachNguoiluutru!$P6,OFFSET(PhuongXa!$B$1,MATCH(extracted!$S4,PhuongXa!$A:$A,0)-1,0,10000,1), 0))</f>
        <v>08923</v>
      </c>
      <c r="U4" s="18" t="str">
        <f>DanhsachNguoiluutru!Q6</f>
        <v>Đại Đình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Đại Đình, Thị trấn Đại Đình, Huyện Tam Đảo, Tỉnh Vĩnh Phúc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02/07/2023</v>
      </c>
      <c r="Z4" s="18" t="str">
        <f>DanhsachNguoiluutru!T6</f>
        <v>04/07/2023</v>
      </c>
      <c r="AA4" s="18" t="str">
        <f>DanhsachNguoiluutru!U6</f>
        <v>Du Lịch</v>
      </c>
      <c r="AB4" s="18">
        <f>DanhsachNguoiluutru!V6</f>
        <v>504</v>
      </c>
    </row>
    <row r="5" spans="1:28" x14ac:dyDescent="0.3">
      <c r="A5" s="18" t="str">
        <f>DanhsachNguoiluutru!B7</f>
        <v>Võ Minh Dũng</v>
      </c>
      <c r="B5" s="18" t="str">
        <f>DanhsachNguoiluutru!C7</f>
        <v>09/05/1992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026092708578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Đại Đình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26</v>
      </c>
      <c r="S5" s="18" t="str">
        <f ca="1">INDEX(OFFSET(QuanHuyen!$C$1,MATCH(extracted!$R5,QuanHuyen!$A:$A,0)-1,0,10000,1),MATCH(DanhsachNguoiluutru!$O7,OFFSET(QuanHuyen!$B$1,MATCH(extracted!$R5,QuanHuyen!$A:$A,0)-1,0,10000,1), 0))</f>
        <v>248</v>
      </c>
      <c r="T5" s="18" t="str">
        <f ca="1">INDEX(OFFSET(PhuongXa!$C$1,MATCH(extracted!$S5,PhuongXa!$A:$A,0)-1,0,10000,1),MATCH(DanhsachNguoiluutru!$P7,OFFSET(PhuongXa!$B$1,MATCH(extracted!$S5,PhuongXa!$A:$A,0)-1,0,10000,1), 0))</f>
        <v>08923</v>
      </c>
      <c r="U5" s="18" t="str">
        <f>DanhsachNguoiluutru!Q7</f>
        <v>Đại Đình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Đại Đình, Thị trấn Đại Đình, Huyện Tam Đảo, Tỉnh Vĩnh Phúc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02/07/2023</v>
      </c>
      <c r="Z5" s="18" t="str">
        <f>DanhsachNguoiluutru!T7</f>
        <v>04/07/2023</v>
      </c>
      <c r="AA5" s="18" t="str">
        <f>DanhsachNguoiluutru!U7</f>
        <v>Du Lịch</v>
      </c>
      <c r="AB5" s="18">
        <f>DanhsachNguoiluutru!V7</f>
        <v>505</v>
      </c>
    </row>
    <row r="6" spans="1:28" x14ac:dyDescent="0.3">
      <c r="A6" s="18" t="str">
        <f>DanhsachNguoiluutru!B8</f>
        <v>Vũ Long Tuấn</v>
      </c>
      <c r="B6" s="18" t="str">
        <f>DanhsachNguoiluutru!C8</f>
        <v>21/01/1988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026088679522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Đại Đình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26</v>
      </c>
      <c r="S6" s="18" t="str">
        <f ca="1">INDEX(OFFSET(QuanHuyen!$C$1,MATCH(extracted!$R6,QuanHuyen!$A:$A,0)-1,0,10000,1),MATCH(DanhsachNguoiluutru!$O8,OFFSET(QuanHuyen!$B$1,MATCH(extracted!$R6,QuanHuyen!$A:$A,0)-1,0,10000,1), 0))</f>
        <v>248</v>
      </c>
      <c r="T6" s="18" t="str">
        <f ca="1">INDEX(OFFSET(PhuongXa!$C$1,MATCH(extracted!$S6,PhuongXa!$A:$A,0)-1,0,10000,1),MATCH(DanhsachNguoiluutru!$P8,OFFSET(PhuongXa!$B$1,MATCH(extracted!$S6,PhuongXa!$A:$A,0)-1,0,10000,1), 0))</f>
        <v>08923</v>
      </c>
      <c r="U6" s="18" t="str">
        <f>DanhsachNguoiluutru!Q8</f>
        <v>Đại Đình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Đại Đình, Thị trấn Đại Đình, Huyện Tam Đảo, Tỉnh Vĩnh Phúc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02/07/2023</v>
      </c>
      <c r="Z6" s="18" t="str">
        <f>DanhsachNguoiluutru!T8</f>
        <v>04/07/2023</v>
      </c>
      <c r="AA6" s="18" t="str">
        <f>DanhsachNguoiluutru!U8</f>
        <v>Du Lịch</v>
      </c>
      <c r="AB6" s="18">
        <f>DanhsachNguoiluutru!V8</f>
        <v>505</v>
      </c>
    </row>
    <row r="7" spans="1:28" x14ac:dyDescent="0.3">
      <c r="A7" s="18" t="str">
        <f>DanhsachNguoiluutru!B9</f>
        <v>Huỳnh Ngọc Cẩm</v>
      </c>
      <c r="B7" s="18" t="str">
        <f>DanhsachNguoiluutru!C9</f>
        <v>20/02/1994</v>
      </c>
      <c r="C7" s="18" t="str">
        <f>INDEX(GioiTinh!$A:$A,MATCH(DanhsachNguoiluutru!D9,GioiTinh!$B:$B,0))</f>
        <v>3</v>
      </c>
      <c r="D7" s="18" t="str">
        <f>DanhsachNguoiluutru!D9</f>
        <v>Giới tính Nữ</v>
      </c>
      <c r="E7" s="18" t="str">
        <f>DanhsachNguoiluutru!E9</f>
        <v>026194307105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Đại Đình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26</v>
      </c>
      <c r="S7" s="18" t="str">
        <f ca="1">INDEX(OFFSET(QuanHuyen!$C$1,MATCH(extracted!$R7,QuanHuyen!$A:$A,0)-1,0,10000,1),MATCH(DanhsachNguoiluutru!$O9,OFFSET(QuanHuyen!$B$1,MATCH(extracted!$R7,QuanHuyen!$A:$A,0)-1,0,10000,1), 0))</f>
        <v>248</v>
      </c>
      <c r="T7" s="18" t="str">
        <f ca="1">INDEX(OFFSET(PhuongXa!$C$1,MATCH(extracted!$S7,PhuongXa!$A:$A,0)-1,0,10000,1),MATCH(DanhsachNguoiluutru!$P9,OFFSET(PhuongXa!$B$1,MATCH(extracted!$S7,PhuongXa!$A:$A,0)-1,0,10000,1), 0))</f>
        <v>08923</v>
      </c>
      <c r="U7" s="18" t="str">
        <f>DanhsachNguoiluutru!Q9</f>
        <v>Đại Đình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Đại Đình, Thị trấn Đại Đình, Huyện Tam Đảo, Tỉnh Vĩnh Phúc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02/07/2023</v>
      </c>
      <c r="Z7" s="18" t="str">
        <f>DanhsachNguoiluutru!T9</f>
        <v>04/07/2023</v>
      </c>
      <c r="AA7" s="18" t="str">
        <f>DanhsachNguoiluutru!U9</f>
        <v>Du Lịch</v>
      </c>
      <c r="AB7" s="18">
        <f>DanhsachNguoiluutru!V9</f>
        <v>505</v>
      </c>
    </row>
    <row r="8" spans="1:28" x14ac:dyDescent="0.3">
      <c r="A8" s="18" t="str">
        <f>DanhsachNguoiluutru!B10</f>
        <v>Mai Thảo Nhi</v>
      </c>
      <c r="B8" s="18" t="str">
        <f>DanhsachNguoiluutru!C10</f>
        <v>21/10/1993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026193216717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Đại Đình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26</v>
      </c>
      <c r="S8" s="18" t="str">
        <f ca="1">INDEX(OFFSET(QuanHuyen!$C$1,MATCH(extracted!$R8,QuanHuyen!$A:$A,0)-1,0,10000,1),MATCH(DanhsachNguoiluutru!$O10,OFFSET(QuanHuyen!$B$1,MATCH(extracted!$R8,QuanHuyen!$A:$A,0)-1,0,10000,1), 0))</f>
        <v>248</v>
      </c>
      <c r="T8" s="18" t="str">
        <f ca="1">INDEX(OFFSET(PhuongXa!$C$1,MATCH(extracted!$S8,PhuongXa!$A:$A,0)-1,0,10000,1),MATCH(DanhsachNguoiluutru!$P10,OFFSET(PhuongXa!$B$1,MATCH(extracted!$S8,PhuongXa!$A:$A,0)-1,0,10000,1), 0))</f>
        <v>08923</v>
      </c>
      <c r="U8" s="18" t="str">
        <f>DanhsachNguoiluutru!Q10</f>
        <v>Đại Đình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Đại Đình, Thị trấn Đại Đình, Huyện Tam Đảo, Tỉnh Vĩnh Phúc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02/07/2023</v>
      </c>
      <c r="Z8" s="18" t="str">
        <f>DanhsachNguoiluutru!T10</f>
        <v>04/07/2023</v>
      </c>
      <c r="AA8" s="18" t="str">
        <f>DanhsachNguoiluutru!U10</f>
        <v>Du Lịch</v>
      </c>
      <c r="AB8" s="18">
        <f>DanhsachNguoiluutru!V10</f>
        <v>505</v>
      </c>
    </row>
    <row r="9" spans="1:28" x14ac:dyDescent="0.3">
      <c r="A9" s="18" t="str">
        <f>DanhsachNguoiluutru!B11</f>
        <v>Trương Sơn Thủy</v>
      </c>
      <c r="B9" s="18" t="str">
        <f>DanhsachNguoiluutru!C11</f>
        <v>17/12/1998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026098921900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Đại Đình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26</v>
      </c>
      <c r="S9" s="18" t="str">
        <f ca="1">INDEX(OFFSET(QuanHuyen!$C$1,MATCH(extracted!$R9,QuanHuyen!$A:$A,0)-1,0,10000,1),MATCH(DanhsachNguoiluutru!$O11,OFFSET(QuanHuyen!$B$1,MATCH(extracted!$R9,QuanHuyen!$A:$A,0)-1,0,10000,1), 0))</f>
        <v>248</v>
      </c>
      <c r="T9" s="18" t="str">
        <f ca="1">INDEX(OFFSET(PhuongXa!$C$1,MATCH(extracted!$S9,PhuongXa!$A:$A,0)-1,0,10000,1),MATCH(DanhsachNguoiluutru!$P11,OFFSET(PhuongXa!$B$1,MATCH(extracted!$S9,PhuongXa!$A:$A,0)-1,0,10000,1), 0))</f>
        <v>08923</v>
      </c>
      <c r="U9" s="18" t="str">
        <f>DanhsachNguoiluutru!Q11</f>
        <v>Đại Đình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Đại Đình, Thị trấn Đại Đình, Huyện Tam Đảo, Tỉnh Vĩnh Phúc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02/07/2023</v>
      </c>
      <c r="Z9" s="18" t="str">
        <f>DanhsachNguoiluutru!T11</f>
        <v>04/07/2023</v>
      </c>
      <c r="AA9" s="18" t="str">
        <f>DanhsachNguoiluutru!U11</f>
        <v>Du Lịch</v>
      </c>
      <c r="AB9" s="18">
        <f>DanhsachNguoiluutru!V11</f>
        <v>506</v>
      </c>
    </row>
    <row r="10" spans="1:28" x14ac:dyDescent="0.3">
      <c r="A10" s="18" t="str">
        <f>DanhsachNguoiluutru!B12</f>
        <v>Huỳnh Phương Hạnh</v>
      </c>
      <c r="B10" s="18" t="str">
        <f>DanhsachNguoiluutru!C12</f>
        <v>27/05/1994</v>
      </c>
      <c r="C10" s="18" t="str">
        <f>INDEX(GioiTinh!$A:$A,MATCH(DanhsachNguoiluutru!D12,GioiTinh!$B:$B,0))</f>
        <v>3</v>
      </c>
      <c r="D10" s="18" t="str">
        <f>DanhsachNguoiluutru!D12</f>
        <v>Giới tính Nữ</v>
      </c>
      <c r="E10" s="18" t="str">
        <f>DanhsachNguoiluutru!E12</f>
        <v>026194435475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Đại Đình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26</v>
      </c>
      <c r="S10" s="18" t="str">
        <f ca="1">INDEX(OFFSET(QuanHuyen!$C$1,MATCH(extracted!$R10,QuanHuyen!$A:$A,0)-1,0,10000,1),MATCH(DanhsachNguoiluutru!$O12,OFFSET(QuanHuyen!$B$1,MATCH(extracted!$R10,QuanHuyen!$A:$A,0)-1,0,10000,1), 0))</f>
        <v>248</v>
      </c>
      <c r="T10" s="18" t="str">
        <f ca="1">INDEX(OFFSET(PhuongXa!$C$1,MATCH(extracted!$S10,PhuongXa!$A:$A,0)-1,0,10000,1),MATCH(DanhsachNguoiluutru!$P12,OFFSET(PhuongXa!$B$1,MATCH(extracted!$S10,PhuongXa!$A:$A,0)-1,0,10000,1), 0))</f>
        <v>08923</v>
      </c>
      <c r="U10" s="18" t="str">
        <f>DanhsachNguoiluutru!Q12</f>
        <v>Đại Đình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Đại Đình, Thị trấn Đại Đình, Huyện Tam Đảo, Tỉnh Vĩnh Phúc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02/07/2023</v>
      </c>
      <c r="Z10" s="18" t="str">
        <f>DanhsachNguoiluutru!T12</f>
        <v>04/07/2023</v>
      </c>
      <c r="AA10" s="18" t="str">
        <f>DanhsachNguoiluutru!U12</f>
        <v>Du Lịch</v>
      </c>
      <c r="AB10" s="18">
        <f>DanhsachNguoiluutru!V12</f>
        <v>506</v>
      </c>
    </row>
    <row r="11" spans="1:28" x14ac:dyDescent="0.3">
      <c r="A11" s="18" t="str">
        <f>DanhsachNguoiluutru!B13</f>
        <v>Trịnh Hạnh Bích</v>
      </c>
      <c r="B11" s="18" t="str">
        <f>DanhsachNguoiluutru!C13</f>
        <v>14/10/1982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026182495525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Đại Đình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26</v>
      </c>
      <c r="S11" s="18" t="str">
        <f ca="1">INDEX(OFFSET(QuanHuyen!$C$1,MATCH(extracted!$R11,QuanHuyen!$A:$A,0)-1,0,10000,1),MATCH(DanhsachNguoiluutru!$O13,OFFSET(QuanHuyen!$B$1,MATCH(extracted!$R11,QuanHuyen!$A:$A,0)-1,0,10000,1), 0))</f>
        <v>248</v>
      </c>
      <c r="T11" s="18" t="str">
        <f ca="1">INDEX(OFFSET(PhuongXa!$C$1,MATCH(extracted!$S11,PhuongXa!$A:$A,0)-1,0,10000,1),MATCH(DanhsachNguoiluutru!$P13,OFFSET(PhuongXa!$B$1,MATCH(extracted!$S11,PhuongXa!$A:$A,0)-1,0,10000,1), 0))</f>
        <v>08923</v>
      </c>
      <c r="U11" s="18" t="str">
        <f>DanhsachNguoiluutru!Q13</f>
        <v>Đại Đình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Đại Đình, Thị trấn Đại Đình, Huyện Tam Đảo, Tỉnh Vĩnh Phúc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02/07/2023</v>
      </c>
      <c r="Z11" s="18" t="str">
        <f>DanhsachNguoiluutru!T13</f>
        <v>04/07/2023</v>
      </c>
      <c r="AA11" s="18" t="str">
        <f>DanhsachNguoiluutru!U13</f>
        <v>Du Lịch</v>
      </c>
      <c r="AB11" s="18">
        <f>DanhsachNguoiluutru!V13</f>
        <v>506</v>
      </c>
    </row>
    <row r="12" spans="1:28" x14ac:dyDescent="0.3">
      <c r="A12" s="18" t="str">
        <f>DanhsachNguoiluutru!B14</f>
        <v>Đoàn Ngọc Anh</v>
      </c>
      <c r="B12" s="18" t="str">
        <f>DanhsachNguoiluutru!C14</f>
        <v>15/06/1999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026199918242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Đại Đình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26</v>
      </c>
      <c r="S12" s="18" t="str">
        <f ca="1">INDEX(OFFSET(QuanHuyen!$C$1,MATCH(extracted!$R12,QuanHuyen!$A:$A,0)-1,0,10000,1),MATCH(DanhsachNguoiluutru!$O14,OFFSET(QuanHuyen!$B$1,MATCH(extracted!$R12,QuanHuyen!$A:$A,0)-1,0,10000,1), 0))</f>
        <v>248</v>
      </c>
      <c r="T12" s="18" t="str">
        <f ca="1">INDEX(OFFSET(PhuongXa!$C$1,MATCH(extracted!$S12,PhuongXa!$A:$A,0)-1,0,10000,1),MATCH(DanhsachNguoiluutru!$P14,OFFSET(PhuongXa!$B$1,MATCH(extracted!$S12,PhuongXa!$A:$A,0)-1,0,10000,1), 0))</f>
        <v>08923</v>
      </c>
      <c r="U12" s="18" t="str">
        <f>DanhsachNguoiluutru!Q14</f>
        <v>Đại Đình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Đại Đình, Thị trấn Đại Đình, Huyện Tam Đảo, Tỉnh Vĩnh Phúc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02/07/2023</v>
      </c>
      <c r="Z12" s="18" t="str">
        <f>DanhsachNguoiluutru!T14</f>
        <v>04/07/2023</v>
      </c>
      <c r="AA12" s="18" t="str">
        <f>DanhsachNguoiluutru!U14</f>
        <v>Du Lịch</v>
      </c>
      <c r="AB12" s="18">
        <f>DanhsachNguoiluutru!V14</f>
        <v>506</v>
      </c>
    </row>
    <row r="13" spans="1:28" x14ac:dyDescent="0.3">
      <c r="A13" s="18" t="str">
        <f>DanhsachNguoiluutru!B15</f>
        <v>Thái Thảo Lan</v>
      </c>
      <c r="B13" s="18" t="str">
        <f>DanhsachNguoiluutru!C15</f>
        <v>20/08/1999</v>
      </c>
      <c r="C13" s="18" t="str">
        <f>INDEX(GioiTinh!$A:$A,MATCH(DanhsachNguoiluutru!D15,GioiTinh!$B:$B,0))</f>
        <v>3</v>
      </c>
      <c r="D13" s="18" t="str">
        <f>DanhsachNguoiluutru!D15</f>
        <v>Giới tính Nữ</v>
      </c>
      <c r="E13" s="18" t="str">
        <f>DanhsachNguoiluutru!E15</f>
        <v>026199427459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Đại Đình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26</v>
      </c>
      <c r="S13" s="18" t="str">
        <f ca="1">INDEX(OFFSET(QuanHuyen!$C$1,MATCH(extracted!$R13,QuanHuyen!$A:$A,0)-1,0,10000,1),MATCH(DanhsachNguoiluutru!$O15,OFFSET(QuanHuyen!$B$1,MATCH(extracted!$R13,QuanHuyen!$A:$A,0)-1,0,10000,1), 0))</f>
        <v>248</v>
      </c>
      <c r="T13" s="18" t="str">
        <f ca="1">INDEX(OFFSET(PhuongXa!$C$1,MATCH(extracted!$S13,PhuongXa!$A:$A,0)-1,0,10000,1),MATCH(DanhsachNguoiluutru!$P15,OFFSET(PhuongXa!$B$1,MATCH(extracted!$S13,PhuongXa!$A:$A,0)-1,0,10000,1), 0))</f>
        <v>08923</v>
      </c>
      <c r="U13" s="18" t="str">
        <f>DanhsachNguoiluutru!Q15</f>
        <v>Đại Đình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Đại Đình, Thị trấn Đại Đình, Huyện Tam Đảo, Tỉnh Vĩnh Phúc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02/07/2023</v>
      </c>
      <c r="Z13" s="18" t="str">
        <f>DanhsachNguoiluutru!T15</f>
        <v>04/07/2023</v>
      </c>
      <c r="AA13" s="18" t="str">
        <f>DanhsachNguoiluutru!U15</f>
        <v>Du Lịch</v>
      </c>
      <c r="AB13" s="18">
        <f>DanhsachNguoiluutru!V15</f>
        <v>507</v>
      </c>
    </row>
    <row r="14" spans="1:28" x14ac:dyDescent="0.3">
      <c r="A14" s="18" t="str">
        <f>DanhsachNguoiluutru!B16</f>
        <v>Trịnh Nhật Thành</v>
      </c>
      <c r="B14" s="18" t="str">
        <f>DanhsachNguoiluutru!C16</f>
        <v>11/11/1994</v>
      </c>
      <c r="C14" s="18" t="str">
        <f>INDEX(GioiTinh!$A:$A,MATCH(DanhsachNguoiluutru!D16,GioiTinh!$B:$B,0))</f>
        <v>2</v>
      </c>
      <c r="D14" s="18" t="str">
        <f>DanhsachNguoiluutru!D16</f>
        <v>Giới tính Nam</v>
      </c>
      <c r="E14" s="18" t="str">
        <f>DanhsachNguoiluutru!E16</f>
        <v>026094268729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Đại Đình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26</v>
      </c>
      <c r="S14" s="18" t="str">
        <f ca="1">INDEX(OFFSET(QuanHuyen!$C$1,MATCH(extracted!$R14,QuanHuyen!$A:$A,0)-1,0,10000,1),MATCH(DanhsachNguoiluutru!$O16,OFFSET(QuanHuyen!$B$1,MATCH(extracted!$R14,QuanHuyen!$A:$A,0)-1,0,10000,1), 0))</f>
        <v>248</v>
      </c>
      <c r="T14" s="18" t="str">
        <f ca="1">INDEX(OFFSET(PhuongXa!$C$1,MATCH(extracted!$S14,PhuongXa!$A:$A,0)-1,0,10000,1),MATCH(DanhsachNguoiluutru!$P16,OFFSET(PhuongXa!$B$1,MATCH(extracted!$S14,PhuongXa!$A:$A,0)-1,0,10000,1), 0))</f>
        <v>08923</v>
      </c>
      <c r="U14" s="18" t="str">
        <f>DanhsachNguoiluutru!Q16</f>
        <v>Đại Đình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Đại Đình, Thị trấn Đại Đình, Huyện Tam Đảo, Tỉnh Vĩnh Phúc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02/07/2023</v>
      </c>
      <c r="Z14" s="18" t="str">
        <f>DanhsachNguoiluutru!T16</f>
        <v>04/07/2023</v>
      </c>
      <c r="AA14" s="18" t="str">
        <f>DanhsachNguoiluutru!U16</f>
        <v>Du Lịch</v>
      </c>
      <c r="AB14" s="18">
        <f>DanhsachNguoiluutru!V16</f>
        <v>507</v>
      </c>
    </row>
    <row r="15" spans="1:28" x14ac:dyDescent="0.3">
      <c r="A15" s="18" t="str">
        <f>DanhsachNguoiluutru!B17</f>
        <v>Dương Thu Yến</v>
      </c>
      <c r="B15" s="18" t="str">
        <f>DanhsachNguoiluutru!C17</f>
        <v>28/08/1992</v>
      </c>
      <c r="C15" s="18" t="str">
        <f>INDEX(GioiTinh!$A:$A,MATCH(DanhsachNguoiluutru!D17,GioiTinh!$B:$B,0))</f>
        <v>3</v>
      </c>
      <c r="D15" s="18" t="str">
        <f>DanhsachNguoiluutru!D17</f>
        <v>Giới tính Nữ</v>
      </c>
      <c r="E15" s="18" t="str">
        <f>DanhsachNguoiluutru!E17</f>
        <v>026192324823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Đại Đình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26</v>
      </c>
      <c r="S15" s="18" t="str">
        <f ca="1">INDEX(OFFSET(QuanHuyen!$C$1,MATCH(extracted!$R15,QuanHuyen!$A:$A,0)-1,0,10000,1),MATCH(DanhsachNguoiluutru!$O17,OFFSET(QuanHuyen!$B$1,MATCH(extracted!$R15,QuanHuyen!$A:$A,0)-1,0,10000,1), 0))</f>
        <v>248</v>
      </c>
      <c r="T15" s="18" t="str">
        <f ca="1">INDEX(OFFSET(PhuongXa!$C$1,MATCH(extracted!$S15,PhuongXa!$A:$A,0)-1,0,10000,1),MATCH(DanhsachNguoiluutru!$P17,OFFSET(PhuongXa!$B$1,MATCH(extracted!$S15,PhuongXa!$A:$A,0)-1,0,10000,1), 0))</f>
        <v>08923</v>
      </c>
      <c r="U15" s="18" t="str">
        <f>DanhsachNguoiluutru!Q17</f>
        <v>Đại Đình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Đại Đình, Thị trấn Đại Đình, Huyện Tam Đảo, Tỉnh Vĩnh Phúc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02/07/2023</v>
      </c>
      <c r="Z15" s="18" t="str">
        <f>DanhsachNguoiluutru!T17</f>
        <v>04/07/2023</v>
      </c>
      <c r="AA15" s="18" t="str">
        <f>DanhsachNguoiluutru!U17</f>
        <v>Du Lịch</v>
      </c>
      <c r="AB15" s="18">
        <f>DanhsachNguoiluutru!V17</f>
        <v>507</v>
      </c>
    </row>
    <row r="16" spans="1:28" x14ac:dyDescent="0.3">
      <c r="A16" s="18" t="str">
        <f>DanhsachNguoiluutru!B18</f>
        <v>Mai Tuấn Linh</v>
      </c>
      <c r="B16" s="18" t="str">
        <f>DanhsachNguoiluutru!C18</f>
        <v>28/08/1992</v>
      </c>
      <c r="C16" s="18" t="str">
        <f>INDEX(GioiTinh!$A:$A,MATCH(DanhsachNguoiluutru!D18,GioiTinh!$B:$B,0))</f>
        <v>2</v>
      </c>
      <c r="D16" s="18" t="str">
        <f>DanhsachNguoiluutru!D18</f>
        <v>Giới tính Nam</v>
      </c>
      <c r="E16" s="18" t="str">
        <f>DanhsachNguoiluutru!E18</f>
        <v>026092882540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Đại Đình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26</v>
      </c>
      <c r="S16" s="18" t="str">
        <f ca="1">INDEX(OFFSET(QuanHuyen!$C$1,MATCH(extracted!$R16,QuanHuyen!$A:$A,0)-1,0,10000,1),MATCH(DanhsachNguoiluutru!$O18,OFFSET(QuanHuyen!$B$1,MATCH(extracted!$R16,QuanHuyen!$A:$A,0)-1,0,10000,1), 0))</f>
        <v>248</v>
      </c>
      <c r="T16" s="18" t="str">
        <f ca="1">INDEX(OFFSET(PhuongXa!$C$1,MATCH(extracted!$S16,PhuongXa!$A:$A,0)-1,0,10000,1),MATCH(DanhsachNguoiluutru!$P18,OFFSET(PhuongXa!$B$1,MATCH(extracted!$S16,PhuongXa!$A:$A,0)-1,0,10000,1), 0))</f>
        <v>08923</v>
      </c>
      <c r="U16" s="18" t="str">
        <f>DanhsachNguoiluutru!Q18</f>
        <v>Đại Đình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Đại Đình, Thị trấn Đại Đình, Huyện Tam Đảo, Tỉnh Vĩnh Phúc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02/07/2023</v>
      </c>
      <c r="Z16" s="18" t="str">
        <f>DanhsachNguoiluutru!T18</f>
        <v>04/07/2023</v>
      </c>
      <c r="AA16" s="18" t="str">
        <f>DanhsachNguoiluutru!U18</f>
        <v>Du Lịch</v>
      </c>
      <c r="AB16" s="18">
        <f>DanhsachNguoiluutru!V18</f>
        <v>507</v>
      </c>
    </row>
    <row r="17" spans="1:28" x14ac:dyDescent="0.3">
      <c r="A17" s="18">
        <f>DanhsachNguoiluutru!B19</f>
        <v>0</v>
      </c>
      <c r="B17" s="18">
        <f>DanhsachNguoiluutru!C19</f>
        <v>0</v>
      </c>
      <c r="C17" s="18" t="e">
        <f>INDEX(GioiTinh!$A:$A,MATCH(DanhsachNguoiluutru!D19,GioiTinh!$B:$B,0))</f>
        <v>#N/A</v>
      </c>
      <c r="D17" s="18">
        <f>DanhsachNguoiluutru!D19</f>
        <v>0</v>
      </c>
      <c r="E17" s="18">
        <f>DanhsachNguoiluutru!E19</f>
        <v>0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e">
        <f>INDEX(NgheNghiep!$A:$A,MATCH(DanhsachNguoiluutru!I19,NgheNghiep!$B:$B,0))</f>
        <v>#N/A</v>
      </c>
      <c r="J17" s="18">
        <f>DanhsachNguoiluutru!I19</f>
        <v>0</v>
      </c>
      <c r="K17" s="18">
        <f>DanhsachNguoiluutru!J19</f>
        <v>0</v>
      </c>
      <c r="L17" s="18" t="e">
        <f>INDEX(DanToc!$A:$A,MATCH(DanhsachNguoiluutru!K19,DanToc!$B:$B,0))</f>
        <v>#N/A</v>
      </c>
      <c r="M17" s="18">
        <f>DanhsachNguoiluutru!K19</f>
        <v>0</v>
      </c>
      <c r="N17" s="18" t="e">
        <f>INDEX(QuocTich!$A:$A,MATCH(DanhsachNguoiluutru!L19,QuocTich!$B:$B,0))</f>
        <v>#N/A</v>
      </c>
      <c r="O17" s="18">
        <f>DanhsachNguoiluutru!L19</f>
        <v>0</v>
      </c>
      <c r="P17" s="18" t="e">
        <f>INDEX(QuocGia!$A:$A,MATCH(DanhsachNguoiluutru!M19,QuocGia!$B:$B,0))</f>
        <v>#N/A</v>
      </c>
      <c r="Q17" s="18">
        <f>DanhsachNguoiluutru!M19</f>
        <v>0</v>
      </c>
      <c r="R17" s="18" t="e">
        <f>INDEX(TinhThanh!$C:$C,MATCH(DanhsachNguoiluutru!N19,TinhThanh!$B:$B,0))</f>
        <v>#N/A</v>
      </c>
      <c r="S17" s="18" t="e">
        <f ca="1">INDEX(OFFSET(QuanHuyen!$C$1,MATCH(extracted!$R17,QuanHuyen!$A:$A,0)-1,0,10000,1),MATCH(DanhsachNguoiluutru!$O19,OFFSET(QuanHuyen!$B$1,MATCH(extracted!$R17,QuanHuyen!$A:$A,0)-1,0,10000,1), 0))</f>
        <v>#N/A</v>
      </c>
      <c r="T17" s="18" t="e">
        <f ca="1">INDEX(OFFSET(PhuongXa!$C$1,MATCH(extracted!$S17,PhuongXa!$A:$A,0)-1,0,10000,1),MATCH(DanhsachNguoiluutru!$P19,OFFSET(PhuongXa!$B$1,MATCH(extracted!$S17,PhuongXa!$A:$A,0)-1,0,10000,1), 0))</f>
        <v>#N/A</v>
      </c>
      <c r="U17" s="18">
        <f>DanhsachNguoiluutru!Q19</f>
        <v>0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/>
      </c>
      <c r="W17" s="18" t="e">
        <f>VLOOKUP(DanhsachNguoiluutru!$R19,DanhMuc!$A$2:$B$4,2,FALSE)</f>
        <v>#N/A</v>
      </c>
      <c r="X17" s="18">
        <f>DanhsachNguoiluutru!R19</f>
        <v>0</v>
      </c>
      <c r="Y17" s="18">
        <f>DanhsachNguoiluutru!S19</f>
        <v>0</v>
      </c>
      <c r="Z17" s="18">
        <f>DanhsachNguoiluutru!T19</f>
        <v>0</v>
      </c>
      <c r="AA17" s="18">
        <f>DanhsachNguoiluutru!U19</f>
        <v>0</v>
      </c>
      <c r="AB17" s="18">
        <f>DanhsachNguoiluutru!V19</f>
        <v>0</v>
      </c>
    </row>
    <row r="18" spans="1:28" x14ac:dyDescent="0.3">
      <c r="A18" s="18">
        <f>DanhsachNguoiluutru!B20</f>
        <v>0</v>
      </c>
      <c r="B18" s="18">
        <f>DanhsachNguoiluutru!C20</f>
        <v>0</v>
      </c>
      <c r="C18" s="18" t="e">
        <f>INDEX(GioiTinh!$A:$A,MATCH(DanhsachNguoiluutru!D20,GioiTinh!$B:$B,0))</f>
        <v>#N/A</v>
      </c>
      <c r="D18" s="18">
        <f>DanhsachNguoiluutru!D20</f>
        <v>0</v>
      </c>
      <c r="E18" s="18">
        <f>DanhsachNguoiluutru!E20</f>
        <v>0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e">
        <f>INDEX(NgheNghiep!$A:$A,MATCH(DanhsachNguoiluutru!I20,NgheNghiep!$B:$B,0))</f>
        <v>#N/A</v>
      </c>
      <c r="J18" s="18">
        <f>DanhsachNguoiluutru!I20</f>
        <v>0</v>
      </c>
      <c r="K18" s="18">
        <f>DanhsachNguoiluutru!J20</f>
        <v>0</v>
      </c>
      <c r="L18" s="18" t="e">
        <f>INDEX(DanToc!$A:$A,MATCH(DanhsachNguoiluutru!K20,DanToc!$B:$B,0))</f>
        <v>#N/A</v>
      </c>
      <c r="M18" s="18">
        <f>DanhsachNguoiluutru!K20</f>
        <v>0</v>
      </c>
      <c r="N18" s="18" t="e">
        <f>INDEX(QuocTich!$A:$A,MATCH(DanhsachNguoiluutru!L20,QuocTich!$B:$B,0))</f>
        <v>#N/A</v>
      </c>
      <c r="O18" s="18">
        <f>DanhsachNguoiluutru!L20</f>
        <v>0</v>
      </c>
      <c r="P18" s="18" t="e">
        <f>INDEX(QuocGia!$A:$A,MATCH(DanhsachNguoiluutru!M20,QuocGia!$B:$B,0))</f>
        <v>#N/A</v>
      </c>
      <c r="Q18" s="18">
        <f>DanhsachNguoiluutru!M20</f>
        <v>0</v>
      </c>
      <c r="R18" s="18" t="e">
        <f>INDEX(TinhThanh!$C:$C,MATCH(DanhsachNguoiluutru!N20,TinhThanh!$B:$B,0))</f>
        <v>#N/A</v>
      </c>
      <c r="S18" s="18" t="e">
        <f ca="1">INDEX(OFFSET(QuanHuyen!$C$1,MATCH(extracted!$R18,QuanHuyen!$A:$A,0)-1,0,10000,1),MATCH(DanhsachNguoiluutru!$O20,OFFSET(QuanHuyen!$B$1,MATCH(extracted!$R18,QuanHuyen!$A:$A,0)-1,0,10000,1), 0))</f>
        <v>#N/A</v>
      </c>
      <c r="T18" s="18" t="e">
        <f ca="1">INDEX(OFFSET(PhuongXa!$C$1,MATCH(extracted!$S18,PhuongXa!$A:$A,0)-1,0,10000,1),MATCH(DanhsachNguoiluutru!$P20,OFFSET(PhuongXa!$B$1,MATCH(extracted!$S18,PhuongXa!$A:$A,0)-1,0,10000,1), 0))</f>
        <v>#N/A</v>
      </c>
      <c r="U18" s="18">
        <f>DanhsachNguoiluutru!Q20</f>
        <v>0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/>
      </c>
      <c r="W18" s="18" t="e">
        <f>VLOOKUP(DanhsachNguoiluutru!$R20,DanhMuc!$A$2:$B$4,2,FALSE)</f>
        <v>#N/A</v>
      </c>
      <c r="X18" s="18">
        <f>DanhsachNguoiluutru!R20</f>
        <v>0</v>
      </c>
      <c r="Y18" s="18">
        <f>DanhsachNguoiluutru!S20</f>
        <v>0</v>
      </c>
      <c r="Z18" s="18">
        <f>DanhsachNguoiluutru!T20</f>
        <v>0</v>
      </c>
      <c r="AA18" s="18">
        <f>DanhsachNguoiluutru!U20</f>
        <v>0</v>
      </c>
      <c r="AB18" s="18">
        <f>DanhsachNguoiluutru!V20</f>
        <v>0</v>
      </c>
    </row>
    <row r="19" spans="1:28" x14ac:dyDescent="0.3">
      <c r="A19" s="18">
        <f>DanhsachNguoiluutru!B21</f>
        <v>0</v>
      </c>
      <c r="B19" s="18">
        <f>DanhsachNguoiluutru!C21</f>
        <v>0</v>
      </c>
      <c r="C19" s="18" t="e">
        <f>INDEX(GioiTinh!$A:$A,MATCH(DanhsachNguoiluutru!D21,GioiTinh!$B:$B,0))</f>
        <v>#N/A</v>
      </c>
      <c r="D19" s="18">
        <f>DanhsachNguoiluutru!D21</f>
        <v>0</v>
      </c>
      <c r="E19" s="18">
        <f>DanhsachNguoiluutru!E21</f>
        <v>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e">
        <f>INDEX(NgheNghiep!$A:$A,MATCH(DanhsachNguoiluutru!I21,NgheNghiep!$B:$B,0))</f>
        <v>#N/A</v>
      </c>
      <c r="J19" s="18">
        <f>DanhsachNguoiluutru!I21</f>
        <v>0</v>
      </c>
      <c r="K19" s="18">
        <f>DanhsachNguoiluutru!J21</f>
        <v>0</v>
      </c>
      <c r="L19" s="18" t="e">
        <f>INDEX(DanToc!$A:$A,MATCH(DanhsachNguoiluutru!K21,DanToc!$B:$B,0))</f>
        <v>#N/A</v>
      </c>
      <c r="M19" s="18">
        <f>DanhsachNguoiluutru!K21</f>
        <v>0</v>
      </c>
      <c r="N19" s="18" t="e">
        <f>INDEX(QuocTich!$A:$A,MATCH(DanhsachNguoiluutru!L21,QuocTich!$B:$B,0))</f>
        <v>#N/A</v>
      </c>
      <c r="O19" s="18">
        <f>DanhsachNguoiluutru!L21</f>
        <v>0</v>
      </c>
      <c r="P19" s="18" t="e">
        <f>INDEX(QuocGia!$A:$A,MATCH(DanhsachNguoiluutru!M21,QuocGia!$B:$B,0))</f>
        <v>#N/A</v>
      </c>
      <c r="Q19" s="18">
        <f>DanhsachNguoiluutru!M21</f>
        <v>0</v>
      </c>
      <c r="R19" s="18" t="e">
        <f>INDEX(TinhThanh!$C:$C,MATCH(DanhsachNguoiluutru!N21,TinhThanh!$B:$B,0))</f>
        <v>#N/A</v>
      </c>
      <c r="S19" s="18" t="e">
        <f ca="1">INDEX(OFFSET(QuanHuyen!$C$1,MATCH(extracted!$R19,QuanHuyen!$A:$A,0)-1,0,10000,1),MATCH(DanhsachNguoiluutru!$O21,OFFSET(QuanHuyen!$B$1,MATCH(extracted!$R19,QuanHuyen!$A:$A,0)-1,0,10000,1), 0))</f>
        <v>#N/A</v>
      </c>
      <c r="T19" s="18" t="e">
        <f ca="1">INDEX(OFFSET(PhuongXa!$C$1,MATCH(extracted!$S19,PhuongXa!$A:$A,0)-1,0,10000,1),MATCH(DanhsachNguoiluutru!$P21,OFFSET(PhuongXa!$B$1,MATCH(extracted!$S19,PhuongXa!$A:$A,0)-1,0,10000,1), 0))</f>
        <v>#N/A</v>
      </c>
      <c r="U19" s="18">
        <f>DanhsachNguoiluutru!Q21</f>
        <v>0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/>
      </c>
      <c r="W19" s="18" t="e">
        <f>VLOOKUP(DanhsachNguoiluutru!$R21,DanhMuc!$A$2:$B$4,2,FALSE)</f>
        <v>#N/A</v>
      </c>
      <c r="X19" s="18">
        <f>DanhsachNguoiluutru!R21</f>
        <v>0</v>
      </c>
      <c r="Y19" s="18">
        <f>DanhsachNguoiluutru!S21</f>
        <v>0</v>
      </c>
      <c r="Z19" s="18">
        <f>DanhsachNguoiluutru!T21</f>
        <v>0</v>
      </c>
      <c r="AA19" s="18">
        <f>DanhsachNguoiluutru!U21</f>
        <v>0</v>
      </c>
      <c r="AB19" s="18">
        <f>DanhsachNguoiluutru!V21</f>
        <v>0</v>
      </c>
    </row>
    <row r="20" spans="1:28" x14ac:dyDescent="0.3">
      <c r="A20" s="18">
        <f>DanhsachNguoiluutru!B22</f>
        <v>0</v>
      </c>
      <c r="B20" s="18">
        <f>DanhsachNguoiluutru!C22</f>
        <v>0</v>
      </c>
      <c r="C20" s="18" t="e">
        <f>INDEX(GioiTinh!$A:$A,MATCH(DanhsachNguoiluutru!D22,GioiTinh!$B:$B,0))</f>
        <v>#N/A</v>
      </c>
      <c r="D20" s="18">
        <f>DanhsachNguoiluutru!D22</f>
        <v>0</v>
      </c>
      <c r="E20" s="18">
        <f>DanhsachNguoiluutru!E22</f>
        <v>0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e">
        <f>INDEX(NgheNghiep!$A:$A,MATCH(DanhsachNguoiluutru!I22,NgheNghiep!$B:$B,0))</f>
        <v>#N/A</v>
      </c>
      <c r="J20" s="18">
        <f>DanhsachNguoiluutru!I22</f>
        <v>0</v>
      </c>
      <c r="K20" s="18">
        <f>DanhsachNguoiluutru!J22</f>
        <v>0</v>
      </c>
      <c r="L20" s="18" t="e">
        <f>INDEX(DanToc!$A:$A,MATCH(DanhsachNguoiluutru!K22,DanToc!$B:$B,0))</f>
        <v>#N/A</v>
      </c>
      <c r="M20" s="18">
        <f>DanhsachNguoiluutru!K22</f>
        <v>0</v>
      </c>
      <c r="N20" s="18" t="e">
        <f>INDEX(QuocTich!$A:$A,MATCH(DanhsachNguoiluutru!L22,QuocTich!$B:$B,0))</f>
        <v>#N/A</v>
      </c>
      <c r="O20" s="18">
        <f>DanhsachNguoiluutru!L22</f>
        <v>0</v>
      </c>
      <c r="P20" s="18" t="e">
        <f>INDEX(QuocGia!$A:$A,MATCH(DanhsachNguoiluutru!M22,QuocGia!$B:$B,0))</f>
        <v>#N/A</v>
      </c>
      <c r="Q20" s="18">
        <f>DanhsachNguoiluutru!M22</f>
        <v>0</v>
      </c>
      <c r="R20" s="18" t="e">
        <f>INDEX(TinhThanh!$C:$C,MATCH(DanhsachNguoiluutru!N22,TinhThanh!$B:$B,0))</f>
        <v>#N/A</v>
      </c>
      <c r="S20" s="18" t="e">
        <f ca="1">INDEX(OFFSET(QuanHuyen!$C$1,MATCH(extracted!$R20,QuanHuyen!$A:$A,0)-1,0,10000,1),MATCH(DanhsachNguoiluutru!$O22,OFFSET(QuanHuyen!$B$1,MATCH(extracted!$R20,QuanHuyen!$A:$A,0)-1,0,10000,1), 0))</f>
        <v>#N/A</v>
      </c>
      <c r="T20" s="18" t="e">
        <f ca="1">INDEX(OFFSET(PhuongXa!$C$1,MATCH(extracted!$S20,PhuongXa!$A:$A,0)-1,0,10000,1),MATCH(DanhsachNguoiluutru!$P22,OFFSET(PhuongXa!$B$1,MATCH(extracted!$S20,PhuongXa!$A:$A,0)-1,0,10000,1), 0))</f>
        <v>#N/A</v>
      </c>
      <c r="U20" s="18">
        <f>DanhsachNguoiluutru!Q22</f>
        <v>0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/>
      </c>
      <c r="W20" s="18" t="e">
        <f>VLOOKUP(DanhsachNguoiluutru!$R22,DanhMuc!$A$2:$B$4,2,FALSE)</f>
        <v>#N/A</v>
      </c>
      <c r="X20" s="18">
        <f>DanhsachNguoiluutru!R22</f>
        <v>0</v>
      </c>
      <c r="Y20" s="18">
        <f>DanhsachNguoiluutru!S22</f>
        <v>0</v>
      </c>
      <c r="Z20" s="18">
        <f>DanhsachNguoiluutru!T22</f>
        <v>0</v>
      </c>
      <c r="AA20" s="18">
        <f>DanhsachNguoiluutru!U22</f>
        <v>0</v>
      </c>
      <c r="AB20" s="18">
        <f>DanhsachNguoiluutru!V22</f>
        <v>0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2023-07-02T14:46:29Z</dcterms:modified>
</cp:coreProperties>
</file>