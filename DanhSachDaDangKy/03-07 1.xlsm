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<sst xmlns="http://schemas.openxmlformats.org/spreadsheetml/2006/main" count="37021" uniqueCount="22088">
  <si>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</si>
  <si>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</si>
  <si>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</si>
  <si>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</si>
  <si>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</si>
  <si>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</si>
  <si>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</si>
  <si>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</si>
  <si>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</si>
  <si>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</si>
  <si>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</si>
  <si>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</si>
  <si>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</si>
  <si>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</si>
  <si>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</si>
  <si>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</si>
  <si>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</si>
  <si>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</si>
  <si>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</si>
  <si>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</si>
  <si>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</si>
  <si>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</si>
  <si>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</si>
  <si>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</si>
  <si>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</si>
  <si>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</si>
  <si>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</si>
  <si>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</si>
  <si>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</si>
  <si>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</si>
  <si>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</si>
  <si>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</si>
  <si>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</si>
  <si>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</si>
  <si>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</si>
  <si>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</si>
  <si>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</si>
  <si>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</si>
  <si>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</si>
  <si>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</si>
  <si>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</si>
  <si>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</si>
  <si>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</si>
  <si>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</si>
  <si>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</si>
  <si>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</si>
  <si>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</si>
  <si>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</si>
  <si>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</si>
  <si>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</si>
  <si>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</si>
  <si>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</si>
  <si>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</si>
  <si>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</si>
  <si>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</si>
  <si>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</si>
  <si>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</si>
  <si>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</si>
  <si>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</si>
  <si>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</si>
  <si>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</si>
  <si>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</si>
  <si>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</si>
  <si>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</si>
  <si>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</si>
  <si>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</si>
  <si>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</si>
  <si>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</si>
  <si>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</si>
  <si>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</si>
  <si>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</si>
  <si>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</si>
  <si>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</si>
  <si>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</si>
  <si>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</si>
  <si>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</si>
  <si>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</si>
  <si>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</si>
  <si>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</si>
  <si>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</si>
  <si>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</si>
  <si>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</si>
  <si>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</si>
  <si>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</si>
  <si>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</si>
  <si>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</si>
  <si>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</si>
  <si>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</si>
  <si>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</si>
  <si>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</si>
  <si>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</si>
  <si>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</si>
  <si>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</si>
  <si>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</si>
  <si>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</si>
  <si>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</si>
  <si>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</si>
  <si>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</si>
  <si>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</si>
  <si>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</si>
  <si>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</si>
  <si>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</si>
  <si>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</si>
  <si>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</si>
  <si>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</si>
  <si>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</si>
  <si>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</si>
  <si>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</si>
  <si>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</si>
  <si>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</si>
  <si>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</si>
  <si>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</si>
  <si>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</si>
  <si>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</si>
  <si>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</si>
  <si>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</si>
  <si>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</si>
  <si>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</si>
  <si>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</si>
  <si>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</si>
  <si>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</si>
  <si>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</si>
  <si>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</si>
  <si>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</si>
  <si>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</si>
  <si>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</si>
  <si>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</si>
  <si>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</si>
  <si>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</si>
  <si>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</si>
  <si>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</si>
  <si>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</si>
  <si>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</si>
  <si>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</si>
  <si>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</si>
  <si>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</si>
  <si>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</si>
  <si>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</si>
  <si>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</si>
  <si>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</si>
  <si>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</si>
  <si>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</si>
  <si>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</si>
  <si>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</si>
  <si>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</si>
  <si>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</si>
  <si>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</si>
  <si>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</si>
  <si>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</si>
  <si>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</si>
  <si>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</si>
  <si>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</si>
  <si>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</si>
  <si>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</si>
  <si>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</si>
  <si>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</si>
  <si>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</si>
  <si>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</si>
  <si>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</si>
  <si>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</si>
  <si>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</si>
  <si>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</si>
  <si>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</si>
  <si>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</si>
  <si>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</si>
  <si>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</si>
  <si>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</si>
  <si>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</si>
  <si>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</si>
  <si>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</si>
  <si>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</si>
  <si>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</si>
  <si>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</si>
  <si>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</si>
  <si>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</si>
  <si>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</si>
  <si>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</si>
  <si>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</si>
  <si>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</si>
  <si>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</si>
  <si>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</si>
  <si>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</si>
  <si>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</si>
  <si>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</si>
  <si>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</si>
  <si>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</si>
  <si>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</si>
  <si>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</si>
  <si>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</si>
  <si>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</si>
  <si>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</si>
  <si>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</si>
  <si>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</si>
  <si>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</si>
  <si>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</si>
  <si>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</si>
  <si>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</si>
  <si>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</si>
  <si>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</si>
  <si>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</si>
  <si>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</si>
  <si>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</si>
  <si>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</si>
  <si>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</si>
  <si>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</si>
  <si>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</si>
  <si>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</si>
  <si>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</si>
  <si>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</si>
  <si>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</si>
  <si>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</si>
  <si>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</si>
  <si>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</si>
  <si>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</si>
  <si>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</si>
  <si>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</si>
  <si>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</si>
  <si>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</si>
  <si>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</si>
  <si>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</si>
  <si>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</si>
  <si>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</si>
  <si>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</si>
  <si>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</si>
  <si>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</si>
  <si>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</si>
  <si>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</si>
  <si>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</si>
  <si>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</si>
  <si>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</si>
  <si>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</si>
  <si>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</si>
  <si>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</si>
  <si>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</si>
  <si>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</si>
  <si>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</si>
  <si>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</si>
  <si>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</si>
  <si>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</si>
  <si>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</si>
  <si>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</si>
  <si>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</si>
  <si>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</si>
  <si>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</si>
  <si>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</si>
  <si>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</si>
  <si>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</si>
  <si>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</si>
  <si>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</si>
  <si>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</si>
  <si>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</si>
  <si>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</si>
  <si>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</si>
  <si>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</si>
  <si>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</si>
  <si>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</si>
  <si>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</si>
  <si>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</si>
  <si>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</si>
  <si>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</si>
  <si>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</si>
  <si>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</si>
  <si>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</si>
  <si>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</si>
  <si>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</si>
  <si>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</si>
  <si>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</si>
  <si>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</si>
  <si>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</si>
  <si>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</si>
  <si>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</si>
  <si>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</si>
  <si>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</si>
  <si>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</si>
  <si>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</si>
  <si>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</si>
  <si>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</si>
  <si>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</si>
  <si>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</si>
  <si>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</si>
  <si>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</si>
  <si>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</si>
  <si>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</si>
  <si>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</si>
  <si>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</si>
  <si>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</si>
  <si>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</si>
  <si>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</si>
  <si>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</si>
  <si>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</si>
  <si>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</si>
  <si>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</si>
  <si>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</si>
  <si>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</si>
  <si>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</si>
  <si>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</si>
  <si>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</si>
  <si>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</si>
  <si>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</si>
  <si>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</si>
  <si>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</si>
  <si>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</si>
  <si>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</si>
  <si>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</si>
  <si>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</si>
  <si>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</si>
  <si>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</si>
  <si>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</si>
  <si>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</si>
  <si>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</si>
  <si>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</si>
  <si>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</si>
  <si>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</si>
  <si>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</si>
  <si>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</si>
  <si>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</si>
  <si>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</si>
  <si>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</si>
  <si>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</si>
  <si>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</si>
  <si>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</si>
  <si>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</si>
  <si>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</si>
  <si>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</si>
  <si>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</si>
  <si>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</si>
  <si>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</si>
  <si>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</si>
  <si>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</si>
  <si>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</si>
  <si>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</si>
  <si>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</si>
  <si>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</si>
  <si>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</si>
  <si>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</si>
  <si>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</si>
  <si>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</si>
  <si>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</si>
  <si>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</si>
  <si>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</si>
  <si>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</si>
  <si>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</si>
  <si>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</si>
  <si>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</si>
  <si>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</si>
  <si>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</si>
  <si>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</si>
  <si>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</si>
  <si>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</si>
  <si>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</si>
  <si>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</si>
  <si>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</si>
  <si>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</si>
  <si>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</si>
  <si>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</si>
  <si>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</si>
  <si>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</si>
  <si>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</si>
  <si>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</si>
  <si>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</si>
  <si>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</si>
  <si>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</si>
  <si>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</si>
  <si>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</si>
  <si>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</si>
  <si>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</si>
  <si>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</si>
  <si>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</si>
  <si>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</si>
  <si>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</si>
  <si>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</si>
  <si>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</si>
  <si>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</si>
  <si>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</si>
  <si>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</si>
  <si>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</si>
  <si>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</si>
  <si>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</si>
  <si>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</si>
  <si>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</si>
  <si>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</si>
  <si>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</si>
  <si>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</si>
  <si>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</si>
  <si>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</si>
  <si>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</si>
  <si>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</si>
  <si>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</si>
  <si>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</si>
  <si>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</si>
  <si>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</si>
  <si>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</si>
  <si>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</si>
  <si>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</si>
  <si>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</si>
  <si>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</si>
  <si>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</si>
  <si>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</si>
  <si>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</si>
  <si>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</si>
  <si>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</si>
  <si>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</si>
  <si>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</si>
  <si>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</si>
  <si>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</si>
  <si>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</si>
  <si>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</si>
  <si>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</si>
  <si>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</si>
  <si>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</si>
  <si>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</si>
  <si>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</si>
  <si>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</si>
  <si>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</si>
  <si>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</si>
  <si>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</si>
  <si>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</si>
  <si>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</si>
  <si>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</si>
  <si>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</si>
  <si>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</si>
  <si>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</si>
  <si>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</si>
  <si>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</si>
  <si>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</si>
  <si>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</si>
  <si>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</si>
  <si>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</si>
  <si>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</si>
  <si>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</si>
  <si>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</si>
  <si>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</si>
  <si>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</si>
  <si>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</si>
  <si>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</si>
  <si>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</si>
  <si>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</si>
  <si>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</si>
  <si>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</si>
  <si>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</si>
  <si>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</si>
  <si>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</si>
  <si>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</si>
  <si>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</si>
  <si>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</si>
  <si>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</si>
  <si>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</si>
  <si>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</si>
  <si>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</si>
  <si>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</si>
  <si>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</si>
  <si>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</si>
  <si>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</si>
  <si>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</si>
  <si>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</si>
  <si>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</si>
  <si>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</si>
  <si>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</si>
  <si>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</si>
  <si>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</si>
  <si>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</si>
  <si>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</si>
  <si>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</si>
  <si>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</si>
  <si>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</si>
  <si>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</si>
  <si>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</si>
  <si>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</si>
  <si>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</si>
  <si>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</si>
  <si>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</si>
  <si>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</si>
  <si>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</si>
  <si>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</si>
  <si>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</si>
  <si>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</si>
  <si>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</si>
  <si>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</si>
  <si>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</si>
  <si>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</si>
  <si>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</si>
  <si>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</si>
  <si>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</si>
  <si>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</si>
  <si>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</si>
  <si>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</si>
  <si>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</si>
  <si>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</si>
  <si>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</si>
  <si>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</si>
  <si>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</si>
  <si>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</si>
  <si>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</si>
  <si>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</si>
  <si>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</si>
  <si>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</si>
  <si>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</si>
  <si>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</si>
  <si>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</si>
  <si>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</si>
  <si>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</si>
  <si>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</si>
  <si>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</si>
  <si>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</si>
  <si>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</si>
  <si>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</si>
  <si>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</si>
  <si>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</si>
  <si>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</si>
  <si>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</si>
  <si>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</si>
  <si>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</si>
  <si>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</si>
  <si>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</si>
  <si>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</si>
  <si>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</si>
  <si>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</si>
  <si>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</si>
  <si>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</si>
  <si>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</si>
  <si>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</si>
  <si>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</si>
  <si>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</si>
  <si>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</si>
  <si>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</si>
  <si>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</si>
  <si>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</si>
  <si>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</si>
  <si>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</si>
  <si>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</si>
  <si>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</si>
  <si>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</si>
  <si>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</si>
  <si>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</si>
  <si>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</si>
  <si>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</si>
  <si>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</si>
  <si>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</si>
  <si>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</si>
  <si>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</si>
  <si>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</si>
  <si>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</si>
  <si>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</si>
  <si>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</si>
  <si>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</si>
  <si>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</si>
  <si>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</si>
  <si>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</si>
  <si>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</si>
  <si>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</si>
  <si>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</si>
  <si>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</si>
  <si>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</si>
  <si>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</si>
  <si>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</si>
  <si>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</si>
  <si>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</si>
  <si>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</si>
  <si>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</si>
  <si>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</si>
  <si>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</si>
  <si>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</si>
  <si>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</si>
  <si>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</si>
  <si>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</si>
  <si>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</si>
  <si>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</si>
  <si>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</si>
  <si>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</si>
  <si>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</si>
  <si>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</si>
  <si>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</si>
  <si>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</si>
  <si>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</si>
  <si>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</si>
  <si>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</si>
  <si>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</si>
  <si>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</si>
  <si>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</si>
  <si>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</si>
  <si>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</si>
  <si>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</si>
  <si>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</si>
  <si>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</si>
  <si>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</si>
  <si>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</si>
  <si>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</si>
  <si>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</si>
  <si>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</si>
  <si>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</si>
  <si>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</si>
  <si>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</si>
  <si>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</si>
  <si>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</si>
  <si>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</si>
  <si>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</si>
  <si>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</si>
  <si>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</si>
  <si>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</si>
  <si>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</si>
  <si>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</si>
  <si>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</si>
  <si>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</si>
  <si>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</si>
  <si>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</si>
  <si>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</si>
  <si>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</si>
  <si>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</si>
  <si>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</si>
  <si>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</si>
  <si>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</si>
  <si>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</si>
  <si>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</si>
  <si>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</si>
  <si>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</si>
  <si>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</si>
  <si>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</si>
  <si>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</si>
  <si>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</si>
  <si>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</si>
  <si>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</si>
  <si>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</si>
  <si>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</si>
  <si>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</si>
  <si>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</si>
  <si>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</si>
  <si>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</si>
  <si>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</si>
  <si>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</si>
  <si>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</si>
  <si>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</si>
  <si>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</si>
  <si>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</si>
  <si>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</si>
  <si>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</si>
  <si>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</si>
  <si>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</si>
  <si>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</si>
  <si>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</si>
  <si>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</si>
  <si>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</si>
  <si>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</si>
  <si>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</si>
  <si>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</si>
  <si>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</si>
  <si>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</si>
  <si>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</si>
  <si>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</si>
  <si>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</si>
  <si>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</si>
  <si>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</si>
  <si>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</si>
  <si>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</si>
  <si>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</si>
  <si>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</si>
  <si>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</si>
  <si>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</si>
  <si>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</si>
  <si>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</si>
  <si>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</si>
  <si>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</si>
  <si>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</si>
  <si>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</si>
  <si>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</si>
  <si>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</si>
  <si>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</si>
  <si>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</si>
  <si>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</si>
  <si>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</si>
  <si>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</si>
  <si>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</si>
  <si>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</si>
  <si>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</si>
  <si>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</si>
  <si>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</si>
  <si>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</si>
  <si>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</si>
  <si>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</si>
  <si>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</si>
  <si>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</si>
  <si>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</si>
  <si>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</si>
  <si>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</si>
  <si>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</si>
  <si>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</si>
  <si>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</si>
  <si>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</si>
  <si>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</si>
  <si>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</si>
  <si>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</si>
  <si>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</si>
  <si>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</si>
  <si>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</si>
  <si>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</si>
  <si>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</si>
  <si>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</si>
  <si>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</si>
  <si>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</si>
  <si>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</si>
  <si>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</si>
  <si>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</si>
  <si>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</si>
  <si>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</si>
  <si>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</si>
  <si>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</si>
  <si>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</si>
  <si>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</si>
  <si>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</si>
  <si>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</si>
  <si>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</si>
  <si>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</si>
  <si>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</si>
  <si>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</si>
  <si>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</si>
  <si>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</si>
  <si>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</si>
  <si>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</si>
  <si>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</si>
  <si>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</si>
  <si>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</si>
  <si>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</si>
  <si>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</si>
  <si>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</si>
  <si>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</si>
  <si>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</si>
  <si>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</si>
  <si>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</si>
  <si>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</si>
  <si>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</si>
  <si>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</si>
  <si>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</si>
  <si>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</si>
  <si>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</si>
  <si>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</si>
  <si>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</si>
  <si>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</si>
  <si>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</si>
  <si>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</si>
  <si>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</si>
  <si>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</si>
  <si>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</si>
  <si>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</si>
  <si>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</si>
  <si>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</si>
  <si>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</si>
  <si>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</si>
  <si>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</si>
  <si>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</si>
  <si>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</si>
  <si>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</si>
  <si>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</si>
  <si>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</si>
  <si>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</si>
  <si>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</si>
  <si>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</si>
  <si>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</si>
  <si>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</si>
  <si>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</si>
  <si>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</si>
  <si>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</si>
  <si>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</si>
  <si>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</si>
  <si>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</si>
  <si>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</si>
  <si>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</si>
  <si>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</si>
  <si>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</si>
  <si>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</si>
  <si>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</si>
  <si>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</si>
  <si>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</si>
  <si>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</si>
  <si>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</si>
  <si>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</si>
  <si>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</si>
  <si>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</si>
  <si>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</si>
  <si>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</si>
  <si>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</si>
  <si>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</si>
  <si>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</si>
  <si>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</si>
  <si>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</si>
  <si>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</si>
  <si>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</si>
  <si>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</si>
  <si>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</si>
  <si>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</si>
  <si>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</si>
  <si>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</si>
  <si>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</si>
  <si>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</si>
  <si>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</si>
  <si>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</si>
  <si>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</si>
  <si>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</si>
  <si>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</si>
  <si>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</si>
  <si>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</si>
  <si>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</si>
  <si>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</si>
  <si>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</si>
  <si>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</si>
  <si>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</si>
  <si>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</si>
  <si>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</si>
  <si>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</si>
  <si>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</si>
  <si>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</si>
  <si>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</si>
  <si>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</si>
  <si>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</si>
  <si>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</si>
  <si>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</si>
  <si>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</si>
  <si>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</si>
  <si>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</si>
  <si>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</si>
  <si>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</si>
  <si>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</si>
  <si>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</si>
  <si>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</si>
  <si>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</si>
  <si>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</si>
  <si>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</si>
  <si>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</si>
  <si>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</si>
  <si>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</si>
  <si>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</si>
  <si>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</si>
  <si>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</si>
  <si>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</si>
  <si>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</si>
  <si>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</si>
  <si>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</si>
  <si>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</si>
  <si>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</si>
  <si>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</si>
  <si>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</si>
  <si>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</si>
  <si>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</si>
  <si>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</si>
  <si>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</si>
  <si>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</si>
  <si>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</si>
  <si>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</si>
  <si>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</si>
  <si>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</si>
  <si>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</si>
  <si>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</si>
  <si>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</si>
  <si>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</si>
  <si>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</si>
  <si>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</si>
  <si>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</si>
  <si>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</si>
  <si>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</si>
  <si>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</si>
  <si>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</si>
  <si>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</si>
  <si>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</si>
  <si>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</si>
  <si>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</si>
  <si>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</si>
  <si>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</si>
  <si>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</si>
  <si>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</si>
  <si>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</si>
  <si>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</si>
  <si>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</si>
  <si>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</si>
  <si>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</si>
  <si>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</si>
  <si>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</si>
  <si>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</si>
  <si>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</si>
  <si>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</si>
  <si>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</si>
  <si>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</si>
  <si>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</si>
  <si>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</si>
  <si>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</si>
  <si>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</si>
  <si>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</si>
  <si>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</si>
  <si>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</si>
  <si>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</si>
  <si>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</si>
  <si>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</si>
  <si>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</si>
  <si>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</si>
  <si>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</si>
  <si>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</si>
  <si>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</si>
  <si>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</si>
  <si>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</si>
  <si>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</si>
  <si>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</si>
  <si>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</si>
  <si>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</si>
  <si>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</si>
  <si>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</si>
  <si>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</si>
  <si>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</si>
  <si>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</si>
  <si>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</si>
  <si>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</si>
  <si>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</si>
  <si>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</si>
  <si>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</si>
  <si>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</si>
  <si>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</si>
  <si>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</si>
  <si>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</si>
  <si>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</si>
  <si>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</si>
  <si>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</si>
  <si>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</si>
  <si>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</si>
  <si>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</si>
  <si>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</si>
  <si>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</si>
  <si>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</si>
  <si>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</si>
  <si>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</si>
  <si>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</si>
  <si>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</si>
  <si>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</si>
  <si>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</si>
  <si>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</si>
  <si>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</si>
  <si>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</si>
  <si>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</si>
  <si>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</si>
  <si>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</si>
  <si>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</si>
  <si>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</si>
  <si>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</si>
  <si>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</si>
  <si>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</si>
  <si>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</si>
  <si>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</si>
  <si>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</si>
  <si>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</si>
  <si>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</si>
  <si>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</si>
  <si>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</si>
  <si>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</si>
  <si>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</si>
  <si>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</si>
  <si>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</si>
  <si>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</si>
  <si>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</si>
  <si>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</si>
  <si>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</si>
  <si>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</si>
  <si>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</si>
  <si>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</si>
  <si>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</si>
  <si>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</si>
  <si>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</si>
  <si>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</si>
  <si>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</si>
  <si>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</si>
  <si>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</si>
  <si>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</si>
  <si>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</si>
  <si>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</si>
  <si>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</si>
  <si>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</si>
  <si>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</si>
  <si>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</si>
  <si>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</si>
  <si>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</si>
  <si>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</si>
  <si>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</si>
  <si>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</si>
  <si>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</si>
  <si>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</si>
  <si>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</si>
  <si>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</si>
  <si>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</si>
  <si>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</si>
  <si>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</si>
  <si>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</si>
  <si>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</si>
  <si>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</si>
  <si>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</si>
  <si>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</si>
  <si>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</si>
  <si>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</si>
  <si>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</si>
  <si>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</si>
  <si>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</si>
  <si>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</si>
  <si>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</si>
  <si>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</si>
  <si>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</si>
  <si>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</si>
  <si>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</si>
  <si>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</si>
  <si>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</si>
  <si>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</si>
  <si>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</si>
  <si>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</si>
  <si>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</si>
  <si>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</si>
  <si>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</si>
  <si>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</si>
  <si>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</si>
  <si>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</si>
  <si>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</si>
  <si>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</si>
  <si>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</si>
  <si>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</si>
  <si>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</si>
  <si>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</si>
  <si>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</si>
  <si>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</si>
  <si>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</si>
  <si>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</si>
  <si>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</si>
  <si>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</si>
  <si>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</si>
  <si>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</si>
  <si>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</si>
  <si>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</si>
  <si>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</si>
  <si>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</si>
  <si>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</si>
  <si>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</si>
  <si>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</si>
  <si>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</si>
  <si>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</si>
  <si>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</si>
  <si>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</si>
  <si>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</si>
  <si>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</si>
  <si>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</si>
  <si>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</si>
  <si>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</si>
  <si>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</si>
  <si>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</si>
  <si>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</si>
  <si>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</si>
  <si>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</si>
  <si>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</si>
  <si>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</si>
  <si>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</si>
  <si>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</si>
  <si>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</si>
  <si>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</si>
  <si>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</si>
  <si>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</si>
  <si>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</si>
  <si>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</si>
  <si>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</si>
  <si>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</si>
  <si>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</si>
  <si>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</si>
  <si>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</si>
  <si>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</si>
  <si>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</si>
  <si>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</si>
  <si>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</si>
  <si>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</si>
  <si>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</si>
  <si>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</si>
  <si>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</si>
  <si>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</si>
  <si>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</si>
  <si>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</si>
  <si>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</si>
  <si>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</si>
  <si>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</si>
  <si>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</si>
  <si>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</si>
  <si>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</si>
  <si>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</si>
  <si>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</si>
  <si>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</si>
  <si>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</si>
  <si>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</si>
  <si>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</si>
  <si>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</si>
  <si>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</si>
  <si>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</si>
  <si>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</si>
  <si>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</si>
  <si>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</si>
  <si>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</si>
  <si>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</si>
  <si>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</si>
  <si>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</si>
  <si>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</si>
  <si>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</si>
  <si>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</si>
  <si>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</si>
  <si>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</si>
  <si>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</si>
  <si>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</si>
  <si>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</si>
  <si>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</si>
  <si>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</si>
  <si>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</si>
  <si>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</si>
  <si>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</si>
  <si>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</si>
  <si>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</si>
  <si>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</si>
  <si>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</si>
  <si>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</si>
  <si>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</si>
  <si>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</si>
  <si>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</si>
  <si>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</si>
  <si>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</si>
  <si>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</si>
  <si>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</si>
  <si>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</si>
  <si>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</si>
  <si>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</si>
  <si>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</si>
  <si>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</si>
  <si>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</si>
  <si>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</si>
  <si>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</si>
  <si>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</si>
  <si>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</si>
  <si>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</si>
  <si>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</si>
  <si>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</si>
  <si>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</si>
  <si>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</si>
  <si>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</si>
  <si>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</si>
  <si>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</si>
  <si>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</si>
  <si>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</si>
  <si>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</si>
  <si>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</si>
  <si>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</si>
  <si>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</si>
  <si>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</si>
  <si>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</si>
  <si>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</si>
  <si>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</si>
  <si>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</si>
  <si>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</si>
  <si>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</si>
  <si>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</si>
  <si>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</si>
  <si>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</si>
  <si>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</si>
  <si>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</si>
  <si>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</si>
  <si>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</si>
  <si>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</si>
  <si>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</si>
  <si>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</si>
  <si>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</si>
  <si>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</si>
  <si>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</si>
  <si>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</si>
  <si>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</si>
  <si>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</si>
  <si>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</si>
  <si>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</si>
  <si>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</si>
  <si>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</si>
  <si>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</si>
  <si>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</si>
  <si>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</si>
  <si>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</si>
  <si>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</si>
  <si>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</si>
  <si>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</si>
  <si>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</si>
  <si>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</si>
  <si>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</si>
  <si>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</si>
  <si>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</si>
  <si>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</si>
  <si>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</si>
  <si>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</si>
  <si>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</si>
  <si>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</si>
  <si>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</si>
  <si>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</si>
  <si>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</si>
  <si>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</si>
  <si>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</si>
  <si>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</si>
  <si>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</si>
  <si>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</si>
  <si>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</si>
  <si>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</si>
  <si>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</si>
  <si>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</si>
  <si>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</si>
  <si>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</si>
  <si>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</si>
  <si>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</si>
  <si>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</si>
  <si>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</si>
  <si>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</si>
  <si>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</si>
  <si>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</si>
  <si>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</si>
  <si>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</si>
  <si>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</si>
  <si>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</si>
  <si>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</si>
  <si>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</si>
  <si>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</si>
  <si>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</si>
  <si>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</si>
  <si>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</si>
  <si>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</si>
  <si>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</si>
  <si>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</si>
  <si>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</si>
  <si>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</si>
  <si>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</si>
  <si>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</si>
  <si>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</si>
  <si>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</si>
  <si>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</si>
  <si>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</si>
  <si>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</si>
  <si>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</si>
  <si>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</si>
  <si>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</si>
  <si>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</si>
  <si>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</si>
  <si>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</si>
  <si>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</si>
  <si>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</si>
  <si>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</si>
  <si>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</si>
  <si>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</si>
  <si>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</si>
  <si>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</si>
  <si>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</si>
  <si>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</si>
  <si>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</si>
  <si>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</si>
  <si>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</si>
  <si>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</si>
  <si>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</si>
  <si>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</si>
  <si>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</si>
  <si>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</si>
  <si>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</si>
  <si>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</si>
  <si>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</si>
  <si>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</si>
  <si>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</si>
  <si>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</si>
  <si>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</si>
  <si>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</si>
  <si>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</si>
  <si>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</si>
  <si>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</si>
  <si>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</si>
  <si>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</si>
  <si>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</si>
  <si>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</si>
  <si>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</si>
  <si>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</si>
  <si>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</si>
  <si>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</si>
  <si>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</si>
  <si>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</si>
  <si>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</si>
  <si>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</si>
  <si>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</si>
  <si>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</si>
  <si>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</si>
  <si>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</si>
  <si>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</si>
  <si>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</si>
  <si>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</si>
  <si>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</si>
  <si>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</si>
  <si>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</si>
  <si>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</si>
  <si>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</si>
  <si>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</si>
  <si>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</si>
  <si>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</si>
  <si>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</si>
  <si>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</si>
  <si>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</si>
  <si>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</si>
  <si>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</si>
  <si>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</si>
  <si>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</si>
  <si>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</si>
  <si>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</si>
  <si>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</si>
  <si>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</si>
  <si>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</si>
  <si>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</si>
  <si>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</si>
  <si>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</si>
  <si>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</si>
  <si>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</si>
  <si>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</si>
  <si>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</si>
  <si>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</si>
  <si>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</si>
  <si>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</si>
  <si>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</si>
  <si>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</si>
  <si>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</si>
  <si>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</si>
  <si>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</si>
  <si>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</si>
  <si>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</si>
  <si>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</si>
  <si>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</si>
  <si>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</si>
  <si>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</si>
  <si>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</si>
  <si>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</si>
  <si>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</si>
  <si>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</si>
  <si>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</si>
  <si>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</si>
  <si>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</si>
  <si>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</si>
  <si>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</si>
  <si>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</si>
  <si>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</si>
  <si>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</si>
  <si>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</si>
  <si>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</si>
  <si>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</si>
  <si>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</si>
  <si>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</si>
  <si>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</si>
  <si>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</si>
  <si>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</si>
  <si>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</si>
  <si>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</si>
  <si>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</si>
  <si>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</si>
  <si>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</si>
  <si>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</si>
  <si>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</si>
  <si>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</si>
  <si>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</si>
  <si>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</si>
  <si>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</si>
  <si>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</si>
  <si>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</si>
  <si>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</si>
  <si>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</si>
  <si>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</si>
  <si>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</si>
  <si>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</si>
  <si>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</si>
  <si>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</si>
  <si>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</si>
  <si>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</si>
  <si>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</si>
  <si>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</si>
  <si>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</si>
  <si>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</si>
  <si>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</si>
  <si>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</si>
  <si>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</si>
  <si>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</si>
  <si>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</si>
  <si>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</si>
  <si>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</si>
  <si>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</si>
  <si>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</si>
  <si>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</si>
  <si>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</si>
  <si>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</si>
  <si>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</si>
  <si>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</si>
  <si>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</si>
  <si>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</si>
  <si>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</si>
  <si>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</si>
  <si>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</si>
  <si>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</si>
  <si>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</si>
  <si>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</si>
  <si>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</si>
  <si>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</si>
  <si>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</si>
  <si>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</si>
  <si>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</si>
  <si>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</si>
  <si>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</si>
  <si>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</si>
  <si>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</si>
  <si>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</si>
  <si>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</si>
  <si>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</si>
  <si>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</si>
  <si>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</si>
  <si>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</si>
  <si>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</si>
  <si>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</si>
  <si>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</si>
  <si>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</si>
  <si>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</si>
  <si>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</si>
  <si>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</si>
  <si>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</si>
  <si>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</si>
  <si>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</si>
  <si>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</si>
  <si>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</si>
  <si>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</si>
  <si>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</si>
  <si>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</si>
  <si>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</si>
  <si>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</si>
  <si>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</si>
  <si>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</si>
  <si>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</si>
  <si>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</si>
  <si>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</si>
  <si>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</si>
  <si>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</si>
  <si>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</si>
  <si>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</si>
  <si>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</si>
  <si>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</si>
  <si>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</si>
  <si>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</si>
  <si>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</si>
  <si>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</si>
  <si>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</si>
  <si>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</si>
  <si>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</si>
  <si>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</si>
  <si>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</si>
  <si>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</si>
  <si>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</si>
  <si>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</si>
  <si>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</si>
  <si>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</si>
  <si>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</si>
  <si>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</si>
  <si>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</si>
  <si>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</si>
  <si>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</si>
  <si>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</si>
  <si>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</si>
  <si>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</si>
  <si>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</si>
  <si>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</si>
  <si>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</si>
  <si>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</si>
  <si>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</si>
  <si>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</si>
  <si>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</si>
  <si>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</si>
  <si>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</si>
  <si>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</si>
  <si>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</si>
  <si>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</si>
  <si>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</si>
  <si>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</si>
  <si>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</si>
  <si>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</si>
  <si>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</si>
  <si>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</si>
  <si>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</si>
  <si>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</si>
  <si>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</si>
  <si>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</si>
  <si>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</si>
  <si>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</si>
  <si>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</si>
  <si>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</si>
  <si>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</si>
  <si>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</si>
  <si>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</si>
  <si>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</si>
  <si>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</si>
  <si>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</si>
  <si>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</si>
  <si>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</si>
  <si>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</si>
  <si>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</si>
  <si>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</si>
  <si>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</si>
  <si>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</si>
  <si>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</si>
  <si>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</si>
  <si>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</si>
  <si>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</si>
  <si>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</si>
  <si>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</si>
  <si>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</si>
  <si>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</si>
  <si>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</si>
  <si>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</si>
  <si>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</si>
  <si>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</si>
  <si>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</si>
  <si>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</si>
  <si>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</si>
  <si>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</si>
  <si>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</si>
  <si>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</si>
  <si>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</si>
  <si>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</si>
  <si>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</si>
  <si>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</si>
  <si>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</si>
  <si>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</si>
  <si>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</si>
  <si>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</si>
  <si>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</si>
  <si>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</si>
  <si>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</si>
  <si>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</si>
  <si>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</si>
  <si>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</si>
  <si>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</si>
  <si>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</si>
  <si>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</si>
  <si>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</si>
  <si>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</si>
  <si>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</si>
  <si>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</si>
  <si>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</si>
  <si>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</si>
  <si>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</si>
  <si>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</si>
  <si>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</si>
  <si>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</si>
  <si>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</si>
  <si>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</si>
  <si>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</si>
  <si>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</si>
  <si>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</si>
  <si>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</si>
  <si>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</si>
  <si>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</si>
  <si>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</si>
  <si>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</si>
  <si>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</si>
  <si>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</si>
  <si>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</si>
  <si>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</si>
  <si>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</si>
  <si>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</si>
  <si>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</si>
  <si>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</si>
  <si>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</si>
  <si>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</si>
  <si>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</si>
  <si>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</si>
  <si>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</si>
  <si>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</si>
  <si>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</si>
  <si>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</si>
  <si>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</si>
  <si>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</si>
  <si>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</si>
  <si>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</si>
  <si>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</si>
  <si>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</si>
  <si>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</si>
  <si>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</si>
  <si>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</si>
  <si>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</si>
  <si>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</si>
  <si>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</si>
  <si>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</si>
  <si>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</si>
  <si>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</si>
  <si>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</si>
  <si>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</si>
  <si>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</si>
  <si>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</si>
  <si>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</si>
  <si>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</si>
  <si>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</si>
  <si>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</si>
  <si>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</si>
  <si>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</si>
  <si>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</si>
  <si>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</si>
  <si>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</si>
  <si>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</si>
  <si>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</si>
  <si>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</si>
  <si>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</si>
  <si>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</si>
  <si>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</si>
  <si>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</si>
  <si>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</si>
  <si>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</si>
  <si>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</si>
  <si>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</si>
  <si>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</si>
  <si>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</si>
  <si>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</si>
  <si>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</si>
  <si>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</si>
  <si>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</si>
  <si>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</si>
  <si>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</si>
  <si>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</si>
  <si>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</si>
  <si>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</si>
  <si>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</si>
  <si>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</si>
  <si>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</si>
  <si>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</si>
  <si>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</si>
  <si>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</si>
  <si>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</si>
  <si>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</si>
  <si>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</si>
  <si>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</si>
  <si>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</si>
  <si>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</si>
  <si>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</si>
  <si>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</si>
  <si>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</si>
  <si>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</si>
  <si>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</si>
  <si>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</si>
  <si>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</si>
  <si>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</si>
  <si>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</si>
  <si>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</si>
  <si>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</si>
  <si>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</si>
  <si>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</si>
  <si>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</si>
  <si>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</si>
  <si>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</si>
  <si>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</si>
  <si>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</si>
  <si>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</si>
  <si>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</si>
  <si>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</si>
  <si>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</si>
  <si>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</si>
  <si>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</si>
  <si>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</si>
  <si>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</si>
  <si>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</si>
  <si>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</si>
  <si>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</si>
  <si>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</si>
  <si>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</si>
  <si>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</si>
  <si>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</si>
  <si>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</si>
  <si>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</si>
  <si>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</si>
  <si>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</si>
  <si>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</si>
  <si>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</si>
  <si>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</si>
  <si>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</si>
  <si>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</si>
  <si>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</si>
  <si>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</si>
  <si>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</si>
  <si>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</si>
  <si>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</si>
  <si>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</si>
  <si>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</si>
  <si>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</si>
  <si>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</si>
  <si>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</si>
  <si>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</si>
  <si>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</si>
  <si>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</si>
  <si>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</si>
  <si>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</si>
  <si>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</si>
  <si>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</si>
  <si>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</si>
  <si>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</si>
  <si>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</si>
  <si>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</si>
  <si>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</si>
  <si>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</si>
  <si>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</si>
  <si>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</si>
  <si>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</si>
  <si>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</si>
  <si>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</si>
  <si>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</si>
  <si>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</si>
  <si>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</si>
  <si>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</si>
  <si>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</si>
  <si>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</si>
  <si>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</si>
  <si>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</si>
  <si>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</si>
  <si>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</si>
  <si>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</si>
  <si>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</si>
  <si>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</si>
  <si>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</si>
  <si>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</si>
  <si>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</si>
  <si>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</si>
  <si>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</si>
  <si>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</si>
  <si>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</si>
  <si>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</si>
  <si>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</si>
  <si>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</si>
  <si>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</si>
  <si>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</si>
  <si>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</si>
  <si>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</si>
  <si>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</si>
  <si>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</si>
  <si>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</si>
  <si>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</si>
  <si>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</si>
  <si>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</si>
  <si>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</si>
  <si>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</si>
  <si>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</si>
  <si>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</si>
  <si>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</si>
  <si>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</si>
  <si>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</si>
  <si>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</si>
  <si>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</si>
  <si>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</si>
  <si>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</si>
  <si>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</si>
  <si>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</si>
  <si>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</si>
  <si>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</si>
  <si>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</si>
  <si>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</si>
  <si>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</si>
  <si>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</si>
  <si>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</si>
  <si>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</si>
  <si>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</si>
  <si>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</si>
  <si>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</si>
  <si>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</si>
  <si>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</si>
  <si>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</si>
  <si>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</si>
  <si>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</si>
  <si>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</si>
  <si>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</si>
  <si>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</si>
  <si>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</si>
  <si>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</si>
  <si>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</si>
  <si>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</si>
  <si>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</si>
  <si>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</si>
  <si>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</si>
  <si>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</si>
  <si>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</si>
  <si>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</si>
  <si>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</si>
  <si>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</si>
  <si>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</si>
  <si>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</si>
  <si>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</si>
  <si>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</si>
  <si>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</si>
  <si>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</si>
  <si>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</si>
  <si>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</si>
  <si>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</si>
  <si>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</si>
  <si>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</si>
  <si>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</si>
  <si>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</si>
  <si>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</si>
  <si>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</si>
  <si>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</si>
  <si>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</si>
  <si>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</si>
  <si>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</si>
  <si>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</si>
  <si>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</si>
  <si>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</si>
  <si>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</si>
  <si>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</si>
  <si>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</si>
  <si>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</si>
  <si>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</si>
  <si>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</si>
  <si>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</si>
  <si>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</si>
  <si>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</si>
  <si>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</si>
  <si>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</si>
  <si>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</si>
  <si>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</si>
  <si>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</si>
  <si>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</si>
  <si>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</si>
  <si>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</si>
  <si>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</si>
  <si>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</si>
  <si>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</si>
  <si>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</si>
  <si>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</si>
  <si>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</si>
  <si>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</si>
  <si>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</si>
  <si>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</si>
  <si>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</si>
  <si>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</si>
  <si>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</si>
  <si>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</si>
  <si>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</si>
  <si>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</si>
  <si>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</si>
  <si>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</si>
  <si>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</si>
  <si>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</si>
  <si>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</si>
  <si>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</si>
  <si>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</si>
  <si>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</si>
  <si>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</si>
  <si>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</si>
  <si>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</si>
  <si>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</si>
  <si>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</si>
  <si>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</si>
  <si>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</si>
  <si>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</si>
  <si>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</si>
  <si>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</si>
  <si>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</si>
  <si>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</si>
  <si>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</si>
  <si>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</si>
  <si>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</si>
  <si>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</si>
  <si>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</si>
  <si>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</si>
  <si>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</si>
  <si>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</si>
  <si>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</si>
  <si>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</si>
  <si>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</si>
  <si>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</si>
  <si>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</si>
  <si>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</si>
  <si>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</si>
  <si>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</si>
  <si>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</si>
  <si>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</si>
  <si>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</si>
  <si>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</si>
  <si>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</si>
  <si>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</si>
  <si>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</si>
  <si>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</si>
  <si>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</si>
  <si>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</si>
  <si>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</si>
  <si>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</si>
  <si>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</si>
  <si>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</si>
  <si>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</si>
  <si>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</si>
  <si>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</si>
  <si>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</si>
  <si>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</si>
  <si>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</si>
  <si>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</si>
  <si>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</si>
  <si>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</si>
  <si>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</si>
  <si>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</si>
  <si>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</si>
  <si>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</si>
  <si>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</si>
  <si>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</si>
  <si>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</si>
  <si>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</si>
  <si>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</si>
  <si>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</si>
  <si>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</si>
  <si>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</si>
  <si>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</si>
  <si>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</si>
  <si>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</si>
  <si>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</si>
  <si>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</si>
  <si>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</si>
  <si>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</si>
  <si>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</si>
  <si>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</si>
  <si>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</si>
  <si>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</si>
  <si>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</si>
  <si>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</si>
  <si>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</si>
  <si>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</si>
  <si>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</si>
  <si>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</si>
  <si>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</si>
  <si>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</si>
  <si>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</si>
  <si>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</si>
  <si>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</si>
  <si>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</si>
  <si>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</si>
  <si>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</si>
  <si>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</si>
  <si>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</si>
  <si>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</si>
  <si>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</si>
  <si>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</si>
  <si>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</si>
  <si>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</si>
  <si>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</si>
  <si>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</si>
  <si>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</si>
  <si>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</si>
  <si>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</si>
  <si>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</si>
  <si>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</si>
  <si>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</si>
  <si>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</si>
  <si>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</si>
  <si>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</si>
  <si>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</si>
  <si>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</si>
  <si>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</si>
  <si>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</si>
  <si>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</si>
  <si>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</si>
  <si>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</si>
  <si>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</si>
  <si>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</si>
  <si>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</si>
  <si>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</si>
  <si>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</si>
  <si>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</si>
  <si>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</si>
  <si>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</si>
  <si>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</si>
  <si>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</si>
  <si>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</si>
  <si>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</si>
  <si>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</si>
  <si>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</si>
  <si>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</si>
  <si>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</si>
  <si>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</si>
  <si>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</si>
  <si>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</si>
  <si>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</si>
  <si>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</si>
  <si>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</si>
  <si>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</si>
  <si>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</si>
  <si>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</si>
  <si>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</si>
  <si>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</si>
  <si>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</si>
  <si>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</si>
  <si>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</si>
  <si>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</si>
  <si>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</si>
  <si>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</si>
  <si>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</si>
  <si>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</si>
  <si>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</si>
  <si>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</si>
  <si>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</si>
  <si>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</si>
  <si>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</si>
  <si>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</si>
  <si>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</si>
  <si>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</si>
  <si>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</si>
  <si>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</si>
  <si>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</si>
  <si>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</si>
  <si>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</si>
  <si>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</si>
  <si>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</si>
  <si>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</si>
  <si>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</si>
  <si>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</si>
  <si>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</si>
  <si>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</si>
  <si>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</si>
  <si>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</si>
  <si>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</si>
  <si>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</si>
  <si>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</si>
  <si>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</si>
  <si>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</si>
  <si>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</si>
  <si>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</si>
  <si>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</si>
  <si>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</si>
  <si>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</si>
  <si>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</si>
  <si>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</si>
  <si>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</si>
  <si>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</si>
  <si>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</si>
  <si>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</si>
  <si>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</si>
  <si>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</si>
  <si>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</si>
  <si>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</si>
  <si>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</si>
  <si>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</si>
  <si>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</si>
  <si>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</si>
  <si>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</si>
  <si>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</si>
  <si>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</si>
  <si>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</si>
  <si>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</si>
  <si>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</si>
  <si>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</si>
  <si>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</si>
  <si>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</si>
  <si>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</si>
  <si>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</si>
  <si>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</si>
  <si>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</si>
  <si>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</si>
  <si>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</si>
  <si>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</si>
  <si>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</si>
  <si>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</si>
  <si>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</si>
  <si>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</si>
  <si>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</si>
  <si>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</si>
  <si>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</si>
  <si>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</si>
  <si>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</si>
  <si>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</si>
  <si>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</si>
  <si>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</si>
  <si>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</si>
  <si>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</si>
  <si>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</si>
  <si>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</si>
  <si>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</si>
  <si>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</si>
  <si>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</si>
  <si>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</si>
  <si>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</si>
  <si>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</si>
  <si>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</si>
  <si>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</si>
  <si>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</si>
  <si>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</si>
  <si>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</si>
  <si>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</si>
  <si>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</si>
  <si>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</si>
  <si>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</si>
  <si>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</si>
  <si>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</si>
  <si>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</si>
  <si>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</si>
  <si>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</si>
  <si>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</si>
  <si>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</si>
  <si>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</si>
  <si>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</si>
  <si>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</si>
  <si>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</si>
  <si>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</si>
  <si>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</si>
  <si>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</si>
  <si>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</si>
  <si>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</si>
  <si>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</si>
  <si>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</si>
  <si>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</si>
  <si>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</si>
  <si>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</si>
  <si>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</si>
  <si>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</si>
  <si>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</si>
  <si>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</si>
  <si>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</si>
  <si>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</si>
  <si>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</si>
  <si>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</si>
  <si>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</si>
  <si>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</si>
  <si>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</si>
  <si>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</si>
  <si>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</si>
  <si>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</si>
  <si>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</si>
  <si>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</si>
  <si>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</si>
  <si>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</si>
  <si>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</si>
  <si>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</si>
  <si>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</si>
  <si>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</si>
  <si>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</si>
  <si>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</si>
  <si>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</si>
  <si>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</si>
  <si>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</si>
  <si>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</si>
  <si>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</si>
  <si>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</si>
  <si>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</si>
  <si>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</si>
  <si>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</si>
  <si>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</si>
  <si>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</si>
  <si>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</si>
  <si>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</si>
  <si>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</si>
  <si>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</si>
  <si>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</si>
  <si>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</si>
  <si>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</si>
  <si>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</si>
  <si>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</si>
  <si>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</si>
  <si>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</si>
  <si>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</si>
  <si>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</si>
  <si>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</si>
  <si>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</si>
  <si>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</si>
  <si>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</si>
  <si>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</si>
  <si>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</si>
  <si>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</si>
  <si>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</si>
  <si>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</si>
  <si>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</si>
  <si>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</si>
  <si>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</si>
  <si>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</si>
  <si>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</si>
  <si>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</si>
  <si>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</si>
  <si>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</si>
  <si>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</si>
  <si>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</si>
  <si>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</si>
  <si>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</si>
  <si>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</si>
  <si>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</si>
  <si>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</si>
  <si>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</si>
  <si>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</si>
  <si>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</si>
  <si>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</si>
  <si>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</si>
  <si>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</si>
  <si>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</si>
  <si>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</si>
  <si>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</si>
  <si>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</si>
  <si>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</si>
  <si>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</si>
  <si>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</si>
  <si>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</si>
  <si>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</si>
  <si>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</si>
  <si>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</si>
  <si>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</si>
  <si>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</si>
  <si>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</si>
  <si>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</si>
  <si>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</si>
  <si>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</si>
  <si>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</si>
  <si>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</si>
  <si>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</si>
  <si>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</si>
  <si>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</si>
  <si>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</si>
  <si>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</si>
  <si>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</si>
  <si>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</si>
  <si>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</si>
  <si>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</si>
  <si>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</si>
  <si>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</si>
  <si>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</si>
  <si>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</si>
  <si>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</si>
  <si>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</si>
  <si>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</si>
  <si>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</si>
  <si>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</si>
  <si>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</si>
  <si>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</si>
  <si>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</si>
  <si>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</si>
  <si>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</si>
  <si>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</si>
  <si>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</si>
  <si>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</si>
  <si>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</si>
  <si>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</si>
  <si>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</si>
  <si>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</si>
  <si>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</si>
  <si>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</si>
  <si>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</si>
  <si>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</si>
  <si>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</si>
  <si>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</si>
  <si>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</si>
  <si>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</si>
  <si>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</si>
  <si>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</si>
  <si>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</si>
  <si>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</si>
  <si>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</si>
  <si>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</si>
  <si>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</si>
  <si>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</si>
  <si>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</si>
  <si>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</si>
  <si>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</si>
  <si>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</si>
  <si>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</si>
  <si>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</si>
  <si>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</si>
  <si>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</si>
  <si>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</si>
  <si>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</si>
  <si>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</si>
  <si>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</si>
  <si>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</si>
  <si>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</si>
  <si>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</si>
  <si>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</si>
  <si>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</si>
  <si>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</si>
  <si>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</si>
  <si>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</si>
  <si>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</si>
  <si>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</si>
  <si>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</si>
  <si>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</si>
  <si>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</si>
  <si>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</si>
  <si>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</si>
  <si>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</si>
  <si>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</si>
  <si>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</si>
  <si>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</si>
  <si>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</si>
  <si>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</si>
  <si>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</si>
  <si>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</si>
  <si>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</si>
  <si>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</si>
  <si>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</si>
  <si>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</si>
  <si>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</si>
  <si>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</si>
  <si>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</si>
  <si>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</si>
  <si>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</si>
  <si>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</si>
  <si>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</si>
  <si>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</si>
  <si>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</si>
  <si>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</si>
  <si>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</si>
  <si>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</si>
  <si>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</si>
  <si>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</si>
  <si>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</si>
  <si>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</si>
  <si>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</si>
  <si>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</si>
  <si>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</si>
  <si>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</si>
  <si>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</si>
  <si>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</si>
  <si>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</si>
  <si>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</si>
  <si>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</si>
  <si>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</si>
  <si>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</si>
  <si>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</si>
  <si>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</si>
  <si>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</si>
  <si>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</si>
  <si>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</si>
  <si>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</si>
  <si>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</si>
  <si>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</si>
  <si>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</si>
  <si>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</si>
  <si>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</si>
  <si>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</si>
  <si>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</si>
  <si>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</si>
  <si>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</si>
  <si>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</si>
  <si>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</si>
  <si>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</si>
  <si>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</si>
  <si>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</si>
  <si>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</si>
  <si>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</si>
  <si>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</si>
  <si>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</si>
  <si>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</si>
  <si>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</si>
  <si>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</si>
  <si>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</si>
  <si>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</si>
  <si>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</si>
  <si>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</si>
  <si>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</si>
  <si>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</si>
  <si>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</si>
  <si>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</si>
  <si>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</si>
  <si>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</si>
  <si>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</si>
  <si>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</si>
  <si>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</si>
  <si>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</si>
  <si>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</si>
  <si>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</si>
  <si>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</si>
  <si>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</si>
  <si>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</si>
  <si>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</si>
  <si>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</si>
  <si>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</si>
  <si>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</si>
  <si>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</si>
  <si>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</si>
  <si>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</si>
  <si>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</si>
  <si>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</si>
  <si>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</si>
  <si>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</si>
  <si>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</si>
  <si>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</si>
  <si>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</si>
  <si>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</si>
  <si>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</si>
  <si>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</si>
  <si>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</si>
  <si>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</si>
  <si>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</si>
  <si>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</si>
  <si>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</si>
  <si>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</si>
  <si>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</si>
  <si>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</si>
  <si>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</si>
  <si>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</si>
  <si>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</si>
  <si>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</si>
  <si>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</si>
  <si>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</si>
  <si>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</si>
  <si>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</si>
  <si>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</si>
  <si>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</si>
  <si>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</si>
  <si>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</si>
  <si>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</si>
  <si>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</si>
  <si>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</si>
  <si>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</si>
  <si>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</si>
  <si>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</si>
  <si>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</si>
  <si>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</si>
  <si>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</si>
  <si>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</si>
  <si>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</si>
  <si>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</si>
  <si>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</si>
  <si>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</si>
  <si>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</si>
  <si>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</si>
  <si>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</si>
  <si>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</si>
  <si>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</si>
  <si>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</si>
  <si>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</si>
  <si>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</si>
  <si>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</si>
  <si>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</si>
  <si>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</si>
  <si>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</si>
  <si>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</si>
  <si>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</si>
  <si>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</si>
  <si>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</si>
  <si>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</si>
  <si>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</si>
  <si>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</si>
  <si>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</si>
  <si>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</si>
  <si>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</si>
  <si>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</si>
  <si>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</si>
  <si>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</si>
  <si>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</si>
  <si>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</si>
  <si>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</si>
  <si>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</si>
  <si>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</si>
  <si>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</si>
  <si>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</si>
  <si>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</si>
  <si>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</si>
  <si>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</si>
  <si>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</si>
  <si>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</si>
  <si>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</si>
  <si>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</si>
  <si>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</si>
  <si>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</si>
  <si>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</si>
  <si>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</si>
  <si>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</si>
  <si>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</si>
  <si>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</si>
  <si>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</si>
  <si>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</si>
  <si>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</si>
  <si>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</si>
  <si>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</si>
  <si>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</si>
  <si>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</si>
  <si>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</si>
  <si>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</si>
  <si>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</si>
  <si>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</si>
  <si>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</si>
  <si>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</si>
  <si>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</si>
  <si>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</si>
  <si>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</si>
  <si>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</si>
  <si>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</si>
  <si>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</si>
  <si>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</si>
  <si>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</si>
  <si>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</si>
  <si>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</si>
  <si>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</si>
  <si>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</si>
  <si>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</si>
  <si>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</si>
  <si>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</si>
  <si>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</si>
  <si>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</si>
  <si>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</si>
  <si>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</si>
  <si>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</si>
  <si>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</si>
  <si>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</si>
  <si>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</si>
  <si>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</si>
  <si>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</si>
  <si>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</si>
  <si>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</si>
  <si>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</si>
  <si>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</si>
  <si>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</si>
  <si>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</si>
  <si>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</si>
  <si>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</si>
  <si>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</si>
  <si>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</si>
  <si>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</si>
  <si>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</si>
  <si>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</si>
  <si>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</si>
  <si>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</si>
  <si>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</si>
  <si>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</si>
  <si>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</si>
  <si>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</si>
  <si>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</si>
  <si>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</si>
  <si>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</si>
  <si>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</si>
  <si>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</si>
  <si>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</si>
  <si>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</si>
  <si>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</si>
  <si>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</si>
  <si>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</si>
  <si>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</si>
  <si>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</si>
  <si>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</si>
  <si>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</si>
  <si>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</si>
  <si>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</si>
  <si>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</si>
  <si>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</si>
  <si>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</si>
  <si>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</si>
  <si>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</si>
  <si>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</si>
  <si>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</si>
  <si>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</si>
  <si>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</si>
  <si>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</si>
  <si>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</si>
  <si>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</si>
  <si>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</si>
  <si>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</si>
  <si>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</si>
  <si>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</si>
  <si>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</si>
  <si>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</si>
  <si>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</si>
  <si>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</si>
  <si>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</si>
  <si>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</si>
  <si>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</si>
  <si>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</si>
  <si>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</si>
  <si>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</si>
  <si>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</si>
  <si>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</si>
  <si>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</si>
  <si>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</si>
  <si>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</si>
  <si>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</si>
  <si>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</si>
  <si>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</si>
  <si>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</si>
  <si>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</si>
  <si>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</si>
  <si>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</si>
  <si>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</si>
  <si>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</si>
  <si>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</si>
  <si>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</si>
  <si>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</si>
  <si>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</si>
  <si>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</si>
  <si>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</si>
  <si>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</si>
  <si>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</si>
  <si>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</si>
  <si>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</si>
  <si>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</si>
  <si>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</si>
  <si>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</si>
  <si>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</si>
  <si>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</si>
  <si>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</si>
  <si>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</si>
  <si>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</si>
  <si>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</si>
  <si>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</si>
  <si>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</si>
  <si>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</si>
  <si>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</si>
  <si>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</si>
  <si>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</si>
  <si>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</si>
  <si>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</si>
  <si>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</si>
  <si>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</si>
  <si>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</si>
  <si>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</si>
  <si>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</si>
  <si>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</si>
  <si>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</si>
  <si>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</si>
  <si>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</si>
  <si>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</si>
  <si>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</si>
  <si>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</si>
  <si>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</si>
  <si>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</si>
  <si>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</si>
  <si>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</si>
  <si>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</si>
  <si>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</si>
  <si>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</si>
  <si>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</si>
  <si>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</si>
  <si>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</si>
  <si>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</si>
  <si>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</si>
  <si>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</si>
  <si>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</si>
  <si>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</si>
  <si>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</si>
  <si>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</si>
  <si>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</si>
  <si>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</si>
  <si>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</si>
  <si>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</si>
  <si>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</si>
  <si>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</si>
  <si>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</si>
  <si>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</si>
  <si>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</si>
  <si>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</si>
  <si>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</si>
  <si>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</si>
  <si>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</si>
  <si>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</si>
  <si>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</si>
  <si>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</si>
  <si>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</si>
  <si>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</si>
  <si>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</si>
  <si>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</si>
  <si>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</si>
  <si>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</si>
  <si>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</si>
  <si>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</si>
  <si>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</si>
  <si>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</si>
  <si>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</si>
  <si>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</si>
  <si>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</si>
  <si>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</si>
  <si>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</si>
  <si>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</si>
  <si>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</si>
  <si>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</si>
  <si>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</si>
  <si>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</si>
  <si>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</si>
  <si>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</si>
  <si>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</si>
  <si>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</si>
  <si>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</si>
  <si>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</si>
  <si>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</si>
  <si>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</si>
  <si>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</si>
  <si>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</si>
  <si>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</si>
  <si>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</si>
  <si>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</si>
  <si>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</si>
  <si>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</si>
  <si>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</si>
  <si>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</si>
  <si>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</si>
  <si>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</si>
  <si>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</si>
  <si>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</si>
  <si>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</si>
  <si>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</si>
  <si>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</si>
  <si>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</si>
  <si>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</si>
  <si>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</si>
  <si>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</si>
  <si>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</si>
  <si>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</si>
  <si>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</si>
  <si>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</si>
  <si>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</si>
  <si>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</si>
  <si>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</si>
  <si>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</si>
  <si>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</si>
  <si>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</si>
  <si>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</si>
  <si>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</si>
  <si>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</si>
  <si>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</si>
  <si>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</si>
  <si>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</si>
  <si>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</si>
  <si>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</si>
  <si>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</si>
  <si>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</si>
  <si>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</si>
  <si>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</si>
  <si>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</si>
  <si>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</si>
  <si>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</si>
  <si>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</si>
  <si>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</si>
  <si>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</si>
  <si>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</si>
  <si>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</si>
  <si>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</si>
  <si>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</si>
  <si>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</si>
  <si>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</si>
  <si>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</si>
  <si>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</si>
  <si>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</si>
  <si>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</si>
  <si>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</si>
  <si>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</si>
  <si>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</si>
  <si>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</si>
  <si>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</si>
  <si>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</si>
  <si>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</si>
  <si>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</si>
  <si>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</si>
  <si>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</si>
  <si>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</si>
  <si>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</si>
  <si>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</si>
  <si>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</si>
  <si>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</si>
  <si>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</si>
  <si>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</si>
  <si>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</si>
  <si>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</si>
  <si>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</si>
  <si>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</si>
  <si>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</si>
  <si>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</si>
  <si>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</si>
  <si>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</si>
  <si>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</si>
  <si>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</si>
  <si>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</si>
  <si>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</si>
  <si>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</si>
  <si>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</si>
  <si>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</si>
  <si>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</si>
  <si>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</si>
  <si>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</si>
  <si>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</si>
  <si>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</si>
  <si>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</si>
  <si>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</si>
  <si>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</si>
  <si>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</si>
  <si>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</si>
  <si>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</si>
  <si>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</si>
  <si>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</si>
  <si>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</si>
  <si>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</si>
  <si>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</si>
  <si>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</si>
  <si>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</si>
  <si>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</si>
  <si>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</si>
  <si>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</si>
  <si>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</si>
  <si>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</si>
  <si>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</si>
  <si>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</si>
  <si>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</si>
  <si>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</si>
  <si>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</si>
  <si>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</si>
  <si>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</si>
  <si>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</si>
  <si>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</si>
  <si>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</si>
  <si>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</si>
  <si>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</si>
  <si>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</si>
  <si>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</si>
  <si>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</si>
  <si>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</si>
  <si>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</si>
  <si>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</si>
  <si>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</si>
  <si>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</si>
  <si>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</si>
  <si>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</si>
  <si>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</si>
  <si>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</si>
  <si>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</si>
  <si>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</si>
  <si>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</si>
  <si>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</si>
  <si>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</si>
  <si>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</si>
  <si>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</si>
  <si>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</si>
  <si>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</si>
  <si>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</si>
  <si>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</si>
  <si>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</si>
  <si>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</si>
  <si>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</si>
  <si>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</si>
  <si>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</si>
  <si>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</si>
  <si>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</si>
  <si>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</si>
  <si>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</si>
  <si>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</si>
  <si>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</si>
  <si>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</si>
  <si>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</si>
  <si>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</si>
  <si>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</si>
  <si>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</si>
  <si>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</si>
  <si>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</si>
  <si>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</si>
  <si>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</si>
  <si>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</si>
  <si>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</si>
  <si>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</si>
  <si>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</si>
  <si>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</si>
  <si>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</si>
  <si>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</si>
  <si>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</si>
  <si>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</si>
  <si>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</si>
  <si>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</si>
  <si>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</si>
  <si>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</si>
  <si>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</si>
  <si>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</si>
  <si>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</si>
  <si>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</si>
  <si>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</si>
  <si>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</si>
  <si>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</si>
  <si>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</si>
  <si>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</si>
  <si>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</si>
  <si>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</si>
  <si>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</si>
  <si>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</si>
  <si>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</si>
  <si>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</si>
  <si>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</si>
  <si>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</si>
  <si>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</si>
  <si>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</si>
  <si>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</si>
  <si>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</si>
  <si>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</si>
  <si>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</si>
  <si>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</si>
  <si>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</si>
  <si>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</si>
  <si>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</si>
  <si>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</si>
  <si>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</si>
  <si>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</si>
  <si>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</si>
  <si>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</si>
  <si>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</si>
  <si>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</si>
  <si>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</si>
  <si>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</si>
  <si>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</si>
  <si>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</si>
  <si>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</si>
  <si>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</si>
  <si>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</si>
  <si>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</si>
  <si>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</si>
  <si>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</si>
  <si>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</si>
  <si>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</si>
  <si>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</si>
  <si>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</si>
  <si>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</si>
  <si>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</si>
  <si>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</si>
  <si>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</si>
  <si>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</si>
  <si>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</si>
  <si>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</si>
  <si>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</si>
  <si>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</si>
  <si>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</si>
  <si>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</si>
  <si>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</si>
  <si>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</si>
  <si>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</si>
  <si>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</si>
  <si>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</si>
  <si>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</si>
  <si>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</si>
  <si>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</si>
  <si>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</si>
  <si>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</si>
  <si>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</si>
  <si>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</si>
  <si>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</si>
  <si>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</si>
  <si>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</si>
  <si>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</si>
  <si>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</si>
  <si>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</si>
  <si>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</si>
  <si>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</si>
  <si>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</si>
  <si>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</si>
  <si>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</si>
  <si>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</si>
  <si>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</si>
  <si>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</si>
  <si>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</si>
  <si>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</si>
  <si>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</si>
  <si>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</si>
  <si>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</si>
  <si>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</si>
  <si>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</si>
  <si>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</si>
  <si>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</si>
  <si>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</si>
  <si>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</si>
  <si>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</si>
  <si>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</si>
  <si>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</si>
  <si>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</si>
  <si>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</si>
  <si>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</si>
  <si>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</si>
  <si>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</si>
  <si>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</si>
  <si>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</si>
  <si>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</si>
  <si>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</si>
  <si>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</si>
  <si>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</si>
  <si>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</si>
  <si>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</si>
  <si>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</si>
  <si>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</si>
  <si>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</si>
  <si>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</si>
  <si>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</si>
  <si>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</si>
  <si>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</si>
  <si>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</si>
  <si>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</si>
  <si>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</si>
  <si>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</si>
  <si>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</si>
  <si>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</si>
  <si>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</si>
  <si>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</si>
  <si>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</si>
  <si>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</si>
  <si>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</si>
  <si>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</si>
  <si>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</si>
  <si>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</si>
  <si>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</si>
  <si>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</si>
  <si>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</si>
  <si>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</si>
  <si>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</si>
  <si>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</si>
  <si>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</si>
  <si>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</si>
  <si>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</si>
  <si>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</si>
  <si>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</si>
  <si>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</si>
  <si>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</si>
  <si>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</si>
  <si>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</si>
  <si>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</si>
  <si>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</si>
  <si>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</si>
  <si>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</si>
  <si>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</si>
  <si>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</si>
  <si>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</si>
  <si>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</si>
  <si>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</si>
  <si>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</si>
  <si>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</si>
  <si>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</si>
  <si>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</si>
  <si>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</si>
  <si>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</si>
  <si>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</si>
  <si>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</si>
  <si>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</si>
  <si>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</si>
  <si>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</si>
  <si>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</si>
  <si>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</si>
  <si>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</si>
  <si>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</si>
  <si>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</si>
  <si>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</si>
  <si>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</si>
  <si>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</si>
  <si>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</si>
  <si>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</si>
  <si>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</si>
  <si>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</si>
  <si>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</si>
  <si>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</si>
  <si>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</si>
  <si>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</si>
  <si>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</si>
  <si>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</si>
  <si>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</si>
  <si>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</si>
  <si>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</si>
  <si>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</si>
  <si>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</si>
  <si>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</si>
  <si>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</si>
  <si>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</si>
  <si>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</si>
  <si>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</si>
  <si>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</si>
  <si>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</si>
  <si>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</si>
  <si>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</si>
  <si>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</si>
  <si>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</si>
  <si>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</si>
  <si>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</si>
  <si>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</si>
  <si>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</si>
  <si>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</si>
  <si>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</si>
  <si>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</si>
  <si>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</si>
  <si>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</si>
  <si>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</si>
  <si>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</si>
  <si>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</si>
  <si>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</si>
  <si>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</si>
  <si>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</si>
  <si>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</si>
  <si>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</si>
  <si>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</si>
  <si>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</si>
  <si>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</si>
  <si>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</si>
  <si>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</si>
  <si>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</si>
  <si>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</si>
  <si>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</si>
  <si>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</si>
  <si>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</si>
  <si>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</si>
  <si>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</si>
  <si>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</si>
  <si>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</si>
  <si>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</si>
  <si>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</si>
  <si>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</si>
  <si>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</si>
  <si>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</si>
  <si>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</si>
  <si>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</si>
  <si>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</si>
  <si>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</si>
  <si>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</si>
  <si>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</si>
  <si>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</si>
  <si>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</si>
  <si>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</si>
  <si>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</si>
  <si>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</si>
  <si>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</si>
  <si>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</si>
  <si>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</si>
  <si>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</si>
  <si>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</si>
  <si>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</si>
  <si>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</si>
  <si>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</si>
  <si>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</si>
  <si>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</si>
  <si>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</si>
  <si>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</si>
  <si>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</si>
  <si>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</si>
  <si>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</si>
  <si>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</si>
  <si>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</si>
  <si>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</si>
  <si>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</si>
  <si>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</si>
  <si>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</si>
  <si>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</si>
  <si>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</si>
  <si>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</si>
  <si>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</si>
  <si>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</si>
  <si>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</si>
  <si>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</si>
  <si>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</si>
  <si>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</si>
  <si>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</si>
  <si>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</si>
  <si>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</si>
  <si>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</si>
  <si>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</si>
  <si>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</si>
  <si>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</si>
  <si>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</si>
  <si>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</si>
  <si>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</si>
  <si>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</si>
  <si>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</si>
  <si>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</si>
  <si>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</si>
  <si>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</si>
  <si>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</si>
  <si>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</si>
  <si>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</si>
  <si>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</si>
  <si>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</si>
  <si>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</si>
  <si>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</si>
  <si>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</si>
  <si>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</si>
  <si>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</si>
  <si>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</si>
  <si>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</si>
  <si>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</si>
  <si>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</si>
  <si>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</si>
  <si>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</si>
  <si>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</si>
  <si>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</si>
  <si>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</si>
  <si>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</si>
  <si>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</si>
  <si>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</si>
  <si>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</si>
  <si>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</si>
  <si>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</si>
  <si>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</si>
  <si>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</si>
  <si>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</si>
  <si>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</si>
  <si>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</si>
  <si>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</si>
  <si>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</si>
  <si>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</si>
  <si>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</si>
  <si>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</si>
  <si>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</si>
  <si>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</si>
  <si>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</si>
  <si>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</si>
  <si>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</si>
  <si>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</si>
  <si>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</si>
  <si>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</si>
  <si>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</si>
  <si>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</si>
  <si>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</si>
  <si>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</si>
  <si>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</si>
  <si>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</si>
  <si>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</si>
  <si>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</si>
  <si>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</si>
  <si>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</si>
  <si>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</si>
  <si>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</si>
  <si>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</si>
  <si>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</si>
  <si>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</si>
  <si>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</si>
  <si>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</si>
  <si>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</si>
  <si>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</si>
  <si>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</si>
  <si>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</si>
  <si>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</si>
  <si>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</si>
  <si>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</si>
  <si>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</si>
  <si>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</si>
  <si>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</si>
  <si>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</si>
  <si>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</si>
  <si>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</si>
  <si>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</si>
  <si>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</si>
  <si>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</si>
  <si>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</si>
  <si>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</si>
  <si>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</si>
  <si>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</si>
  <si>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</si>
  <si>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</si>
  <si>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</si>
  <si>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</si>
  <si>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</si>
  <si>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</si>
  <si>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</si>
  <si>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</si>
  <si>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</si>
  <si>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</si>
  <si>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</si>
  <si>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</si>
  <si>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</si>
  <si>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</si>
  <si>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</si>
  <si>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</si>
  <si>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</si>
  <si>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</si>
  <si>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</si>
  <si>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</si>
  <si>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</si>
  <si>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</si>
  <si>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</si>
  <si>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</si>
  <si>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</si>
  <si>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</si>
  <si>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</si>
  <si>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</si>
  <si>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</si>
  <si>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</si>
  <si>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</si>
  <si>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</si>
  <si>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</si>
  <si>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</si>
  <si>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</si>
  <si>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</si>
  <si>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</si>
  <si>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</si>
  <si>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</si>
  <si>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</si>
  <si>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</si>
  <si>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</si>
  <si>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</si>
  <si>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</si>
  <si>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</si>
  <si>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</si>
  <si>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</si>
  <si>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</si>
  <si>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</si>
  <si>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</si>
  <si>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</si>
  <si>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</si>
  <si>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</si>
  <si>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</si>
  <si>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</si>
  <si>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</si>
  <si>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</si>
  <si>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</si>
  <si>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</si>
  <si>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</si>
  <si>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</si>
  <si>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</si>
  <si>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</si>
  <si>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</si>
  <si>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</si>
  <si>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</si>
  <si>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</si>
  <si>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</si>
  <si>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</si>
  <si>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</si>
  <si>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</si>
  <si>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</si>
  <si>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</si>
  <si>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</si>
  <si>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</si>
  <si>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</si>
  <si>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</si>
  <si>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</si>
  <si>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</si>
  <si>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</si>
  <si>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</si>
  <si>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</si>
  <si>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</si>
  <si>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</si>
  <si>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</si>
  <si>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</si>
  <si>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</si>
  <si>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</si>
  <si>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</si>
  <si>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</si>
  <si>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</si>
  <si>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</si>
  <si>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</si>
  <si>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</si>
  <si>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</si>
  <si>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</si>
  <si>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</si>
  <si>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</si>
  <si>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</si>
  <si>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</si>
  <si>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</si>
  <si>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</si>
  <si>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</si>
  <si>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</si>
  <si>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</si>
  <si>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</si>
  <si>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</si>
  <si>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</si>
  <si>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</si>
  <si>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</si>
  <si>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</si>
  <si>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</si>
  <si>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</si>
  <si>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</si>
  <si>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</si>
  <si>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</si>
  <si>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</si>
  <si>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</si>
  <si>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</si>
  <si>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</si>
  <si>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</si>
  <si>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</si>
  <si>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</si>
  <si>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</si>
  <si>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</si>
  <si>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</si>
  <si>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</si>
  <si>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</si>
  <si>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</si>
  <si>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</si>
  <si>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</si>
  <si>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</si>
  <si>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</si>
  <si>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</si>
  <si>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</si>
  <si>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</si>
  <si>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</si>
  <si>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</si>
  <si>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</si>
  <si>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</si>
  <si>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</si>
  <si>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</si>
  <si>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</si>
  <si>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</si>
  <si>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</si>
  <si>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</si>
  <si>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</si>
  <si>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</si>
  <si>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</si>
  <si>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</si>
  <si>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</si>
  <si>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</si>
  <si>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</si>
  <si>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</si>
  <si>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</si>
  <si>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</si>
  <si>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</si>
  <si>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</si>
  <si>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</si>
  <si>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</si>
  <si>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</si>
  <si>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</si>
  <si>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</si>
  <si>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</si>
  <si>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</si>
  <si>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</si>
  <si>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</si>
  <si>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</si>
  <si>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</si>
  <si>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</si>
  <si>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</si>
  <si>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</si>
  <si>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</si>
  <si>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</si>
  <si>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</si>
  <si>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</si>
  <si>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</si>
  <si>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</si>
  <si>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</si>
  <si>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</si>
  <si>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</si>
  <si>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</si>
  <si>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</si>
  <si>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</si>
  <si>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</si>
  <si>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</si>
  <si>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</si>
  <si>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</si>
  <si>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</si>
  <si>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</si>
  <si>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</si>
  <si>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</si>
  <si>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</si>
  <si>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</si>
  <si>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</si>
  <si>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</si>
  <si>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</si>
  <si>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</si>
  <si>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</si>
  <si>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</si>
  <si>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</si>
  <si>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</si>
  <si>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</si>
  <si>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</si>
  <si>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</si>
  <si>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</si>
  <si>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</si>
  <si>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</si>
  <si>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</si>
  <si>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</si>
  <si>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</si>
  <si>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</si>
  <si>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</si>
  <si>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</si>
  <si>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</si>
  <si>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</si>
  <si>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</si>
  <si>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</si>
  <si>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</si>
  <si>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</si>
  <si>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</si>
  <si>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</si>
  <si>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</si>
  <si>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</si>
  <si>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</si>
  <si>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</si>
  <si>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</si>
  <si>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</si>
  <si>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</si>
  <si>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</si>
  <si>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</si>
  <si>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</si>
  <si>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</si>
  <si>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</si>
  <si>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</si>
  <si>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</si>
  <si>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</si>
  <si>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</si>
  <si>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</si>
  <si>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</si>
  <si>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</si>
  <si>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</si>
  <si>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</si>
  <si>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</si>
  <si>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</si>
  <si>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</si>
  <si>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</si>
  <si>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</si>
  <si>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</si>
  <si>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</si>
  <si>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</si>
  <si>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</si>
  <si>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</si>
  <si>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</si>
  <si>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</si>
  <si>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</si>
  <si>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</si>
  <si>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</si>
  <si>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</si>
  <si>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</si>
  <si>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</si>
  <si>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</si>
  <si>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</si>
  <si>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</si>
  <si>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</si>
  <si>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</si>
  <si>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</si>
  <si>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</si>
  <si>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</si>
  <si>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</si>
  <si>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</si>
  <si>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</si>
  <si>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</si>
  <si>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</si>
  <si>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</si>
  <si>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</si>
  <si>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</si>
  <si>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</si>
  <si>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</si>
  <si>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</si>
  <si>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</si>
  <si>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</si>
  <si>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</si>
  <si>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</si>
  <si>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</si>
  <si>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</si>
  <si>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</si>
  <si>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</si>
  <si>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</si>
  <si>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</si>
  <si>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</si>
  <si>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</si>
  <si>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</si>
  <si>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</si>
  <si>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</si>
  <si>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</si>
  <si>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</si>
  <si>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</si>
  <si>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</si>
  <si>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</si>
  <si>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</si>
  <si>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</si>
  <si>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</si>
  <si>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</si>
  <si>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</si>
  <si>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</si>
  <si>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</si>
  <si>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</si>
  <si>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</si>
  <si>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</si>
  <si>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</si>
  <si>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</si>
  <si>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</si>
  <si>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</si>
  <si>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</si>
  <si>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</si>
  <si>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</si>
  <si>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</si>
  <si>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</si>
  <si>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</si>
  <si>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</si>
  <si>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</si>
  <si>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</si>
  <si>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</si>
  <si>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</si>
  <si>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</si>
  <si>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</si>
  <si>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</si>
  <si>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</si>
  <si>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</si>
  <si>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</si>
  <si>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</si>
  <si>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</si>
  <si>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</si>
  <si>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</si>
  <si>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</si>
  <si>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</si>
  <si>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</si>
  <si>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</si>
  <si>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</si>
  <si>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</si>
  <si>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</si>
  <si>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</si>
  <si>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</si>
  <si>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</si>
  <si>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</si>
  <si>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</si>
  <si>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</si>
  <si>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</si>
  <si>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</si>
  <si>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</si>
  <si>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</si>
  <si>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</si>
  <si>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</si>
  <si>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</si>
  <si>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</si>
  <si>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</si>
  <si>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</si>
  <si>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</si>
  <si>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</si>
  <si>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</si>
  <si>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</si>
  <si>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</si>
  <si>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</si>
  <si>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</si>
  <si>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</si>
  <si>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</si>
  <si>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</si>
  <si>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</si>
  <si>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</si>
  <si>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</si>
  <si>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</si>
  <si>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</si>
  <si>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</si>
  <si>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</si>
  <si>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</si>
  <si>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</si>
  <si>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</si>
  <si>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</si>
  <si>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</si>
  <si>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</si>
  <si>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</si>
  <si>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</si>
  <si>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</si>
  <si>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</si>
  <si>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</si>
  <si>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</si>
  <si>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</si>
  <si>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</si>
  <si>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</si>
  <si>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</si>
  <si>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</si>
  <si>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</si>
  <si>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</si>
  <si>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</si>
  <si>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</si>
  <si>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</si>
  <si>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</si>
  <si>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</si>
  <si>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</si>
  <si>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</si>
  <si>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</si>
  <si>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</si>
  <si>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</si>
  <si>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</si>
  <si>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</si>
  <si>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</si>
  <si>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</si>
  <si>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</si>
  <si>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</si>
  <si>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</si>
  <si>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</si>
  <si>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</si>
  <si>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</si>
  <si>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</si>
  <si>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</si>
  <si>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</si>
  <si>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</si>
  <si>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</si>
  <si>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</si>
  <si>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</si>
  <si>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</si>
  <si>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</si>
  <si>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</si>
  <si>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</si>
  <si>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</si>
  <si>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</si>
  <si>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</si>
  <si>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</si>
  <si>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</si>
  <si>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</si>
  <si>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</si>
  <si>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</si>
  <si>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</si>
  <si>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</si>
  <si>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</si>
  <si>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</si>
  <si>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</si>
  <si>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</si>
  <si>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</si>
  <si>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</si>
  <si>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</si>
  <si>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</si>
  <si>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</si>
  <si>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</si>
  <si>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</si>
  <si>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</si>
  <si>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</si>
  <si>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</si>
  <si>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</si>
  <si>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</si>
  <si>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</si>
  <si>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</si>
  <si>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</si>
  <si>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</si>
  <si>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</si>
  <si>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</si>
  <si>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</si>
  <si>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</si>
  <si>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</si>
  <si>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</si>
  <si>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</si>
  <si>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</si>
  <si>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</si>
  <si>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</si>
  <si>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</si>
  <si>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</si>
  <si>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</si>
  <si>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</si>
  <si>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</si>
  <si>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</si>
  <si>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</si>
  <si>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</si>
  <si>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</si>
  <si>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</si>
  <si>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</si>
  <si>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</si>
  <si>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</si>
  <si>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</si>
  <si>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</si>
  <si>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</si>
  <si>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</si>
  <si>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</si>
  <si>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</si>
  <si>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</si>
  <si>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</si>
  <si>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</si>
  <si>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</si>
  <si>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</si>
  <si>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</si>
  <si>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</si>
  <si>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</si>
  <si>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</si>
  <si>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</si>
  <si>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</si>
  <si>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</si>
  <si>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</si>
  <si>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</si>
  <si>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</si>
  <si>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</si>
  <si>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</si>
  <si>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</si>
  <si>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</si>
  <si>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</si>
  <si>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</si>
  <si>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</si>
  <si>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</si>
  <si>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</si>
  <si>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</si>
  <si>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</si>
  <si>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</si>
  <si>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</si>
  <si>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</si>
  <si>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</si>
  <si>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</si>
  <si>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</si>
  <si>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</si>
  <si>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</si>
  <si>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</si>
  <si>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</si>
  <si>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</si>
  <si>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</si>
  <si>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</si>
  <si>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</si>
  <si>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</si>
  <si>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</si>
  <si>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</si>
  <si>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</si>
  <si>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</si>
  <si>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</si>
  <si>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</si>
  <si>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</si>
  <si>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</si>
  <si>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</si>
  <si>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</si>
  <si>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</si>
  <si>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</si>
  <si>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</si>
  <si>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</si>
  <si>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</si>
  <si>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</si>
  <si>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</si>
  <si>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</si>
  <si>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</si>
  <si>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</si>
  <si>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</si>
  <si>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</si>
  <si>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</si>
  <si>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</si>
  <si>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</si>
  <si>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</si>
  <si>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</si>
  <si>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</si>
  <si>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</si>
  <si>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</si>
  <si>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</si>
  <si>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</si>
  <si>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</si>
  <si>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</si>
  <si>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</si>
  <si>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</si>
  <si>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</si>
  <si>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</si>
  <si>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</si>
  <si>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</si>
  <si>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</si>
  <si>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</si>
  <si>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</si>
  <si>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</si>
  <si>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</si>
  <si>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</si>
  <si>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</si>
  <si>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</si>
  <si>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</si>
  <si>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</si>
  <si>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</si>
  <si>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</si>
  <si>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</si>
  <si>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</si>
  <si>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</si>
  <si>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</si>
  <si>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</si>
  <si>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</si>
  <si>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</si>
  <si>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</si>
  <si>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</si>
  <si>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</si>
  <si>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</si>
  <si>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</si>
  <si>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</si>
  <si>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</si>
  <si>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</si>
  <si>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</si>
  <si>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</si>
  <si>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</si>
  <si>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</si>
  <si>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</si>
  <si>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</si>
  <si>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</si>
  <si>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</si>
  <si>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</si>
  <si>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</si>
  <si>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</si>
  <si>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</si>
  <si>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</si>
  <si>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</si>
  <si>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</si>
  <si>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</si>
  <si>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</si>
  <si>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</si>
  <si>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</si>
  <si>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</si>
  <si>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</si>
  <si>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</si>
  <si>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</si>
  <si>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</si>
  <si>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</si>
  <si>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</si>
  <si>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</si>
  <si>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</si>
  <si>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</si>
  <si>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</si>
  <si>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</si>
  <si>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</si>
  <si>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</si>
  <si>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</si>
  <si>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</si>
  <si>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</si>
  <si>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</si>
  <si>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</si>
  <si>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</si>
  <si>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</si>
  <si>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</si>
  <si>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</si>
  <si>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</si>
  <si>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</si>
  <si>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</si>
  <si>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</si>
  <si>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</si>
  <si>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</si>
  <si>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</si>
  <si>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</si>
  <si>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</si>
  <si>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</si>
  <si>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</si>
  <si>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</si>
  <si>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</si>
  <si>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</si>
  <si>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</si>
  <si>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</si>
  <si>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</si>
  <si>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</si>
  <si>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</si>
  <si>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</si>
  <si>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</si>
  <si>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</si>
  <si>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</si>
  <si>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</si>
  <si>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</si>
  <si>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</si>
  <si>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</si>
  <si>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</si>
  <si>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</si>
  <si>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</si>
  <si>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</si>
  <si>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</si>
  <si>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</si>
  <si>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</si>
  <si>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</si>
  <si>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</si>
  <si>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</si>
  <si>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</si>
  <si>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</si>
  <si>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</si>
  <si>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</si>
  <si>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</si>
  <si>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</si>
  <si>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</si>
  <si>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</si>
  <si>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</si>
  <si>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</si>
  <si>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</si>
  <si>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</si>
  <si>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</si>
  <si>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</si>
  <si>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</si>
  <si>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</si>
  <si>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</si>
  <si>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</si>
  <si>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</si>
  <si>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</si>
  <si>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</si>
  <si>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</si>
  <si>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</si>
  <si>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</si>
  <si>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</si>
  <si>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</si>
  <si>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</si>
  <si>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</si>
  <si>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</si>
  <si>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</si>
  <si>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</si>
  <si>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</si>
  <si>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</si>
  <si>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</si>
  <si>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</si>
  <si>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</si>
  <si>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</si>
  <si>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</si>
  <si>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</si>
  <si>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</si>
  <si>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</si>
  <si>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</si>
  <si>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</si>
  <si>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</si>
  <si>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</si>
  <si>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</si>
  <si>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</si>
  <si>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</si>
  <si>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</si>
  <si>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</si>
  <si>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</si>
  <si>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</si>
  <si>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</si>
  <si>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</si>
  <si>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</si>
  <si>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</si>
  <si>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</si>
  <si>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</si>
  <si>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</si>
  <si>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</si>
  <si>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</si>
  <si>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</si>
  <si>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</si>
  <si>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</si>
  <si>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</si>
  <si>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</si>
  <si>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</si>
  <si>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</si>
  <si>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</si>
  <si>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</si>
  <si>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</si>
  <si>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</si>
  <si>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</si>
  <si>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</si>
  <si>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</si>
  <si>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</si>
  <si>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</si>
  <si>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</si>
  <si>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</si>
  <si>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</si>
  <si>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</si>
  <si>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</si>
  <si>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</si>
  <si>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</si>
  <si>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</si>
  <si>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</si>
  <si>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</si>
  <si>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</si>
  <si>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</si>
  <si>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</si>
  <si>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</si>
  <si>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</si>
  <si>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</si>
  <si>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</si>
  <si>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</si>
  <si>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</si>
  <si>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</si>
  <si>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</si>
  <si>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</si>
  <si>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</si>
  <si>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</si>
  <si>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</si>
  <si>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</si>
  <si>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</si>
  <si>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</si>
  <si>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</si>
  <si>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</si>
  <si>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</si>
  <si>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</si>
  <si>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</si>
  <si>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</si>
  <si>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</si>
  <si>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</si>
  <si>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</si>
  <si>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</si>
  <si>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</si>
  <si>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</si>
  <si>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</si>
  <si>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</si>
  <si>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</si>
  <si>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</si>
  <si>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</si>
  <si>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</si>
  <si>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</si>
  <si>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</si>
  <si>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</si>
  <si>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</si>
  <si>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</si>
  <si>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</si>
  <si>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</si>
  <si>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</si>
  <si>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</si>
  <si>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</si>
  <si>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</si>
  <si>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</si>
  <si>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</si>
  <si>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</si>
  <si>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</si>
  <si>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</si>
  <si>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</si>
  <si>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</si>
  <si>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</si>
  <si>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</si>
  <si>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</si>
  <si>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</si>
  <si>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</si>
  <si>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</si>
  <si>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</si>
  <si>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</si>
  <si>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</si>
  <si>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</si>
  <si>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</si>
  <si>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</si>
  <si>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</si>
  <si>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</si>
  <si>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</si>
  <si>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</si>
  <si>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</si>
  <si>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</si>
  <si>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</si>
  <si>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</si>
  <si>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</si>
  <si>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</si>
  <si>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</si>
  <si>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</si>
  <si>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</si>
  <si>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</si>
  <si>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</si>
  <si>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</si>
  <si>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</si>
  <si>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</si>
  <si>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</si>
  <si>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</si>
  <si>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</si>
  <si>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</si>
  <si>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</si>
  <si>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</si>
  <si>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</si>
  <si>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</si>
  <si>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</si>
  <si>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</si>
  <si>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</si>
  <si>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</si>
  <si>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</si>
  <si>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</si>
  <si>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</si>
  <si>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</si>
  <si>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</si>
  <si>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</si>
  <si>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</si>
  <si>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</si>
  <si>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</si>
  <si>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</si>
  <si>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</si>
  <si>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</si>
  <si>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</si>
  <si>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</si>
  <si>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</si>
  <si>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</si>
  <si>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</si>
  <si>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</si>
  <si>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</si>
  <si>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</si>
  <si>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</si>
  <si>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</si>
  <si>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</si>
  <si>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</si>
  <si>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</si>
  <si>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</si>
  <si>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</si>
  <si>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</si>
  <si>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</si>
  <si>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</si>
  <si>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</si>
  <si>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</si>
  <si>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</si>
  <si>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</si>
  <si>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</si>
  <si>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</si>
  <si>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</si>
  <si>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</si>
  <si>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</si>
  <si>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</si>
  <si>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</si>
  <si>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</si>
  <si>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</si>
  <si>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</si>
  <si>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</si>
  <si>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</si>
  <si>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</si>
  <si>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</si>
  <si>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</si>
  <si>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</si>
  <si>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</si>
  <si>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</si>
  <si>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</si>
  <si>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</si>
  <si>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</si>
  <si>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</si>
  <si>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</si>
  <si>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</si>
  <si>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</si>
  <si>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</si>
  <si>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</si>
  <si>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</si>
  <si>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</si>
  <si>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</si>
  <si>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</si>
  <si>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</si>
  <si>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</si>
  <si>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</si>
  <si>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</si>
  <si>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</si>
  <si>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</si>
  <si>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</si>
  <si>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</si>
  <si>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</si>
  <si>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</si>
  <si>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</si>
  <si>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</si>
  <si>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</si>
  <si>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</si>
  <si>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</si>
  <si>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</si>
  <si>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</si>
  <si>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</si>
  <si>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</si>
  <si>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</si>
  <si>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</si>
  <si>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</si>
  <si>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</si>
  <si>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</si>
  <si>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</si>
  <si>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</si>
  <si>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</si>
  <si>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</si>
  <si>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</si>
  <si>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</si>
  <si>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</si>
  <si>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</si>
  <si>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</si>
  <si>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</si>
  <si>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</si>
  <si>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</si>
  <si>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</si>
  <si>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</si>
  <si>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</si>
  <si>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</si>
  <si>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</si>
  <si>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</si>
  <si>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</si>
  <si>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</si>
  <si>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</si>
  <si>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</si>
  <si>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</si>
  <si>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</si>
  <si>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</si>
  <si>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</si>
  <si>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</si>
  <si>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</si>
  <si>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</si>
  <si>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</si>
  <si>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</si>
  <si>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</si>
  <si>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</si>
  <si>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</si>
  <si>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</si>
  <si>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</si>
  <si>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</si>
  <si>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</si>
  <si>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</si>
  <si>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</si>
  <si>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</si>
  <si>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</si>
  <si>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</si>
  <si>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</si>
  <si>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</si>
  <si>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</si>
  <si>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</si>
  <si>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</si>
  <si>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</si>
  <si>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</si>
  <si>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</si>
  <si>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</si>
  <si>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</si>
  <si>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</si>
  <si>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</si>
  <si>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</si>
  <si>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</si>
  <si>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</si>
  <si>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</si>
  <si>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</si>
  <si>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</si>
  <si>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</si>
  <si>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</si>
  <si>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</si>
  <si>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</si>
  <si>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</si>
  <si>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</si>
  <si>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</si>
  <si>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</si>
  <si>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</si>
  <si>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</si>
  <si>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</si>
  <si>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</si>
  <si>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</si>
  <si>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</si>
  <si>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</si>
  <si>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</si>
  <si>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</si>
  <si>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</si>
  <si>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</si>
  <si>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</si>
  <si>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</si>
  <si>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</si>
  <si>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</si>
  <si>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</si>
  <si>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</si>
  <si>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</si>
  <si>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</si>
  <si>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</si>
  <si>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</si>
  <si>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</si>
  <si>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</si>
  <si>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</si>
  <si>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</si>
  <si>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</si>
  <si>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</si>
  <si>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</si>
  <si>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</si>
  <si>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</si>
  <si>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</si>
  <si>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</si>
  <si>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</si>
  <si>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</si>
  <si>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</si>
  <si>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</si>
  <si>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</si>
  <si>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</si>
  <si>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</si>
  <si>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</si>
  <si>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</si>
  <si>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</si>
  <si>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</si>
  <si>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</si>
  <si>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</si>
  <si>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</si>
  <si>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</si>
  <si>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</si>
  <si>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</si>
  <si>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</si>
  <si>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</si>
  <si>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</si>
  <si>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</si>
  <si>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</si>
  <si>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</si>
  <si>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</si>
  <si>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</si>
  <si>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</si>
  <si>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</si>
  <si>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</si>
  <si>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</si>
  <si>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</si>
  <si>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</si>
  <si>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</si>
  <si>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</si>
  <si>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</si>
  <si>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</si>
  <si>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</si>
  <si>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</si>
  <si>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</si>
  <si>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</si>
  <si>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</si>
  <si>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</si>
  <si>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</si>
  <si>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</si>
  <si>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</si>
  <si>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</si>
  <si>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</si>
  <si>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</si>
  <si>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</si>
  <si>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</si>
  <si>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</si>
  <si>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</si>
  <si>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</si>
  <si>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</si>
  <si>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</si>
  <si>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</si>
  <si>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</si>
  <si>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</si>
  <si>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</si>
  <si>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</si>
  <si>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</si>
  <si>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</si>
  <si>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</si>
  <si>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</si>
  <si>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</si>
  <si>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</si>
  <si>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</si>
  <si>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</si>
  <si>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</si>
  <si>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</si>
  <si>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</si>
  <si>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</si>
  <si>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</si>
  <si>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</si>
  <si>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</si>
  <si>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</si>
  <si>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</si>
  <si>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</si>
  <si>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</si>
  <si>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</si>
  <si>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</si>
  <si>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</si>
  <si>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</si>
  <si>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</si>
  <si>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</si>
  <si>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</si>
  <si>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</si>
  <si>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</si>
  <si>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</si>
  <si>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</si>
  <si>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</si>
  <si>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</si>
  <si>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</si>
  <si>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</si>
  <si>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</si>
  <si>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</si>
  <si>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</si>
  <si>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</si>
  <si>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</si>
  <si>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</si>
  <si>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</si>
  <si>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</si>
  <si>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</si>
  <si>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</si>
  <si>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</si>
  <si>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</si>
  <si>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</si>
  <si>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</si>
  <si>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</si>
  <si>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</si>
  <si>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</si>
  <si>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</si>
  <si>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</si>
  <si>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</si>
  <si>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</si>
  <si>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</si>
  <si>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</si>
  <si>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</si>
  <si>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</si>
  <si>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</si>
  <si>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</si>
  <si>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</si>
  <si>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</si>
  <si>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</si>
  <si>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</si>
  <si>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</si>
  <si>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</si>
  <si>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</si>
  <si>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</si>
  <si>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</si>
  <si>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</si>
  <si>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</si>
  <si>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</si>
  <si>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</si>
  <si>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</si>
  <si>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</si>
  <si>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</si>
  <si>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</si>
  <si>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</si>
  <si>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</si>
  <si>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</si>
  <si>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</si>
  <si>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</si>
  <si>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</si>
  <si>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</si>
  <si>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</si>
  <si>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</si>
  <si>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</si>
  <si>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</si>
  <si>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</si>
  <si>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</si>
  <si>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</si>
  <si>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</si>
  <si>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</si>
  <si>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</si>
  <si>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</si>
  <si>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</si>
  <si>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</si>
  <si>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</si>
  <si>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</si>
  <si>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</si>
  <si>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</si>
  <si>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</si>
  <si>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</si>
  <si>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</si>
  <si>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</si>
  <si>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</si>
  <si>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</si>
  <si>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</si>
  <si>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</si>
  <si>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</si>
  <si>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</si>
  <si>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</si>
  <si>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</si>
  <si>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</si>
  <si>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</si>
  <si>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</si>
  <si>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</si>
  <si>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</si>
  <si>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</si>
  <si>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</si>
  <si>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</si>
  <si>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</si>
  <si>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</si>
  <si>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</si>
  <si>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</si>
  <si>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</si>
  <si>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</si>
  <si>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</si>
  <si>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</si>
  <si>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</si>
  <si>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</si>
  <si>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</si>
  <si>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</si>
  <si>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</si>
  <si>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</si>
  <si>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</si>
  <si>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</si>
  <si>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</si>
  <si>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</si>
  <si>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</si>
  <si>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</si>
  <si>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</si>
  <si>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</si>
  <si>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</si>
  <si>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</si>
  <si>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</si>
  <si>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</si>
  <si>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</si>
  <si>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</si>
  <si>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</si>
  <si>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</si>
  <si>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</si>
  <si>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</si>
  <si>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</si>
  <si>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</si>
  <si>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</si>
  <si>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</si>
  <si>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</si>
  <si>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</si>
  <si>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</si>
  <si>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</si>
  <si>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</si>
  <si>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</si>
  <si>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</si>
  <si>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</si>
  <si>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</si>
  <si>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</si>
  <si>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</si>
  <si>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</si>
  <si>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</si>
  <si>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</si>
  <si>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</si>
  <si>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</si>
  <si>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</si>
  <si>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</si>
  <si>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</si>
  <si>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</si>
  <si>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</si>
  <si>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</si>
  <si>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</si>
  <si>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</si>
  <si>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</si>
  <si>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</si>
  <si>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</si>
  <si>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</si>
  <si>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</si>
  <si>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</si>
  <si>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</si>
  <si>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</si>
  <si>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</si>
  <si>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</si>
  <si>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</si>
  <si>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</si>
  <si>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</si>
  <si>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</si>
  <si>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</si>
  <si>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</si>
  <si>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</si>
  <si>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</si>
  <si>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</si>
  <si>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</si>
  <si>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</si>
  <si>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</si>
  <si>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</si>
  <si>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</si>
  <si>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</si>
  <si>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</si>
  <si>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</si>
  <si>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</si>
  <si>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</si>
  <si>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</si>
  <si>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</si>
  <si>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</si>
  <si>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</si>
  <si>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</si>
  <si>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</si>
  <si>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</si>
  <si>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</si>
  <si>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</si>
  <si>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</si>
  <si>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</si>
  <si>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</si>
  <si>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</si>
  <si>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</si>
  <si>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</si>
  <si>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</si>
  <si>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</si>
  <si>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</si>
  <si>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</si>
  <si>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</si>
  <si>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</si>
  <si>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</si>
  <si>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</si>
  <si>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</si>
  <si>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</si>
  <si>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</si>
  <si>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</si>
  <si>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</si>
  <si>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</si>
  <si>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</si>
  <si>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</si>
  <si>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</si>
  <si>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</si>
  <si>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</si>
  <si>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</si>
  <si>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</si>
  <si>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</si>
  <si>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</si>
  <si>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</si>
  <si>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</si>
  <si>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</si>
  <si>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</si>
  <si>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</si>
  <si>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</si>
  <si>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</si>
  <si>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</si>
  <si>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</si>
  <si>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</si>
  <si>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</si>
  <si>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</si>
  <si>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</si>
  <si>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</si>
  <si>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</si>
  <si>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</si>
  <si>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</si>
  <si>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</si>
  <si>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</si>
  <si>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</si>
  <si>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</si>
  <si>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</si>
  <si>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</si>
  <si>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</si>
  <si>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</si>
  <si>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</si>
  <si>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</si>
  <si>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</si>
  <si>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</si>
  <si>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</si>
  <si>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</si>
  <si>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</si>
  <si>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</si>
  <si>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</si>
  <si>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</si>
  <si>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</si>
  <si>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</si>
  <si>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</si>
  <si>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</si>
  <si>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</si>
  <si>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</si>
  <si>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</si>
  <si>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</si>
  <si>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</si>
  <si>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</si>
  <si>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</si>
  <si>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</si>
  <si>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</si>
  <si>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</si>
  <si>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</si>
  <si>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</si>
  <si>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</si>
  <si>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</si>
  <si>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</si>
  <si>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</si>
  <si>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</si>
  <si>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</si>
  <si>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</si>
  <si>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</si>
  <si>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</si>
  <si>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</si>
  <si>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</si>
  <si>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</si>
  <si>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</si>
  <si>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</si>
  <si>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</si>
  <si>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</si>
  <si>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</si>
  <si>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</si>
  <si>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</si>
  <si>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</si>
  <si>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</si>
  <si>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</si>
  <si>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</si>
  <si>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</si>
  <si>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</si>
  <si>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</si>
  <si>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</si>
  <si>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</si>
  <si>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</si>
  <si>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</si>
  <si>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</si>
  <si>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</si>
  <si>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</si>
  <si>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</si>
  <si>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</si>
  <si>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</si>
  <si>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</si>
  <si>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</si>
  <si>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</si>
  <si>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</si>
  <si>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</si>
  <si>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</si>
  <si>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</si>
  <si>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</si>
  <si>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</si>
  <si>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</si>
  <si>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</si>
  <si>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</si>
  <si>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</si>
  <si>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</si>
  <si>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</si>
  <si>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</si>
  <si>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</si>
  <si>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</si>
  <si>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</si>
  <si>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</si>
  <si>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</si>
  <si>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</si>
  <si>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</si>
  <si>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</si>
  <si>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</si>
  <si>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</si>
  <si>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</si>
  <si>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</si>
  <si>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</si>
  <si>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</si>
  <si>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</si>
  <si>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</si>
  <si>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</si>
  <si>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</si>
  <si>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</si>
  <si>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</si>
  <si>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</si>
  <si>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</si>
  <si>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</si>
  <si>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</si>
  <si>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</si>
  <si>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</si>
  <si>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</si>
  <si>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</si>
  <si>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</si>
  <si>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</si>
  <si>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</si>
  <si>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</si>
  <si>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</si>
  <si>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</si>
  <si>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</si>
  <si>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</si>
  <si>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</si>
  <si>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</si>
  <si>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</si>
  <si>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</si>
  <si>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</si>
  <si>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</si>
  <si>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</si>
  <si>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</si>
  <si>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</si>
  <si>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</si>
  <si>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</si>
  <si>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</si>
  <si>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</si>
  <si>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</si>
  <si>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</si>
  <si>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</si>
  <si>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</si>
  <si>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</si>
  <si>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</si>
  <si>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</si>
  <si>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</si>
  <si>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</si>
  <si>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</si>
  <si>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</si>
  <si>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</si>
  <si>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</si>
  <si>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</si>
  <si>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</si>
  <si>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</si>
  <si>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</si>
  <si>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</si>
  <si>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</si>
  <si>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</si>
  <si>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</si>
  <si>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</si>
  <si>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</si>
  <si>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</si>
  <si>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</si>
  <si>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</si>
  <si>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</si>
  <si>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</si>
  <si>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</si>
  <si>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</si>
  <si>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</si>
  <si>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</si>
  <si>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</si>
  <si>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</si>
  <si>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</si>
  <si>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</si>
  <si>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</si>
  <si>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</si>
  <si>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</si>
  <si>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</si>
  <si>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</si>
  <si>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</si>
  <si>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</si>
  <si>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</si>
  <si>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</si>
  <si>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</si>
  <si>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</si>
  <si>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</si>
  <si>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</si>
  <si>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</si>
  <si>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</si>
  <si>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</si>
  <si>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</si>
  <si>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</si>
  <si>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</si>
  <si>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</si>
  <si>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</si>
  <si>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</si>
  <si>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</si>
  <si>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</si>
  <si>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</si>
  <si>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</si>
  <si>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</si>
  <si>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</si>
  <si>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</si>
  <si>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</si>
  <si>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</si>
  <si>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</si>
  <si>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</si>
  <si>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</si>
  <si>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</si>
  <si>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</si>
  <si>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</si>
  <si>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</si>
  <si>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</si>
  <si>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</si>
  <si>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</si>
  <si>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</si>
  <si>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</si>
  <si>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</si>
  <si>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</si>
  <si>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</si>
  <si>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</si>
  <si>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</si>
  <si>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</si>
  <si>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</si>
  <si>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</si>
  <si>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</si>
  <si>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</si>
  <si>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</si>
  <si>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</si>
  <si>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</si>
  <si>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</si>
  <si>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</si>
  <si>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</si>
  <si>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</si>
  <si>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</si>
  <si>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</si>
  <si>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</si>
  <si>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</si>
  <si>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</si>
  <si>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</si>
  <si>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</si>
  <si>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</si>
  <si>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</si>
  <si>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</si>
  <si>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</si>
  <si>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</si>
  <si>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</si>
  <si>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</si>
  <si>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</si>
  <si>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</si>
  <si>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</si>
  <si>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</si>
  <si>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</si>
  <si>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</si>
  <si>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</si>
  <si>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</si>
  <si>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</si>
  <si>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</si>
  <si>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</si>
  <si>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</si>
  <si>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</si>
  <si>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</si>
  <si>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</si>
  <si>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</si>
  <si>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</si>
  <si>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</si>
  <si>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</si>
  <si>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</si>
  <si>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</si>
  <si>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</si>
  <si>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</si>
  <si>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</si>
  <si>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</si>
  <si>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</si>
  <si>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</si>
  <si>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</si>
  <si>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</si>
  <si>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</si>
  <si>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</si>
  <si>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</si>
  <si>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</si>
  <si>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</si>
  <si>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</si>
  <si>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</si>
  <si>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</si>
  <si>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</si>
  <si>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</si>
  <si>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</si>
  <si>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</si>
  <si>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</si>
  <si>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</si>
  <si>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</si>
  <si>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</si>
  <si>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</si>
  <si>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</si>
  <si>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</si>
  <si>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</si>
  <si>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</si>
  <si>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</si>
  <si>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</si>
  <si>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</si>
  <si>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</si>
  <si>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</si>
  <si>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</si>
  <si>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</si>
  <si>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</si>
  <si>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</si>
  <si>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</si>
  <si>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</si>
  <si>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</si>
  <si>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</si>
  <si>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</si>
  <si>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</si>
  <si>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</si>
  <si>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</si>
  <si>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</si>
  <si>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</si>
  <si>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</si>
  <si>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</si>
  <si>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</si>
  <si>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</si>
  <si>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</si>
  <si>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</si>
  <si>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</si>
  <si>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</si>
  <si>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</si>
  <si>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</si>
  <si>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</si>
  <si>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</si>
  <si>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</si>
  <si>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</si>
  <si>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</si>
  <si>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</si>
  <si>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</si>
  <si>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</si>
  <si>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</si>
  <si>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</si>
  <si>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</si>
  <si>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</si>
  <si>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</si>
  <si>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</si>
  <si>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</si>
  <si>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</si>
  <si>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</si>
  <si>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</si>
  <si>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</si>
  <si>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</si>
  <si>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</si>
  <si>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</si>
  <si>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</si>
  <si>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</si>
  <si>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</si>
  <si>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</si>
  <si>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</si>
  <si>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</si>
  <si>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</si>
  <si>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</si>
  <si>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</si>
  <si>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</si>
  <si>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</si>
  <si>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</si>
  <si>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</si>
  <si>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</si>
  <si>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</si>
  <si>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</si>
  <si>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</si>
  <si>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</si>
  <si>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</si>
  <si>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</si>
  <si>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</si>
  <si>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</si>
  <si>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</si>
  <si>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</si>
  <si>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</si>
  <si>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</si>
  <si>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</si>
  <si>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</si>
  <si>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</si>
  <si>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</si>
  <si>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</si>
  <si>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</si>
  <si>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</si>
  <si>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</si>
  <si>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</si>
  <si>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</si>
  <si>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</si>
  <si>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</si>
  <si>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</si>
  <si>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</si>
  <si>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</si>
  <si>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</si>
  <si>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</si>
  <si>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</si>
  <si>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</si>
  <si>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</si>
  <si>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</si>
  <si>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</si>
  <si>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</si>
  <si>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</si>
  <si>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</si>
  <si>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</si>
  <si>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</si>
  <si>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</si>
  <si>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</si>
  <si>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</si>
  <si>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</si>
  <si>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</si>
  <si>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</si>
  <si>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</si>
  <si>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</si>
  <si>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</si>
  <si>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</si>
  <si>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</si>
  <si>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</si>
  <si>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</si>
  <si>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</si>
  <si>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</si>
  <si>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</si>
  <si>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</si>
  <si>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</si>
  <si>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</si>
  <si>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</si>
  <si>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</si>
  <si>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</si>
  <si>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</si>
  <si>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</si>
  <si>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</si>
  <si>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</si>
  <si>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</si>
  <si>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</si>
  <si>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</si>
  <si>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</si>
  <si>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</si>
  <si>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</si>
  <si>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</si>
  <si>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</si>
  <si>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</si>
  <si>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</si>
  <si>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</si>
  <si>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</si>
  <si>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</si>
  <si>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</si>
  <si>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</si>
  <si>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</si>
  <si>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</si>
  <si>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</si>
  <si>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</si>
  <si>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</si>
  <si>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</si>
  <si>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</si>
  <si>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</si>
  <si>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</si>
  <si>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</si>
  <si>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</si>
  <si>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</si>
  <si>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</si>
  <si>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</si>
  <si>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</si>
  <si>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</si>
  <si>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</si>
  <si>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</si>
  <si>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</si>
  <si>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</si>
  <si>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</si>
  <si>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</si>
  <si>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</si>
  <si>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</si>
  <si>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</si>
  <si>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</si>
  <si>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</si>
  <si>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</si>
  <si>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</si>
  <si>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</si>
  <si>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</si>
  <si>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</si>
  <si>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</si>
  <si>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</si>
  <si>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</si>
  <si>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</si>
  <si>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</si>
  <si>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</si>
  <si>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</si>
  <si>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</si>
  <si>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</si>
  <si>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</si>
  <si>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</si>
  <si>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</si>
  <si>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</si>
  <si>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</si>
  <si>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</si>
  <si>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</si>
  <si>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</si>
  <si>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</si>
  <si>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</si>
  <si>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</si>
  <si>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</si>
  <si>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</si>
  <si>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</si>
  <si>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</si>
  <si>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</si>
  <si>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</si>
  <si>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</si>
  <si>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</si>
  <si>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</si>
  <si>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</si>
  <si>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</si>
  <si>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</si>
  <si>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</si>
  <si>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</si>
  <si>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</si>
  <si>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</si>
  <si>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</si>
  <si>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</si>
  <si>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</si>
  <si>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</si>
  <si>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</si>
  <si>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</si>
  <si>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</si>
  <si>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</si>
  <si>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</si>
  <si>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</si>
  <si>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</si>
  <si>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</si>
  <si>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</si>
  <si>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</si>
  <si>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</si>
  <si>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</si>
  <si>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</si>
  <si>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</si>
  <si>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</si>
  <si>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</si>
  <si>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</si>
  <si>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</si>
  <si>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</si>
  <si>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</si>
  <si>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</si>
  <si>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</si>
  <si>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</si>
  <si>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</si>
  <si>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</si>
  <si>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</si>
  <si>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</si>
  <si>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</si>
  <si>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</si>
  <si>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</si>
  <si>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</si>
  <si>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</si>
  <si>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</si>
  <si>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</si>
  <si>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</si>
  <si>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</si>
  <si>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</si>
  <si>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</si>
  <si>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</si>
  <si>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</si>
  <si>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</si>
  <si>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</si>
  <si>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</si>
  <si>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</si>
  <si>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</si>
  <si>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</si>
  <si>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</si>
  <si>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</si>
  <si>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</si>
  <si>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</si>
  <si>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</si>
  <si>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</si>
  <si>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</si>
  <si>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</si>
  <si>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</si>
  <si>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</si>
  <si>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</si>
  <si>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</si>
  <si>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</si>
  <si>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</si>
  <si>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</si>
  <si>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</si>
  <si>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</si>
  <si>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</si>
  <si>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</si>
  <si>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</si>
  <si>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</si>
  <si>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</si>
  <si>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</si>
  <si>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</si>
  <si>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</si>
  <si>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</si>
  <si>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</si>
  <si>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</si>
  <si>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</si>
  <si>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</si>
  <si>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</si>
  <si>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</si>
  <si>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</si>
  <si>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</si>
  <si>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</si>
  <si>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</si>
  <si>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</si>
  <si>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</si>
  <si>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</si>
  <si>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</si>
  <si>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</si>
  <si>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</si>
  <si>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</si>
  <si>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</si>
  <si>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</si>
  <si>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</si>
  <si>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</si>
  <si>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</si>
  <si>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</si>
  <si>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</si>
  <si>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</si>
  <si>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</si>
  <si>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</si>
  <si>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</si>
  <si>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</si>
  <si>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</si>
  <si>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</si>
  <si>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</si>
  <si>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</si>
  <si>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</si>
  <si>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</si>
  <si>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</si>
  <si>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</si>
  <si>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</si>
  <si>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</si>
  <si>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</si>
  <si>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</si>
  <si>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</si>
  <si>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</si>
  <si>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</si>
  <si>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</si>
  <si>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</si>
  <si>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</si>
  <si>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</si>
  <si>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</si>
  <si>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</si>
  <si>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</si>
  <si>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</si>
  <si>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</si>
  <si>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</si>
  <si>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</si>
  <si>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</si>
  <si>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</si>
  <si>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</si>
  <si>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</si>
  <si>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</si>
  <si>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</si>
  <si>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</si>
  <si>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</si>
  <si>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</si>
  <si>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</si>
  <si>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</si>
  <si>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</si>
  <si>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</si>
  <si>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</si>
  <si>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</si>
  <si>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</si>
  <si>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</si>
  <si>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</si>
  <si>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</si>
  <si>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</si>
  <si>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</si>
  <si>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</si>
  <si>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</si>
  <si>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</si>
  <si>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</si>
  <si>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</si>
  <si>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</si>
  <si>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</si>
  <si>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</si>
  <si>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</si>
  <si>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</si>
  <si>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</si>
  <si>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</si>
  <si>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</si>
  <si>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</si>
  <si>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</si>
  <si>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</si>
  <si>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</si>
  <si>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</si>
  <si>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</si>
  <si>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</si>
  <si>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</si>
  <si>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</si>
  <si>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</si>
  <si>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</si>
  <si>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</si>
  <si>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</si>
  <si>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</si>
  <si>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</si>
  <si>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</si>
  <si>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</si>
  <si>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</si>
  <si>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</si>
  <si>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</si>
  <si>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</si>
  <si>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</si>
  <si>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</si>
  <si>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</si>
  <si>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</si>
  <si>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</si>
  <si>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</si>
  <si>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</si>
  <si>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</si>
  <si>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</si>
  <si>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</si>
  <si>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</si>
  <si>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</si>
  <si>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</si>
  <si>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</si>
  <si>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</si>
  <si>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</si>
  <si>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</si>
  <si>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</si>
  <si>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</si>
  <si>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</si>
  <si>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</si>
  <si>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</si>
  <si>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</si>
  <si>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</si>
  <si>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</si>
  <si>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</si>
  <si>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</si>
  <si>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</si>
  <si>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</si>
  <si>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</si>
  <si>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</si>
  <si>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</si>
  <si>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</si>
  <si>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</si>
  <si>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</si>
  <si>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</si>
  <si>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</si>
  <si>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</si>
  <si>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</si>
  <si>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</si>
  <si>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</si>
  <si>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</si>
  <si>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</si>
  <si>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</si>
  <si>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</si>
  <si>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</si>
  <si>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</si>
  <si>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</si>
  <si>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</si>
  <si>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</si>
  <si>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</si>
  <si>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</si>
  <si>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</si>
  <si>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</si>
  <si>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</si>
  <si>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</si>
  <si>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</si>
  <si>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</si>
  <si>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</si>
  <si>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</si>
  <si>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</si>
  <si>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</si>
  <si>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</si>
  <si>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</si>
  <si>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</si>
  <si>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</si>
  <si>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</si>
  <si>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</si>
  <si>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</si>
  <si>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</si>
  <si>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</si>
  <si>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</si>
  <si>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</si>
  <si>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</si>
  <si>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</si>
  <si>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</si>
  <si>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</si>
  <si>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</si>
  <si>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</si>
  <si>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</si>
  <si>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</si>
  <si>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</si>
  <si>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</si>
  <si>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</si>
  <si>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</si>
  <si>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</si>
  <si>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</si>
  <si>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</si>
  <si>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</si>
  <si>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</si>
  <si>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</si>
  <si>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</si>
  <si>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</si>
  <si>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</si>
  <si>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</si>
  <si>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</si>
  <si>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</si>
  <si>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</si>
  <si>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</si>
  <si>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</si>
  <si>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</si>
  <si>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</si>
  <si>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</si>
  <si>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</si>
  <si>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</si>
  <si>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</si>
  <si>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</si>
  <si>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</si>
  <si>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</si>
  <si>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</si>
  <si>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</si>
  <si>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</si>
  <si>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</si>
  <si>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</si>
  <si>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</si>
  <si>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</si>
  <si>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</si>
  <si>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</si>
  <si>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</si>
  <si>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</si>
  <si>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</si>
  <si>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</si>
  <si>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</si>
  <si>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</si>
  <si>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</si>
  <si>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</si>
  <si>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</si>
  <si>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</si>
  <si>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</si>
  <si>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</si>
  <si>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</si>
  <si>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</si>
  <si>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</si>
  <si>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</si>
  <si>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</si>
  <si>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</si>
  <si>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</si>
  <si>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</si>
  <si>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</si>
  <si>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</si>
  <si>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</si>
  <si>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</si>
  <si>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</si>
  <si>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</si>
  <si>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</si>
  <si>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</si>
  <si>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</si>
  <si>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</si>
  <si>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</si>
  <si>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</si>
  <si>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</si>
  <si>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</si>
  <si>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</si>
  <si>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</si>
  <si>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</si>
  <si>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</si>
  <si>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</si>
  <si>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</si>
  <si>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</si>
  <si>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</si>
  <si>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</si>
  <si>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</si>
  <si>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</si>
  <si>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</si>
  <si>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</si>
  <si>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</si>
  <si>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</si>
  <si>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</si>
  <si>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</si>
  <si>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</si>
  <si>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</si>
  <si>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</si>
  <si>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</si>
  <si>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</si>
  <si>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</si>
  <si>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</si>
  <si>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</si>
  <si>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</si>
  <si>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</si>
  <si>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</si>
  <si>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</si>
  <si>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</si>
  <si>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</si>
  <si>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</si>
  <si>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</si>
  <si>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</si>
  <si>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</si>
  <si>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</si>
  <si>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</si>
  <si>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</si>
  <si>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</si>
  <si>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</si>
  <si>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</si>
  <si>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</si>
  <si>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</si>
  <si>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</si>
  <si>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</si>
  <si>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</si>
  <si>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</si>
  <si>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</si>
  <si>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</si>
  <si>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</si>
  <si>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</si>
  <si>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</si>
  <si>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</si>
  <si>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</si>
  <si>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</si>
  <si>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</si>
  <si>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</si>
  <si>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</si>
  <si>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</si>
  <si>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</si>
  <si>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</si>
  <si>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</si>
  <si>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</si>
  <si>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</si>
  <si>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</si>
  <si>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</si>
  <si>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</si>
  <si>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</si>
  <si>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</si>
  <si>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</si>
  <si>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</si>
  <si>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</si>
  <si>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</si>
  <si>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</si>
  <si>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</si>
  <si>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</si>
  <si>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</si>
  <si>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</si>
  <si>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</si>
  <si>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</si>
  <si>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</si>
  <si>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</si>
  <si>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</si>
  <si>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</si>
  <si>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</si>
  <si>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</si>
  <si>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</si>
  <si>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</si>
  <si>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</si>
  <si>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</si>
  <si>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</si>
  <si>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</si>
  <si>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</si>
  <si>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</si>
  <si>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</si>
  <si>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</si>
  <si>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</si>
  <si>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</si>
  <si>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</si>
  <si>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</si>
  <si>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</si>
  <si>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</si>
  <si>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</si>
  <si>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</si>
  <si>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</si>
  <si>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</si>
  <si>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</si>
  <si>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</si>
  <si>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</si>
  <si>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</si>
  <si>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</si>
  <si>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</si>
  <si>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</si>
  <si>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</si>
  <si>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</si>
  <si>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</si>
  <si>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</si>
  <si>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</si>
  <si>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</si>
  <si>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</si>
  <si>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</si>
  <si>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</si>
  <si>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</si>
  <si>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</si>
  <si>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</si>
  <si>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</si>
  <si>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</si>
  <si>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</si>
  <si>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</si>
  <si>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</si>
  <si>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</si>
  <si>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</si>
  <si>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</si>
  <si>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</si>
  <si>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</si>
  <si>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</si>
  <si>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</si>
  <si>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</si>
  <si>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</si>
  <si>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</si>
  <si>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</si>
  <si>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</si>
  <si>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</si>
  <si>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</si>
  <si>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</si>
  <si>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</si>
  <si>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</si>
  <si>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</si>
  <si>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</si>
  <si>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</si>
  <si>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</si>
  <si>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</si>
  <si>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</si>
  <si>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</si>
  <si>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</si>
  <si>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</si>
  <si>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</si>
  <si>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</si>
  <si>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</si>
  <si>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</si>
  <si>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</si>
  <si>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</si>
  <si>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</si>
  <si>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</si>
  <si>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</si>
  <si>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</si>
  <si>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</si>
  <si>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</si>
  <si>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</si>
  <si>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</si>
  <si>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</si>
  <si>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</si>
  <si>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</si>
  <si>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</si>
  <si>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</si>
  <si>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</si>
  <si>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</si>
  <si>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</si>
  <si>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</si>
  <si>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</si>
  <si>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</si>
  <si>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</si>
  <si>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</si>
  <si>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</si>
  <si>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</si>
  <si>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</si>
  <si>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</si>
  <si>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</si>
  <si>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</si>
  <si>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</si>
  <si>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</si>
  <si>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</si>
  <si>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</si>
  <si>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</si>
  <si>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</si>
  <si>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</si>
  <si>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</si>
  <si>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</si>
  <si>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</si>
  <si>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</si>
  <si>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</si>
  <si>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</si>
  <si>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</si>
  <si>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</si>
  <si>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</si>
  <si>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</si>
  <si>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</si>
  <si>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</si>
  <si>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</si>
  <si>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</si>
  <si>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</si>
  <si>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</si>
  <si>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</si>
  <si>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</si>
  <si>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</si>
  <si>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</si>
  <si>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</si>
  <si>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</si>
  <si>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</si>
  <si>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</si>
  <si>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</si>
  <si>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</si>
  <si>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</si>
  <si>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</si>
  <si>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</si>
  <si>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</si>
  <si>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</si>
  <si>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</si>
  <si>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</si>
  <si>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</si>
  <si>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</si>
  <si>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</si>
  <si>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</si>
  <si>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</si>
  <si>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</si>
  <si>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</si>
  <si>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</si>
  <si>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</si>
  <si>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</si>
  <si>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</si>
  <si>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</si>
  <si>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</si>
  <si>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</si>
  <si>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</si>
  <si>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</si>
  <si>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</si>
  <si>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</si>
  <si>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</si>
  <si>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</si>
  <si>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</si>
  <si>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</si>
  <si>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</si>
  <si>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</si>
  <si>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</si>
  <si>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</si>
  <si>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</si>
  <si>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</si>
  <si>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</si>
  <si>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</si>
  <si>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</si>
  <si>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</si>
  <si>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</si>
  <si>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</si>
  <si>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</si>
  <si>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</si>
  <si>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</si>
  <si>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</si>
  <si>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</si>
  <si>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</si>
  <si>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</si>
  <si>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</si>
  <si>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</si>
  <si>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</si>
  <si>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</si>
  <si>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</si>
  <si>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</si>
  <si>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</si>
  <si>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</si>
  <si>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</si>
  <si>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</si>
  <si>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</si>
  <si>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</si>
  <si>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</si>
  <si>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</si>
  <si>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</si>
  <si>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</si>
  <si>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</si>
  <si>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</si>
  <si>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</si>
  <si>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</si>
  <si>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</si>
  <si>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</si>
  <si>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</si>
  <si>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</si>
  <si>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</si>
  <si>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</si>
  <si>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</si>
  <si>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</si>
  <si>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</si>
  <si>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</si>
  <si>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</si>
  <si>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</si>
  <si>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</si>
  <si>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</si>
  <si>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</si>
  <si>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</si>
  <si>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</si>
  <si>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</si>
  <si>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</si>
  <si>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</si>
  <si>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</si>
  <si>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</si>
  <si>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</si>
  <si>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</si>
  <si>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</si>
  <si>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</si>
  <si>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</si>
  <si>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</si>
  <si>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</si>
  <si>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</si>
  <si>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</si>
  <si>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</si>
  <si>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</si>
  <si>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</si>
  <si>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</si>
  <si>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</si>
  <si>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</si>
  <si>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</si>
  <si>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</si>
  <si>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</si>
  <si>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</si>
  <si>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</si>
  <si>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</si>
  <si>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</si>
  <si>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</si>
  <si>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</si>
  <si>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</si>
  <si>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</si>
  <si>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</si>
  <si>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</si>
  <si>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</si>
  <si>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</si>
  <si>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</si>
  <si>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</si>
  <si>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</si>
  <si>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</si>
  <si>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</si>
  <si>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</si>
  <si>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</si>
  <si>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</si>
  <si>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</si>
  <si>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</si>
  <si>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</si>
  <si>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</si>
  <si>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</si>
  <si>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</si>
  <si>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</si>
  <si>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</si>
  <si>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</si>
  <si>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</si>
  <si>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</si>
  <si>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</si>
  <si>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</si>
  <si>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</si>
  <si>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</si>
  <si>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</si>
  <si>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</si>
  <si>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</si>
  <si>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</si>
  <si>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</si>
  <si>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</si>
  <si>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</si>
  <si>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</si>
  <si>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</si>
  <si>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</si>
  <si>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</si>
  <si>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</si>
  <si>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</si>
  <si>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</si>
  <si>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</si>
  <si>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</si>
  <si>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</si>
  <si>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</si>
  <si>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</si>
  <si>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</si>
  <si>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</si>
  <si>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</si>
  <si>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</si>
  <si>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</si>
  <si>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</si>
  <si>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</si>
  <si>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</si>
  <si>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</si>
  <si>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</si>
  <si>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</si>
  <si>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</si>
  <si>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</si>
  <si>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</si>
  <si>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</si>
  <si>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</si>
  <si>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</si>
  <si>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</si>
  <si>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</si>
  <si>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</si>
  <si>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</si>
  <si>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</si>
  <si>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</si>
  <si>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</si>
  <si>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</si>
  <si>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</si>
  <si>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</si>
  <si>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</si>
  <si>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</si>
  <si>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</si>
  <si>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</si>
  <si>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</si>
  <si>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</si>
  <si>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</si>
  <si>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</si>
  <si>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</si>
  <si>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</si>
  <si>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</si>
  <si>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</si>
  <si>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</si>
  <si>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</si>
  <si>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</si>
  <si>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</si>
  <si>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</si>
  <si>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</si>
  <si>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</si>
  <si>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</si>
  <si>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</si>
  <si>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</si>
  <si>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</si>
  <si>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</si>
  <si>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</si>
  <si>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</si>
  <si>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</si>
  <si>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</si>
  <si>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</si>
  <si>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</si>
  <si>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</si>
  <si>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</si>
  <si>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</si>
  <si>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</si>
  <si>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</si>
  <si>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</si>
  <si>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</si>
  <si>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</si>
  <si>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</si>
  <si>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</si>
  <si>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</si>
  <si>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</si>
  <si>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</si>
  <si>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</si>
  <si>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</si>
  <si>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</si>
  <si>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</si>
  <si>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</si>
  <si>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</si>
  <si>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</si>
  <si>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</si>
  <si>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</si>
  <si>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</si>
  <si>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</si>
  <si>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</si>
  <si>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</si>
  <si>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</si>
  <si>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</si>
  <si>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</si>
  <si>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</si>
  <si>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</si>
  <si>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</si>
  <si>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</si>
  <si>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</si>
  <si>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</si>
  <si>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</si>
  <si>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</si>
  <si>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</si>
  <si>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</si>
  <si>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</si>
  <si>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</si>
  <si>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</si>
  <si>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</si>
  <si>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</si>
  <si>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</si>
  <si>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</si>
  <si>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</si>
  <si>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</si>
  <si>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</si>
  <si>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</si>
  <si>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</si>
  <si>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</si>
  <si>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</si>
  <si>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</si>
  <si>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</si>
  <si>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</si>
  <si>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</si>
  <si>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</si>
  <si>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</si>
  <si>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</si>
  <si>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</si>
  <si>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</si>
  <si>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</si>
  <si>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</si>
  <si>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</si>
  <si>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</si>
  <si>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</si>
  <si>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</si>
  <si>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</si>
  <si>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</si>
  <si>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</si>
  <si>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</si>
  <si>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</si>
  <si>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</si>
  <si>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</si>
  <si>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</si>
  <si>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</si>
  <si>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</si>
  <si>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</si>
  <si>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</si>
  <si>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</si>
  <si>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</si>
  <si>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</si>
  <si>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</si>
  <si>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</si>
  <si>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</si>
  <si>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</si>
  <si>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</si>
  <si>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</si>
  <si>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</si>
  <si>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</si>
  <si>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</si>
  <si>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</si>
  <si>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</si>
  <si>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</si>
  <si>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</si>
  <si>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</si>
  <si>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</si>
  <si>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</si>
  <si>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</si>
  <si>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</si>
  <si>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</si>
  <si>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</si>
  <si>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</si>
  <si>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</si>
  <si>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</si>
  <si>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</si>
  <si>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</si>
  <si>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</si>
  <si>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</si>
  <si>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</si>
  <si>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</si>
  <si>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</si>
  <si>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</si>
  <si>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</si>
  <si>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</si>
  <si>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</si>
  <si>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</si>
  <si>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</si>
  <si>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</si>
  <si>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</si>
  <si>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</si>
  <si>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</si>
  <si>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</si>
  <si>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</si>
  <si>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</si>
  <si>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</si>
  <si>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</si>
  <si>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</si>
  <si>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</si>
  <si>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</si>
  <si>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</si>
  <si>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</si>
  <si>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</si>
  <si>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</si>
  <si>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</si>
  <si>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</si>
  <si>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</si>
  <si>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</si>
  <si>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</si>
  <si>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</si>
  <si>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</si>
  <si>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</si>
  <si>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</si>
  <si>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</si>
  <si>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</si>
  <si>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</si>
  <si>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</si>
  <si>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</si>
  <si>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</si>
  <si>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</si>
  <si>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</si>
  <si>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</si>
  <si>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</si>
  <si>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</si>
  <si>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</si>
  <si>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</si>
  <si>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</si>
  <si>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</si>
  <si>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</si>
  <si>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</si>
  <si>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</si>
  <si>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</si>
  <si>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</si>
  <si>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</si>
  <si>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</si>
  <si>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</si>
  <si>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</si>
  <si>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</si>
  <si>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</si>
  <si>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</si>
  <si>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</si>
  <si>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</si>
  <si>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</si>
  <si>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</si>
  <si>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</si>
  <si>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</si>
  <si>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</si>
  <si>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</si>
  <si>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</si>
  <si>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</si>
  <si>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</si>
  <si>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</si>
  <si>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</si>
  <si>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</si>
  <si>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</si>
  <si>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</si>
  <si>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</si>
  <si>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</si>
  <si>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</si>
  <si>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</si>
  <si>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</si>
  <si>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</si>
  <si>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</si>
  <si>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</si>
  <si>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</si>
  <si>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</si>
  <si>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</si>
  <si>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</si>
  <si>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</si>
  <si>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</si>
  <si>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</si>
  <si>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</si>
  <si>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</si>
  <si>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</si>
  <si>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</si>
  <si>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</si>
  <si>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</si>
  <si>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</si>
  <si>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</si>
  <si>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</si>
  <si>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</si>
  <si>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</si>
  <si>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</si>
  <si>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</si>
  <si>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</si>
  <si>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</si>
  <si>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</si>
  <si>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</si>
  <si>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</si>
  <si>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</si>
  <si>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</si>
  <si>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</si>
  <si>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</si>
  <si>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</si>
  <si>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</si>
  <si>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</si>
  <si>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</si>
  <si>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</si>
  <si>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</si>
  <si>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</si>
  <si>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</si>
  <si>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</si>
  <si>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</si>
  <si>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</si>
  <si>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</si>
  <si>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</si>
  <si>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</si>
  <si>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</si>
  <si>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</si>
  <si>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</si>
  <si>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</si>
  <si>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</si>
  <si>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</si>
  <si>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</si>
  <si>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</si>
  <si>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</si>
  <si>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</si>
  <si>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</si>
  <si>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</si>
  <si>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</si>
  <si>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</si>
  <si>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</si>
  <si>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</si>
  <si>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</si>
  <si>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</si>
  <si>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</si>
  <si>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</si>
  <si>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</si>
  <si>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</si>
  <si>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</si>
  <si>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</si>
  <si>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</si>
  <si>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</si>
  <si>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</si>
  <si>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</si>
  <si>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</si>
  <si>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</si>
  <si>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</si>
  <si>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</si>
  <si>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</si>
  <si>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</si>
  <si>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</si>
  <si>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</si>
  <si>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</si>
  <si>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</si>
  <si>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</si>
  <si>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</si>
  <si>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</si>
  <si>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</si>
  <si>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</si>
  <si>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</si>
  <si>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</si>
  <si>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</si>
  <si>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</si>
  <si>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</si>
  <si>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</si>
  <si>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</si>
  <si>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</si>
  <si>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</si>
  <si>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</si>
  <si>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</si>
  <si>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</si>
  <si>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</si>
  <si>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</si>
  <si>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</si>
  <si>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</si>
  <si>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</si>
  <si>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</si>
  <si>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</si>
  <si>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</si>
  <si>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</si>
  <si>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</si>
  <si>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</si>
  <si>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</si>
  <si>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</si>
  <si>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</si>
  <si>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</si>
  <si>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</si>
  <si>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</si>
  <si>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</si>
  <si>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</si>
  <si>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</si>
  <si>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</si>
  <si>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</si>
  <si>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</si>
  <si>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</si>
  <si>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</si>
  <si>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</si>
  <si>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</si>
  <si>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</si>
  <si>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</si>
  <si>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</si>
  <si>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</si>
  <si>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</si>
  <si>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</si>
  <si>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</si>
  <si>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</si>
  <si>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</si>
  <si>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</si>
  <si>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</si>
  <si>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</si>
  <si>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</si>
  <si>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</si>
  <si>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</si>
  <si>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</si>
  <si>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</si>
  <si>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</si>
  <si>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</si>
  <si>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</si>
  <si>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</si>
  <si>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</si>
  <si>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</si>
  <si>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</si>
  <si>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</si>
  <si>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</si>
  <si>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</si>
  <si>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</si>
  <si>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</si>
  <si>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</si>
  <si>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</si>
  <si>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</si>
  <si>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</si>
  <si>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</si>
  <si>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</si>
  <si>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</si>
  <si>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</si>
  <si>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</si>
  <si>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</si>
  <si>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</si>
  <si>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</si>
  <si>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</si>
  <si>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</si>
  <si>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</si>
  <si>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</si>
  <si>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</si>
  <si>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</si>
  <si>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</si>
  <si>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</si>
  <si>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</si>
  <si>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</si>
  <si>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</si>
  <si>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</si>
  <si>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</si>
  <si>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</si>
  <si>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</si>
  <si>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</si>
  <si>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</si>
  <si>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</si>
  <si>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</si>
  <si>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</si>
  <si>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</si>
  <si>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</si>
  <si>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</si>
  <si>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</si>
  <si>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</si>
  <si>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</si>
  <si>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</si>
  <si>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</si>
  <si>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</si>
  <si>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</si>
  <si>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</si>
  <si>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</si>
  <si>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</si>
  <si>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</si>
  <si>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</si>
  <si>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</si>
  <si>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</si>
  <si>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</si>
  <si>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</si>
  <si>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</si>
  <si>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</si>
  <si>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</si>
  <si>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</si>
  <si>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</si>
  <si>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</si>
  <si>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</si>
  <si>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</si>
  <si>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</si>
  <si>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</si>
  <si>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</si>
  <si>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</si>
  <si>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</si>
  <si>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</si>
  <si>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</si>
  <si>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</si>
  <si>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</si>
  <si>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</si>
  <si>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</si>
  <si>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</si>
  <si>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</si>
  <si>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</si>
  <si>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</si>
  <si>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</si>
  <si>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</si>
  <si>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</si>
  <si>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</si>
  <si>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</si>
  <si>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</si>
  <si>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</si>
  <si>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</si>
  <si>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</si>
  <si>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</si>
  <si>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</si>
  <si>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</si>
  <si>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</si>
  <si>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</si>
  <si>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</si>
  <si>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</si>
  <si>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</si>
  <si>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</si>
  <si>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</si>
  <si>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</si>
  <si>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</si>
  <si>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</si>
  <si>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</si>
  <si>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</si>
  <si>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</si>
  <si>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</si>
  <si>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</si>
  <si>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</si>
  <si>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</si>
  <si>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</si>
  <si>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</si>
  <si>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</si>
  <si>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</si>
  <si>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</si>
  <si>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</si>
  <si>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</si>
  <si>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</si>
  <si>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</si>
  <si>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</si>
  <si>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</si>
  <si>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</si>
  <si>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</si>
  <si>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</si>
  <si>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</si>
  <si>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</si>
  <si>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</si>
  <si>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</si>
  <si>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</si>
  <si>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</si>
  <si>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</si>
  <si>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</si>
  <si>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</si>
  <si>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</si>
  <si>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</si>
  <si>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</si>
  <si>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</si>
  <si>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</si>
  <si>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</si>
  <si>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</si>
  <si>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</si>
  <si>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</si>
  <si>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</si>
  <si>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</si>
  <si>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</si>
  <si>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</si>
  <si>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</si>
  <si>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</si>
  <si>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</si>
  <si>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</si>
  <si>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</si>
  <si>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</si>
  <si>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</si>
  <si>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</si>
  <si>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</si>
  <si>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</si>
  <si>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</si>
  <si>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</si>
  <si>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</si>
  <si>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</si>
  <si>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</si>
  <si>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</si>
  <si>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</si>
  <si>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</si>
  <si>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</si>
  <si>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</si>
  <si>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</si>
  <si>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</si>
  <si>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</si>
  <si>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</si>
  <si>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</si>
  <si>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</si>
  <si>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</si>
  <si>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</si>
  <si>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</si>
  <si>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</si>
  <si>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</si>
  <si>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</si>
  <si>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</si>
  <si>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</si>
  <si>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</si>
  <si>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</si>
  <si>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</si>
  <si>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</si>
  <si>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</si>
  <si>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</si>
  <si>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</si>
  <si>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</si>
  <si>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</si>
  <si>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</si>
  <si>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</si>
  <si>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</si>
  <si>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</si>
  <si>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</si>
  <si>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</si>
  <si>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</si>
  <si>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</si>
  <si>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</si>
  <si>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</si>
  <si>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</si>
  <si>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</si>
  <si>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</si>
  <si>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</si>
  <si>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</si>
  <si>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</si>
  <si>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</si>
  <si>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</si>
  <si>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</si>
  <si>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</si>
  <si>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</si>
  <si>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</si>
  <si>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</si>
  <si>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</si>
  <si>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</si>
  <si>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</si>
  <si>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</si>
  <si>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</si>
  <si>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</si>
  <si>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</si>
  <si>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</si>
  <si>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</si>
  <si>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</si>
  <si>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</si>
  <si>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</si>
  <si>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</si>
  <si>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</si>
  <si>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</si>
  <si>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</si>
  <si>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</si>
  <si>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</si>
  <si>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</si>
  <si>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</si>
  <si>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</si>
  <si>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</si>
  <si>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</si>
  <si>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</si>
  <si>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</si>
  <si>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</si>
  <si>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</si>
  <si>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</si>
  <si>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</si>
  <si>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</si>
  <si>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</si>
  <si>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</si>
  <si>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</si>
  <si>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</si>
  <si>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</si>
  <si>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</si>
  <si>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</si>
  <si>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</si>
  <si>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</si>
  <si>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</si>
  <si>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</si>
  <si>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</si>
  <si>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</si>
  <si>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</si>
  <si>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</si>
  <si>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</si>
  <si>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</si>
  <si>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</si>
  <si>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</si>
  <si>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</si>
  <si>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</si>
  <si>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</si>
  <si>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</si>
  <si>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</si>
  <si>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</si>
  <si>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</si>
  <si>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</si>
  <si>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</si>
  <si>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</si>
  <si>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</si>
  <si>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</si>
  <si>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</si>
  <si>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</si>
  <si>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</si>
  <si>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</si>
  <si>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</si>
  <si>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</si>
  <si>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</si>
  <si>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</si>
  <si>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</si>
  <si>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</si>
  <si>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</si>
  <si>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</si>
  <si>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</si>
  <si>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</si>
  <si>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</si>
  <si>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</si>
  <si>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</si>
  <si>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</si>
  <si>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</si>
  <si>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</si>
  <si>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</si>
  <si>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</si>
  <si>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</si>
  <si>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</si>
  <si>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</si>
  <si>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</si>
  <si>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</si>
  <si>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</si>
  <si>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</si>
  <si>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</si>
  <si>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</si>
  <si>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</si>
  <si>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</si>
  <si>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</si>
  <si>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</si>
  <si>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</si>
  <si>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</si>
  <si>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</si>
  <si>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</si>
  <si>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</si>
  <si>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</si>
  <si>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</si>
  <si>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</si>
  <si>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</si>
  <si>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</si>
  <si>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</si>
  <si>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</si>
  <si>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</si>
  <si>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</si>
  <si>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</si>
  <si>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</si>
  <si>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</si>
  <si>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</si>
  <si>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</si>
  <si>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</si>
  <si>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</si>
  <si>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</si>
  <si>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</si>
  <si>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</si>
  <si>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</si>
  <si>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</si>
  <si>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</si>
  <si>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</si>
  <si>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</si>
  <si>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</si>
  <si>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</si>
  <si>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</si>
  <si>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</si>
  <si>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</si>
  <si>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</si>
  <si>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</si>
  <si>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</si>
  <si>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</si>
  <si>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</si>
  <si>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</si>
  <si>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</si>
  <si>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</si>
  <si>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</si>
  <si>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</si>
  <si>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</si>
  <si>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</si>
  <si>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</si>
  <si>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</si>
  <si>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</si>
  <si>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</si>
  <si>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</si>
  <si>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</si>
  <si>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</si>
  <si>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</si>
  <si>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</si>
  <si>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</si>
  <si>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</si>
  <si>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</si>
  <si>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</si>
  <si>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</si>
  <si>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</si>
  <si>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</si>
  <si>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</si>
  <si>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</si>
  <si>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</si>
  <si>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</si>
  <si>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</si>
  <si>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</si>
  <si>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</si>
  <si>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</si>
  <si>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</si>
  <si>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</si>
  <si>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</si>
  <si>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</si>
  <si>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</si>
  <si>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</si>
  <si>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</si>
  <si>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</si>
  <si>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</si>
  <si>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</si>
  <si>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</si>
  <si>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</si>
  <si>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</si>
  <si>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</si>
  <si>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</si>
  <si>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</si>
  <si>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</si>
  <si>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</si>
  <si>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</si>
  <si>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</si>
  <si>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</si>
  <si>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</si>
  <si>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</si>
  <si>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</si>
  <si>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</si>
  <si>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</si>
  <si>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</si>
  <si>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</si>
  <si>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</si>
  <si>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</si>
  <si>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</si>
  <si>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</si>
  <si>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</si>
  <si>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</si>
  <si>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</si>
  <si>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</si>
  <si>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</si>
  <si>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</si>
  <si>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</si>
  <si>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</si>
  <si>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</si>
  <si>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</si>
  <si>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</si>
  <si>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</si>
  <si>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</si>
  <si>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</si>
  <si>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</si>
  <si>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</si>
  <si>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</si>
  <si>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</si>
  <si>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</si>
  <si>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</si>
  <si>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</si>
  <si>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</si>
  <si>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</si>
  <si>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</si>
  <si>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</si>
  <si>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</si>
  <si>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</si>
  <si>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</si>
  <si>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</si>
  <si>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</si>
  <si>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</si>
  <si>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</si>
  <si>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</si>
  <si>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</si>
  <si>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</si>
  <si>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</si>
  <si>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</si>
  <si>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</si>
  <si>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</si>
  <si>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</si>
  <si>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</si>
  <si>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</si>
  <si>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</si>
  <si>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</si>
  <si>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</si>
  <si>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</si>
  <si>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</si>
  <si>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</si>
  <si>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</si>
  <si>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</si>
  <si>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</si>
  <si>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</si>
  <si>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</si>
  <si>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</si>
  <si>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</si>
  <si>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</si>
  <si>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</si>
  <si>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</si>
  <si>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</si>
  <si>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</si>
  <si>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</si>
  <si>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</si>
  <si>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</si>
  <si>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</si>
  <si>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</si>
  <si>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</si>
  <si>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</si>
  <si>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</si>
  <si>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</si>
  <si>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</si>
  <si>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</si>
  <si>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</si>
  <si>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</si>
  <si>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</si>
  <si>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</si>
  <si>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</si>
  <si>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</si>
  <si>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</si>
  <si>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</si>
  <si>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</si>
  <si>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</si>
  <si>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</si>
  <si>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</si>
  <si>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</si>
  <si>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</si>
  <si>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</si>
  <si>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</si>
  <si>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</si>
  <si>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</si>
  <si>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</si>
  <si>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</si>
  <si>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</si>
  <si>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</si>
  <si>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</si>
  <si>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</si>
  <si>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</si>
  <si>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</si>
  <si>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</si>
  <si>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</si>
  <si>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</si>
  <si>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</si>
  <si>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</si>
  <si>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</si>
  <si>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</si>
  <si>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</si>
  <si>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</si>
  <si>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</si>
  <si>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</si>
  <si>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</si>
  <si>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</si>
  <si>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</si>
  <si>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</si>
  <si>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</si>
  <si>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</si>
  <si>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</si>
  <si>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</si>
  <si>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</si>
  <si>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</si>
  <si>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</si>
  <si>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</si>
  <si>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</si>
  <si>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</si>
  <si>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</si>
  <si>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</si>
  <si>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</si>
  <si>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</si>
  <si>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</si>
  <si>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</si>
  <si>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</si>
  <si>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</si>
  <si>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</si>
  <si>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</si>
  <si>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</si>
  <si>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</si>
  <si>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</si>
  <si>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</si>
  <si>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</si>
  <si>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</si>
  <si>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</si>
  <si>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</si>
  <si>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</si>
  <si>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</si>
  <si>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</si>
  <si>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</si>
  <si>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</si>
  <si>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</si>
  <si>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</si>
  <si>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</si>
  <si>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</si>
  <si>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</si>
  <si>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</si>
  <si>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</si>
  <si>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</si>
  <si>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</si>
  <si>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</si>
  <si>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</si>
  <si>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</si>
  <si>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</si>
  <si>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</si>
  <si>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</si>
  <si>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</si>
  <si>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</si>
  <si>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</si>
  <si>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</si>
  <si>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</si>
  <si>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</si>
  <si>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</si>
  <si>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</si>
  <si>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</si>
  <si>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</si>
  <si>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</si>
  <si>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</si>
  <si>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</si>
  <si>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</si>
  <si>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</si>
  <si>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</si>
  <si>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</si>
  <si>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</si>
  <si>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</si>
  <si>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</si>
  <si>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</si>
  <si>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</si>
  <si>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</si>
  <si>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</si>
  <si>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</si>
  <si>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</si>
  <si>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</si>
  <si>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</si>
  <si>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</si>
  <si>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</si>
  <si>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</si>
  <si>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</si>
  <si>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</si>
  <si>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</si>
  <si>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</si>
  <si>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</si>
  <si>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</si>
  <si>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</si>
  <si>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</si>
  <si>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</si>
  <si>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</si>
  <si>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</si>
  <si>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</si>
  <si>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</si>
  <si>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</si>
  <si>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</si>
  <si>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</si>
  <si>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</si>
  <si>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</si>
  <si>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</si>
  <si>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</si>
  <si>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</si>
  <si>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</si>
  <si>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</si>
  <si>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</si>
  <si>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</si>
  <si>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</si>
  <si>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</si>
  <si>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</si>
  <si>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</si>
  <si>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</si>
  <si>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</si>
  <si>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</si>
  <si>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</si>
  <si>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</si>
  <si>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</si>
  <si>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</si>
  <si>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</si>
  <si>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</si>
  <si>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</si>
  <si>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</si>
  <si>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</si>
  <si>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</si>
  <si>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</si>
  <si>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</si>
  <si>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</si>
  <si>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</si>
  <si>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</si>
  <si>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</si>
  <si>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</si>
  <si>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</si>
  <si>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</si>
  <si>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</si>
  <si>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</si>
  <si>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</si>
  <si>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</si>
  <si>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</si>
  <si>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</si>
  <si>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</si>
  <si>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</si>
  <si>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</si>
  <si>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</si>
  <si>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</si>
  <si>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</si>
  <si>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</si>
  <si>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</si>
  <si>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</si>
  <si>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</si>
  <si>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</si>
  <si>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</si>
  <si>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</si>
  <si>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</si>
  <si>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</si>
  <si>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</si>
  <si>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</si>
  <si>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</si>
  <si>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</si>
  <si>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</si>
  <si>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</si>
  <si>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</si>
  <si>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</si>
  <si>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</si>
  <si>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</si>
  <si>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</si>
  <si>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</si>
  <si>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</si>
  <si>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</si>
  <si>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</si>
  <si>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</si>
  <si>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</si>
  <si>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</si>
  <si>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</si>
  <si>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</si>
  <si>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</si>
  <si>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</si>
  <si>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</si>
  <si>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</si>
  <si>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</si>
  <si>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</si>
  <si>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</si>
  <si>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</si>
  <si>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</si>
  <si>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</si>
  <si>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</si>
  <si>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</si>
  <si>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</si>
  <si>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</si>
  <si>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</si>
  <si>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</si>
  <si>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</si>
  <si>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</si>
  <si>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</si>
  <si>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</si>
  <si>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</si>
  <si>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</si>
  <si>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</si>
  <si>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</si>
  <si>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</si>
  <si>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</si>
  <si>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</si>
  <si>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</si>
  <si>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</si>
  <si>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</si>
  <si>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</si>
  <si>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</si>
  <si>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</si>
  <si>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</si>
  <si>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</si>
  <si>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</si>
  <si>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</si>
  <si>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</si>
  <si>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</si>
  <si>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</si>
  <si>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</si>
  <si>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</si>
  <si>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</si>
  <si>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</si>
  <si>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</si>
  <si>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</si>
  <si>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</si>
  <si>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</si>
  <si>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</si>
  <si>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</si>
  <si>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</si>
  <si>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</si>
  <si>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</si>
  <si>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</si>
  <si>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</si>
  <si>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</si>
  <si>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</si>
  <si>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</si>
  <si>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</si>
  <si>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</si>
  <si>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</si>
  <si>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</si>
  <si>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</si>
  <si>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</si>
  <si>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</si>
  <si>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</si>
  <si>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</si>
  <si>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</si>
  <si>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</si>
  <si>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</si>
  <si>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</si>
  <si>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</si>
  <si>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</si>
  <si>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</si>
  <si>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</si>
  <si>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</si>
  <si>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</si>
  <si>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</si>
  <si>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</si>
  <si>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</si>
  <si>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</si>
  <si>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</si>
  <si>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</si>
  <si>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</si>
  <si>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</si>
  <si>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</si>
  <si>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</si>
  <si>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</si>
  <si>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</si>
  <si>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</si>
  <si>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</si>
  <si>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</si>
  <si>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</si>
  <si>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</si>
  <si>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</si>
  <si>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</si>
  <si>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</si>
  <si>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</si>
  <si>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</si>
  <si>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</si>
  <si>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</si>
  <si>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</si>
  <si>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</si>
  <si>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</si>
  <si>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</si>
  <si>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</si>
  <si>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</si>
  <si>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</si>
  <si>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</si>
  <si>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</si>
  <si>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</si>
  <si>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</si>
  <si>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</si>
  <si>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</si>
  <si>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</si>
  <si>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</si>
  <si>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</si>
  <si>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</si>
  <si>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</si>
  <si>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</si>
  <si>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</si>
  <si>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</si>
  <si>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</si>
  <si>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</si>
  <si>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</si>
  <si>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</si>
  <si>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</si>
  <si>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</si>
  <si>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</si>
  <si>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</si>
  <si>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</si>
  <si>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</si>
  <si>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</si>
  <si>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</si>
  <si>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</si>
  <si>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</si>
  <si>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</si>
  <si>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</si>
  <si>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</si>
  <si>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</si>
  <si>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</si>
  <si>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</si>
  <si>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</si>
  <si>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</si>
  <si>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</si>
  <si>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</si>
  <si>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</si>
  <si>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</si>
  <si>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</si>
  <si>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</si>
  <si>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</si>
  <si>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</si>
  <si>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</si>
  <si>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</si>
  <si>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</si>
  <si>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</si>
  <si>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</si>
  <si>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</si>
  <si>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</si>
  <si>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</si>
  <si>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</si>
  <si>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</si>
  <si>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</si>
  <si>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</si>
  <si>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</si>
  <si>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</si>
  <si>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</si>
  <si>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</si>
  <si>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</si>
  <si>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</si>
  <si>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</si>
  <si>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</si>
  <si>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</si>
  <si>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</si>
  <si>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</si>
  <si>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</si>
  <si>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</si>
  <si>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</si>
  <si>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</si>
  <si>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</si>
  <si>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</si>
  <si>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</si>
  <si>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</si>
  <si>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</si>
  <si>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</si>
  <si>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</si>
  <si>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</si>
  <si>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</si>
  <si>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</si>
  <si>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</si>
  <si>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</si>
  <si>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</si>
  <si>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</si>
  <si>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</si>
  <si>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</si>
  <si>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</si>
  <si>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</si>
  <si>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</si>
  <si>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</si>
  <si>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</si>
  <si>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</si>
  <si>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</si>
  <si>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</si>
  <si>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</si>
  <si>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</si>
  <si>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</si>
  <si>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</si>
  <si>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</si>
  <si>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</si>
  <si>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</si>
  <si>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</si>
  <si>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</si>
  <si>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</si>
  <si>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</si>
  <si>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</si>
  <si>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</si>
  <si>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</si>
  <si>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</si>
  <si>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</si>
  <si>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</si>
  <si>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</si>
  <si>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</si>
  <si>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</si>
  <si>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</si>
  <si>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</si>
  <si>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</si>
  <si>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</si>
  <si>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</si>
  <si>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</si>
  <si>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</si>
  <si>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</si>
  <si>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</si>
  <si>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</si>
  <si>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</si>
  <si>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</si>
  <si>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</si>
  <si>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</si>
  <si>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</si>
  <si>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</si>
  <si>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</si>
  <si>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</si>
  <si>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</si>
  <si>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</si>
  <si>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</si>
  <si>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</si>
  <si>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</si>
  <si>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</si>
  <si>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</si>
  <si>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</si>
  <si>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</si>
  <si>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</si>
  <si>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</si>
  <si>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</si>
  <si>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</si>
  <si>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</si>
  <si>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</si>
  <si>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</si>
  <si>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</si>
  <si>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</si>
  <si>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</si>
  <si>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</si>
  <si>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</si>
  <si>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</si>
  <si>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</si>
  <si>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</si>
  <si>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</si>
  <si>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</si>
  <si>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</si>
  <si>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</si>
  <si>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</si>
  <si>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</si>
  <si>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</si>
  <si>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</si>
  <si>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</si>
  <si>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</si>
  <si>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</si>
  <si>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</si>
  <si>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</si>
  <si>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</si>
  <si>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</si>
  <si>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</si>
  <si>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</si>
  <si>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</si>
  <si>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</si>
  <si>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</si>
  <si>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</si>
  <si>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</si>
  <si>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</si>
  <si>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</si>
  <si>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</si>
  <si>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</si>
  <si>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</si>
  <si>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</si>
  <si>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</si>
  <si>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</si>
  <si>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</si>
  <si>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</si>
  <si>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</si>
  <si>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</si>
  <si>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</si>
  <si>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</si>
  <si>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</si>
  <si>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</si>
  <si>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</si>
  <si>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</si>
  <si>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</si>
  <si>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</si>
  <si>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</si>
  <si>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</si>
  <si>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</si>
  <si>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</si>
  <si>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</si>
  <si>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</si>
  <si>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</si>
  <si>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</si>
  <si>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</si>
  <si>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</si>
  <si>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</si>
  <si>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</si>
  <si>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</si>
  <si>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</si>
  <si>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</si>
  <si>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</si>
  <si>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</si>
  <si>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</si>
  <si>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</si>
  <si>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</si>
  <si>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</si>
  <si>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</si>
  <si>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</si>
  <si>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</si>
  <si>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</si>
  <si>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</si>
  <si>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</si>
  <si>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</si>
  <si>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</si>
  <si>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</si>
  <si>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</si>
  <si>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</si>
  <si>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</si>
  <si>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</si>
  <si>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</si>
  <si>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</si>
  <si>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</si>
  <si>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</si>
  <si>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</si>
  <si>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</si>
  <si>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</si>
  <si>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</si>
  <si>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</si>
  <si>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</si>
  <si>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</si>
  <si>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</si>
  <si>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</si>
  <si>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</si>
  <si>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</si>
  <si>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</si>
  <si>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</si>
  <si>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</si>
  <si>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</si>
  <si>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</si>
  <si>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</si>
  <si>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</si>
  <si>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</si>
  <si>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</si>
  <si>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</si>
  <si>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</si>
  <si>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</si>
  <si>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</si>
  <si>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</si>
  <si>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</si>
  <si>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</si>
  <si>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</si>
  <si>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</si>
  <si>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</si>
  <si>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</si>
  <si>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</si>
  <si>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</si>
  <si>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</si>
  <si>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</si>
  <si>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</si>
  <si>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</si>
  <si>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</si>
  <si>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</si>
  <si>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</si>
  <si>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</si>
  <si>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</si>
  <si>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</si>
  <si>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</si>
  <si>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</si>
  <si>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</si>
  <si>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</si>
  <si>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</si>
  <si>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</si>
  <si>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</si>
  <si>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</si>
  <si>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</si>
  <si>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</si>
  <si>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</si>
  <si>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</si>
  <si>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</si>
  <si>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</si>
  <si>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</si>
  <si>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</si>
  <si>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</si>
  <si>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</si>
  <si>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</si>
  <si>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</si>
  <si>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</si>
  <si>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</si>
  <si>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</si>
  <si>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</si>
  <si>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</si>
  <si>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</si>
  <si>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</si>
  <si>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</si>
  <si>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</si>
  <si>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</si>
  <si>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</si>
  <si>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</si>
  <si>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</si>
  <si>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</si>
  <si>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</si>
  <si>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</si>
  <si>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</si>
  <si>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</si>
  <si>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</si>
  <si>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</si>
  <si>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</si>
  <si>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</si>
  <si>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</si>
  <si>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</si>
  <si>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</si>
  <si>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</si>
  <si>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</si>
  <si>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</si>
  <si>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</si>
  <si>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</si>
  <si>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</si>
  <si>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</si>
  <si>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</si>
  <si>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</si>
  <si>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</si>
  <si>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</si>
  <si>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</si>
  <si>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</si>
  <si>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</si>
  <si>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</si>
  <si>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</si>
  <si>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</si>
  <si>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</si>
  <si>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</si>
  <si>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</si>
  <si>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</si>
  <si>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</si>
  <si>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</si>
  <si>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</si>
  <si>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</si>
  <si>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</si>
  <si>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</si>
  <si>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</si>
  <si>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</si>
  <si>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</si>
  <si>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</si>
  <si>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</si>
  <si>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</si>
  <si>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</si>
  <si>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</si>
  <si>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</si>
  <si>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</si>
  <si>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</si>
  <si>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</si>
  <si>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</si>
  <si>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</si>
  <si>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</si>
  <si>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</si>
  <si>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</si>
  <si>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</si>
  <si>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</si>
  <si>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</si>
  <si>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</si>
  <si>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</si>
  <si>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</si>
  <si>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</si>
  <si>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</si>
  <si>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</si>
  <si>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</si>
  <si>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</si>
  <si>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</si>
  <si>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</si>
  <si>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</si>
  <si>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</si>
  <si>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</si>
  <si>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</si>
  <si>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</si>
  <si>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</si>
  <si>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</si>
  <si>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</si>
  <si>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</si>
  <si>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</si>
  <si>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</si>
  <si>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</si>
  <si>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</si>
  <si>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</si>
  <si>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</si>
  <si>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</si>
  <si>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</si>
  <si>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</si>
  <si>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</si>
  <si>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</si>
  <si>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</si>
  <si>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</si>
  <si>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</si>
  <si>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</si>
  <si>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</si>
  <si>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</si>
  <si>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</si>
  <si>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</si>
  <si>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</si>
  <si>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</si>
  <si>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</si>
  <si>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</si>
  <si>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</si>
  <si>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</si>
  <si>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</si>
  <si>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</si>
  <si>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</si>
  <si>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</si>
  <si>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</si>
  <si>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</si>
  <si>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</si>
  <si>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</si>
  <si>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</si>
  <si>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</si>
  <si>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</si>
  <si>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</si>
  <si>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</si>
  <si>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</si>
  <si>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</si>
  <si>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</si>
  <si>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</si>
  <si>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</si>
  <si>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</si>
  <si>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</si>
  <si>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</si>
  <si>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</si>
  <si>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</si>
  <si>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</si>
  <si>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</si>
  <si>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</si>
  <si>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</si>
  <si>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</si>
  <si>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</si>
  <si>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</si>
  <si>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</si>
  <si>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</si>
  <si>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</si>
  <si>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</si>
  <si>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</si>
  <si>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</si>
  <si>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</si>
  <si>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</si>
  <si>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</si>
  <si>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</si>
  <si>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</si>
  <si>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</si>
  <si>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</si>
  <si>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</si>
  <si>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</si>
  <si>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</si>
  <si>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</si>
  <si>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</si>
  <si>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</si>
  <si>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</si>
  <si>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</si>
  <si>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</si>
  <si>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</si>
  <si>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</si>
  <si>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</si>
  <si>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</si>
  <si>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</si>
  <si>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</si>
  <si>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</si>
  <si>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</si>
  <si>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</si>
  <si>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</si>
  <si>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</si>
  <si>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</si>
  <si>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</si>
  <si>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</si>
  <si>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</si>
  <si>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</si>
  <si>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</si>
  <si>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</si>
  <si>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</si>
  <si>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</si>
  <si>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</si>
  <si>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</si>
  <si>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</si>
  <si>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</si>
  <si>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</si>
  <si>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</si>
  <si>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</si>
  <si>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</si>
  <si>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</si>
  <si>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</si>
  <si>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</si>
  <si>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</si>
  <si>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</si>
  <si>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</si>
  <si>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</si>
  <si>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</si>
  <si>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</si>
  <si>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</si>
  <si>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</si>
  <si>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</si>
  <si>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</si>
  <si>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</si>
  <si>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</si>
  <si>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</si>
  <si>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</si>
  <si>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</si>
  <si>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</si>
  <si>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</si>
  <si>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</si>
  <si>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</si>
  <si>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</si>
  <si>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</si>
  <si>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</si>
  <si>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</si>
  <si>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</si>
  <si>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</si>
  <si>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</si>
  <si>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</si>
  <si>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</si>
  <si>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</si>
  <si>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</si>
  <si>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</si>
  <si>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</si>
  <si>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</si>
  <si>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</si>
  <si>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</si>
  <si>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</si>
  <si>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</si>
  <si>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</si>
  <si>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</si>
  <si>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</si>
  <si>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</si>
  <si>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</si>
  <si>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</si>
  <si>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</si>
  <si>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</si>
  <si>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</si>
  <si>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</si>
  <si>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</si>
  <si>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</si>
  <si>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</si>
  <si>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</si>
  <si>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</si>
  <si>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</si>
  <si>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</si>
  <si>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</si>
  <si>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</si>
  <si>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</si>
  <si>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</si>
  <si>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</si>
  <si>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</si>
  <si>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</si>
  <si>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</si>
  <si>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</si>
  <si>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</si>
  <si>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</si>
  <si>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</si>
  <si>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</si>
  <si>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</si>
  <si>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</si>
  <si>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</si>
  <si>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</si>
  <si>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</si>
  <si>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</si>
  <si>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</si>
  <si>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</si>
  <si>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</si>
  <si>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</si>
  <si>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</si>
  <si>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</si>
  <si>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</si>
  <si>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</si>
  <si>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</si>
  <si>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</si>
  <si>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</si>
  <si>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</si>
  <si>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</si>
  <si>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</si>
  <si>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</si>
  <si>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</si>
  <si>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</si>
  <si>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</si>
  <si>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</si>
  <si>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</si>
  <si>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</si>
  <si>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</si>
  <si>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</si>
  <si>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</si>
  <si>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</si>
  <si>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</si>
  <si>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</si>
  <si>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</si>
  <si>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</si>
  <si>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</si>
  <si>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</si>
  <si>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</si>
  <si>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</si>
  <si>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</si>
  <si>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</si>
  <si>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</si>
  <si>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</si>
  <si>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</si>
  <si>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</si>
  <si>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</si>
  <si>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</si>
  <si>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</si>
  <si>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</si>
  <si>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</si>
  <si>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</si>
  <si>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</si>
  <si>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</si>
  <si>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</si>
  <si>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</si>
  <si>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</si>
  <si>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</si>
  <si>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</si>
  <si>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</si>
  <si>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</si>
  <si>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</si>
  <si>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</si>
  <si>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</si>
  <si>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</si>
  <si>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</si>
  <si>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</si>
  <si>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</si>
  <si>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</si>
  <si>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</si>
  <si>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</si>
  <si>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</si>
  <si>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</si>
  <si>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</si>
  <si>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</si>
  <si>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</si>
  <si>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</si>
  <si>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</si>
  <si>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</si>
  <si>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</si>
  <si>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</si>
  <si>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</si>
  <si>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</si>
  <si>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</si>
  <si>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</si>
  <si>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</si>
  <si>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</si>
  <si>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</si>
  <si>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</si>
  <si>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</si>
  <si>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</si>
  <si>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</si>
  <si>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</si>
  <si>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</si>
  <si>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</si>
  <si>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</si>
  <si>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</si>
  <si>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</si>
  <si>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</si>
  <si>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</si>
  <si>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</si>
  <si>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</si>
  <si>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</si>
  <si>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</si>
  <si>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</si>
  <si>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</si>
  <si>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</si>
  <si>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</si>
  <si>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</si>
  <si>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</si>
  <si>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</si>
  <si>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</si>
  <si>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</si>
  <si>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</si>
  <si>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</si>
  <si>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</si>
  <si>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</si>
  <si>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</si>
  <si>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</si>
  <si>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</si>
  <si>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</si>
  <si>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</si>
  <si>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</si>
  <si>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</si>
  <si>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</si>
  <si>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</si>
  <si>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</si>
  <si>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</si>
  <si>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</si>
  <si>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</si>
  <si>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</si>
  <si>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</si>
  <si>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</si>
  <si>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</si>
  <si>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</si>
  <si>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</si>
  <si>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</si>
  <si>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</si>
  <si>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</si>
  <si>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</si>
  <si>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</si>
  <si>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</si>
  <si>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</si>
  <si>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</si>
  <si>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</si>
  <si>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</si>
  <si>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</si>
  <si>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</si>
  <si>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</si>
  <si>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</si>
  <si>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</si>
  <si>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</si>
  <si>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</si>
  <si>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</si>
  <si>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</si>
  <si>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</si>
  <si>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</si>
  <si>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</si>
  <si>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</si>
  <si>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</si>
  <si>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</si>
  <si>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</si>
  <si>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</si>
  <si>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</si>
  <si>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</si>
  <si>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</si>
  <si>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</si>
  <si>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</si>
  <si>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</si>
  <si>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</si>
  <si>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</si>
  <si>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</si>
  <si>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</si>
  <si>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</si>
  <si>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</si>
  <si>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</si>
  <si>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</si>
  <si>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</si>
  <si>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</si>
  <si>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</si>
  <si>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</si>
  <si>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</si>
  <si>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</si>
  <si>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</si>
  <si>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</si>
  <si>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</si>
  <si>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</si>
  <si>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</si>
  <si>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</si>
  <si>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</si>
  <si>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</si>
  <si>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</si>
  <si>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</si>
  <si>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</si>
  <si>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</si>
  <si>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</si>
  <si>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</si>
  <si>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</si>
  <si>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</si>
  <si>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</si>
  <si>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</si>
  <si>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</si>
  <si>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</si>
  <si>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</si>
  <si>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</si>
  <si>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</si>
  <si>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</si>
  <si>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</si>
  <si>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</si>
  <si>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</si>
  <si>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</si>
  <si>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</si>
  <si>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</si>
  <si>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</si>
  <si>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</si>
  <si>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</si>
  <si>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</si>
  <si>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</si>
  <si>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</si>
  <si>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</si>
  <si>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</si>
  <si>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</si>
  <si>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</si>
  <si>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</si>
  <si>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</si>
  <si>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</si>
  <si>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</si>
  <si>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</si>
  <si>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</si>
  <si>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</si>
  <si>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</si>
  <si>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</si>
  <si>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</si>
  <si>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</si>
  <si>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</si>
  <si>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</si>
  <si>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</si>
  <si>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</si>
  <si>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</si>
  <si>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</si>
  <si>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</si>
  <si>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</si>
  <si>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</si>
  <si>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</si>
  <si>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</si>
  <si>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</si>
  <si>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</si>
  <si>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</si>
  <si>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</si>
  <si>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</si>
  <si>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</si>
  <si>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</si>
  <si>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</si>
  <si>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</si>
  <si>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</si>
  <si>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</si>
  <si>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</si>
  <si>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</si>
  <si>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</si>
  <si>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</si>
  <si>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</si>
  <si>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</si>
  <si>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</si>
  <si>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</si>
  <si>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</si>
  <si>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</si>
  <si>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</si>
  <si>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</si>
  <si>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</si>
  <si>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</si>
  <si>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</si>
  <si>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</si>
  <si>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</si>
  <si>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</si>
  <si>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</si>
  <si>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</si>
  <si>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</si>
  <si>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</si>
  <si>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</si>
  <si>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</si>
  <si>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</si>
  <si>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</si>
  <si>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</si>
  <si>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</si>
  <si>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</si>
  <si>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</si>
  <si>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</si>
  <si>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</si>
  <si>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</si>
  <si>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</si>
  <si>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</si>
  <si>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</si>
  <si>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</si>
  <si>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</si>
  <si>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</si>
  <si>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</si>
  <si>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</si>
  <si>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</si>
  <si>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</si>
  <si>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</si>
  <si>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</si>
  <si>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</si>
  <si>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</si>
  <si>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</si>
  <si>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</si>
  <si>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</si>
  <si>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</si>
  <si>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</si>
  <si>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</si>
  <si>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</si>
  <si>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</si>
  <si>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</si>
  <si>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</si>
  <si>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</si>
  <si>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</si>
  <si>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</si>
  <si>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</si>
  <si>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</si>
  <si>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</si>
  <si>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</si>
  <si>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</si>
  <si>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</si>
  <si>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</si>
  <si>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</si>
  <si>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</si>
  <si>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</si>
  <si>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</si>
  <si>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</si>
  <si>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</si>
  <si>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</si>
  <si>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</si>
  <si>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</si>
  <si>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</si>
  <si>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</si>
  <si>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</si>
  <si>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</si>
  <si>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</si>
  <si>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</si>
  <si>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</si>
  <si>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</si>
  <si>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</si>
  <si>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</si>
  <si>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</si>
  <si>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</si>
  <si>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</si>
  <si>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</si>
  <si>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</si>
  <si>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</si>
  <si>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</si>
  <si>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</si>
  <si>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</si>
  <si>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</si>
  <si>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</si>
  <si>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</si>
  <si>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</si>
  <si>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</si>
  <si>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</si>
  <si>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</si>
  <si>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</si>
  <si>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</si>
  <si>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</si>
  <si>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</si>
  <si>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</si>
  <si>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</si>
  <si>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</si>
  <si>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</si>
  <si>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</si>
  <si>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</si>
  <si>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</si>
  <si>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</si>
  <si>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</si>
  <si>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</si>
  <si>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</si>
  <si>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</si>
  <si>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</si>
  <si>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</si>
  <si>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</si>
  <si>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</si>
  <si>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</si>
  <si>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</si>
  <si>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</si>
  <si>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</si>
  <si>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</si>
  <si>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</si>
  <si>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</si>
  <si>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</si>
  <si>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</si>
  <si>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</si>
  <si>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</si>
  <si>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</si>
  <si>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</si>
  <si>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</si>
  <si>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</si>
  <si>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</si>
  <si>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</si>
  <si>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</si>
  <si>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</si>
  <si>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</si>
  <si>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</si>
  <si>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</si>
  <si>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</si>
  <si>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</si>
  <si>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</si>
  <si>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</si>
  <si>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</si>
  <si>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</si>
  <si>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</si>
  <si>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</si>
  <si>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</si>
  <si>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</si>
  <si>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</si>
  <si>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</si>
  <si>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</si>
  <si>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</si>
  <si>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</si>
  <si>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</si>
  <si>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</si>
  <si>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</si>
  <si>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</si>
  <si>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</si>
  <si>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</si>
  <si>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</si>
  <si>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</si>
  <si>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</si>
  <si>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</si>
  <si>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</si>
  <si>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</si>
  <si>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</si>
  <si>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</si>
  <si>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</si>
  <si>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</si>
  <si>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</si>
  <si>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</si>
  <si>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</si>
  <si>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</si>
  <si>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</si>
  <si>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</si>
  <si>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</si>
  <si>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</si>
  <si>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</si>
  <si>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</si>
  <si>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</si>
  <si>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</si>
  <si>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</si>
  <si>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</si>
  <si>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</si>
  <si>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</si>
  <si>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</si>
  <si>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</si>
  <si>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</si>
  <si>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</si>
  <si>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</si>
  <si>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</si>
  <si>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</si>
  <si>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</si>
  <si>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</si>
  <si>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</si>
  <si>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</si>
  <si>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</si>
  <si>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</si>
  <si>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</si>
  <si>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</si>
  <si>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</si>
  <si>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</si>
  <si>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</si>
  <si>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</si>
  <si>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</si>
  <si>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</si>
  <si>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</si>
  <si>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</si>
  <si>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</si>
  <si>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</si>
  <si>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</si>
  <si>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</si>
  <si>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</si>
  <si>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</si>
  <si>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</si>
  <si>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</si>
  <si>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</si>
  <si>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</si>
  <si>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</si>
  <si>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</si>
  <si>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</si>
  <si>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</si>
  <si>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</si>
  <si>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</si>
  <si>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</si>
  <si>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</si>
  <si>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</si>
  <si>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</si>
  <si>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</si>
  <si>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</si>
  <si>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</si>
  <si>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</si>
  <si>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</si>
  <si>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</si>
  <si>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</si>
  <si>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</si>
  <si>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</si>
  <si>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</si>
  <si>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</si>
  <si>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</si>
  <si>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</si>
  <si>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</si>
  <si>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</si>
  <si>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</si>
  <si>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</si>
  <si>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</si>
  <si>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</si>
  <si>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</si>
  <si>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</si>
  <si>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</si>
  <si>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</si>
  <si>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</si>
  <si>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</si>
  <si>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</si>
  <si>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</si>
  <si>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</si>
  <si>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</si>
  <si>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</si>
  <si>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</si>
  <si>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</si>
  <si>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</si>
  <si>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</si>
  <si>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</si>
  <si>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</si>
  <si>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</si>
  <si>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</si>
  <si>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</si>
  <si>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</si>
  <si>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</si>
  <si>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</si>
  <si>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</si>
  <si>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</si>
  <si>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</si>
  <si>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</si>
  <si>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</si>
  <si>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</si>
  <si>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</si>
  <si>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</si>
  <si>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</si>
  <si>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</si>
  <si>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</si>
  <si>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</si>
  <si>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</si>
  <si>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</si>
  <si>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</si>
  <si>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</si>
  <si>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</si>
  <si>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</si>
  <si>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</si>
  <si>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</si>
  <si>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</si>
  <si>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</si>
  <si>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</si>
  <si>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</si>
  <si>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</si>
  <si>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</si>
  <si>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</si>
  <si>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</si>
  <si>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</si>
  <si>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</si>
  <si>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</si>
  <si>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</si>
  <si>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</si>
  <si>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</si>
  <si>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</si>
  <si>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</si>
  <si>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</si>
  <si>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</si>
  <si>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</si>
  <si>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</si>
  <si>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</si>
  <si>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</si>
  <si>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</si>
  <si>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</si>
  <si>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</si>
  <si>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</si>
  <si>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</si>
  <si>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</si>
  <si>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</si>
  <si>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</si>
  <si>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</si>
  <si>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</si>
  <si>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</si>
  <si>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</si>
  <si>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</si>
  <si>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</si>
  <si>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</si>
  <si>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</si>
  <si>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</si>
  <si>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</si>
  <si>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</si>
  <si>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</si>
  <si>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</si>
  <si>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</si>
  <si>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</si>
  <si>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</si>
  <si>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</si>
  <si>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</si>
  <si>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</si>
  <si>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</si>
  <si>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</si>
  <si>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</si>
  <si>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</si>
  <si>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</si>
  <si>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</si>
  <si>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</si>
  <si>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</si>
  <si>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</si>
  <si>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</si>
  <si>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</si>
  <si>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</si>
  <si>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</si>
  <si>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</si>
  <si>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</si>
  <si>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</si>
  <si>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</si>
  <si>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</si>
  <si>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</si>
  <si>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</si>
  <si>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</si>
  <si>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</si>
  <si>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</si>
  <si>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</si>
  <si>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</si>
  <si>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</si>
  <si>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</si>
  <si>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</si>
  <si>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</si>
  <si>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</si>
  <si>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</si>
  <si>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</si>
  <si>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</si>
  <si>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</si>
  <si>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</si>
  <si>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</si>
  <si>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</si>
  <si>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</si>
  <si>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</si>
  <si>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</si>
  <si>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</si>
  <si>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</si>
  <si>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</si>
  <si>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</si>
  <si>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</si>
  <si>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</si>
  <si>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</si>
  <si>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</si>
  <si>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</si>
  <si>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</si>
  <si>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</si>
  <si>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</si>
  <si>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</si>
  <si>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</si>
  <si>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</si>
  <si>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</si>
  <si>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</si>
  <si>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</si>
  <si>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</si>
  <si>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</si>
  <si>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</si>
  <si>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</si>
  <si>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</si>
  <si>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</si>
  <si>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</si>
  <si>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</si>
  <si>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</si>
  <si>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</si>
  <si>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</si>
  <si>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</si>
  <si>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</si>
  <si>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</si>
  <si>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</si>
  <si>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</si>
  <si>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</si>
  <si>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</si>
  <si>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</si>
  <si>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</si>
  <si>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</si>
  <si>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</si>
  <si>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</si>
  <si>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</si>
  <si>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</si>
  <si>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</si>
  <si>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</si>
  <si>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</si>
  <si>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</si>
  <si>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</si>
  <si>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</si>
  <si>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</si>
  <si>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</si>
  <si>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</si>
  <si>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</si>
  <si>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</si>
  <si>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</si>
  <si>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</si>
  <si>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</si>
  <si>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</si>
  <si>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</si>
  <si>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</si>
  <si>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</si>
  <si>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</si>
  <si>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</si>
  <si>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</si>
  <si>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</si>
  <si>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</si>
  <si>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</si>
  <si>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</si>
  <si>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</si>
  <si>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</si>
  <si>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</si>
  <si>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</si>
  <si>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</si>
  <si>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</si>
  <si>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</si>
  <si>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</si>
  <si>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</si>
  <si>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</si>
  <si>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</si>
  <si>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</si>
  <si>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</si>
  <si>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</si>
  <si>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</si>
  <si>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</si>
  <si>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</si>
  <si>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</si>
  <si>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</si>
  <si>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</si>
  <si>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</si>
  <si>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</si>
  <si>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</si>
  <si>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</si>
  <si>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</si>
  <si>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</si>
  <si>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</si>
  <si>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</si>
  <si>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</si>
  <si>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</si>
  <si>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</si>
  <si>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</si>
  <si>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</si>
  <si>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</si>
  <si>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</si>
  <si>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</si>
  <si>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</si>
  <si>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</si>
  <si>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</si>
  <si>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</si>
  <si>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</si>
  <si>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</si>
  <si>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</si>
  <si>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</si>
  <si>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</si>
  <si>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</si>
  <si>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</si>
  <si>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</si>
  <si>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</si>
  <si>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</si>
  <si>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</si>
  <si>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</si>
  <si>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</si>
  <si>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</si>
  <si>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</si>
  <si>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</si>
  <si>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</si>
  <si>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</si>
  <si>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</si>
  <si>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</si>
  <si>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</si>
  <si>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</si>
  <si>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</si>
  <si>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</si>
  <si>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</si>
  <si>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</si>
  <si>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</si>
  <si>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</si>
  <si>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</si>
  <si>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</si>
  <si>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</si>
  <si>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</si>
  <si>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</si>
  <si>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</si>
  <si>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</si>
  <si>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</si>
  <si>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</si>
  <si>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</si>
  <si>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</si>
  <si>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</si>
  <si>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</si>
  <si>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</si>
  <si>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</si>
  <si>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</si>
  <si>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</si>
  <si>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</si>
  <si>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</si>
  <si>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</si>
  <si>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</si>
  <si>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</si>
  <si>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</si>
  <si>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</si>
  <si>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</si>
  <si>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</si>
  <si>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</si>
  <si>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</si>
  <si>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</si>
  <si>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</si>
  <si>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</si>
  <si>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</si>
  <si>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</si>
  <si>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</si>
  <si>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</si>
  <si>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</si>
  <si>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</si>
  <si>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</si>
  <si>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</si>
  <si>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</si>
  <si>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</si>
  <si>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</si>
  <si>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</si>
  <si>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</si>
  <si>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</si>
  <si>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</si>
  <si>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</si>
  <si>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</si>
  <si>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</si>
  <si>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</si>
  <si>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</si>
  <si>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</si>
  <si>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</si>
  <si>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</si>
  <si>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</si>
  <si>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</si>
  <si>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</si>
  <si>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</si>
  <si>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</si>
  <si>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</si>
  <si>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</si>
  <si>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</si>
  <si>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</si>
  <si>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</si>
  <si>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</si>
  <si>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</si>
  <si>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</si>
  <si>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</si>
  <si>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</si>
  <si>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</si>
  <si>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</si>
  <si>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</si>
  <si>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</si>
  <si>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</si>
  <si>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</si>
  <si>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</si>
  <si>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</si>
  <si>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</si>
  <si>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</si>
  <si>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</si>
  <si>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</si>
  <si>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</si>
  <si>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</si>
  <si>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</si>
  <si>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</si>
  <si>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</si>
  <si>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</si>
  <si>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</si>
  <si>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</si>
  <si>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</si>
  <si>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</si>
  <si>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</si>
  <si>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</si>
  <si>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</si>
  <si>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</si>
  <si>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</si>
  <si>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</si>
  <si>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</si>
  <si>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</si>
  <si>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</si>
  <si>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</si>
  <si>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</si>
  <si>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</si>
  <si>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</si>
  <si>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</si>
  <si>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</si>
  <si>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</si>
  <si>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</si>
  <si>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</si>
  <si>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</si>
  <si>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</si>
  <si>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</si>
  <si>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</si>
  <si>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</si>
  <si>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</si>
  <si>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</si>
  <si>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</si>
  <si>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</si>
  <si>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</si>
  <si>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</si>
  <si>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</si>
  <si>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</si>
  <si>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</si>
  <si>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</si>
  <si>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</si>
  <si>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</si>
  <si>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</si>
  <si>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</si>
  <si>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</si>
  <si>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</si>
  <si>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</si>
  <si>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</si>
  <si>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</si>
  <si>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</si>
  <si>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</si>
  <si>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</si>
  <si>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</si>
  <si>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</si>
  <si>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</si>
  <si>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</si>
  <si>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</si>
  <si>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</si>
  <si>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</si>
  <si>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</si>
  <si>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</si>
  <si>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</si>
  <si>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</si>
  <si>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</si>
  <si>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</si>
  <si>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</si>
  <si>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</si>
  <si>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</si>
  <si>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</si>
  <si>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</si>
  <si>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</si>
  <si>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</si>
  <si>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</si>
  <si>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</si>
  <si>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</si>
  <si>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</si>
  <si>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</si>
  <si>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</si>
  <si>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</si>
  <si>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</si>
  <si>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</si>
  <si>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</si>
  <si>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</si>
  <si>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</si>
  <si>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</si>
  <si>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</si>
  <si>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</si>
  <si>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</si>
  <si>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</si>
  <si>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</si>
  <si>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</si>
  <si>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</si>
  <si>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</si>
  <si>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</si>
  <si>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</si>
  <si>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</si>
  <si>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</si>
  <si>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</si>
  <si>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</si>
  <si>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</si>
  <si>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</si>
  <si>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</si>
  <si>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</si>
  <si>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</si>
  <si>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</si>
  <si>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</si>
  <si>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</si>
  <si>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</si>
  <si>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</si>
  <si>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</si>
  <si>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</si>
  <si>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</si>
  <si>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</si>
  <si>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</si>
  <si>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</si>
  <si>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</si>
  <si>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</si>
  <si>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</si>
  <si>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</si>
  <si>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</si>
  <si>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</si>
  <si>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</si>
  <si>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</si>
  <si>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</si>
  <si>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</si>
  <si>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</si>
  <si>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</si>
  <si>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</si>
  <si>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</si>
  <si>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</si>
  <si>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</si>
  <si>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</si>
  <si>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</si>
  <si>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</si>
  <si>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</si>
  <si>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</si>
  <si>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</si>
  <si>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</si>
  <si>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</si>
  <si>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</si>
  <si>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</si>
  <si>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</si>
  <si>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</si>
  <si>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</si>
  <si>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</si>
  <si>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</si>
  <si>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</si>
  <si>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</si>
  <si>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</si>
  <si>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</si>
  <si>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</si>
  <si>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</si>
  <si>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</si>
  <si>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</si>
  <si>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</si>
  <si>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</si>
  <si>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</si>
  <si>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</si>
  <si>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</si>
  <si>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</si>
  <si>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</si>
  <si>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</si>
  <si>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</si>
  <si>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</si>
  <si>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</si>
  <si>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</si>
  <si>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</si>
  <si>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</si>
  <si>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</si>
  <si>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</si>
  <si>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</si>
  <si>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</si>
  <si>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</si>
  <si>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</si>
  <si>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</si>
  <si>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</si>
  <si>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</si>
  <si>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</si>
  <si>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</si>
  <si>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</si>
  <si>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</si>
  <si>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</si>
  <si>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</si>
  <si>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</si>
  <si>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</si>
  <si>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</si>
  <si>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</si>
  <si>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</si>
  <si>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</si>
  <si>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</si>
  <si>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</si>
  <si>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</si>
  <si>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</si>
  <si>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</si>
  <si>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</si>
  <si>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</si>
  <si>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</si>
  <si>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</si>
  <si>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</si>
  <si>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</si>
  <si>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</si>
  <si>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</si>
  <si>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</si>
  <si>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</si>
  <si>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</si>
  <si>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</si>
  <si>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</si>
  <si>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</si>
  <si>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</si>
  <si>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</si>
  <si>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</si>
  <si>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</si>
  <si>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</si>
  <si>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</si>
  <si>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</si>
  <si>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</si>
  <si>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</si>
  <si>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</si>
  <si>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</si>
  <si>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</si>
  <si>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</si>
  <si>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</si>
  <si>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</si>
  <si>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</si>
  <si>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</si>
  <si>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</si>
  <si>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</si>
  <si>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</si>
  <si>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</si>
  <si>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</si>
  <si>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</si>
  <si>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</si>
  <si>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</si>
  <si>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</si>
  <si>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</si>
  <si>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</si>
  <si>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</si>
  <si>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</si>
  <si>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</si>
  <si>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</si>
  <si>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</si>
  <si>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</si>
  <si>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</si>
  <si>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</si>
  <si>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</si>
  <si>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</si>
  <si>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</si>
  <si>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</si>
  <si>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</si>
  <si>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</si>
  <si>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</si>
  <si>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</si>
  <si>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</si>
  <si>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</si>
  <si>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</si>
  <si>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</si>
  <si>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</si>
  <si>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</si>
  <si>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</si>
  <si>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</si>
  <si>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</si>
  <si>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</si>
  <si>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</si>
  <si>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</si>
  <si>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</si>
  <si>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</si>
  <si>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</si>
  <si>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</si>
  <si>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</si>
  <si>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</si>
  <si>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</si>
  <si>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</si>
  <si>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</si>
  <si>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</si>
  <si>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</si>
  <si>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</si>
  <si>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</si>
  <si>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</si>
  <si>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</si>
  <si>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</si>
  <si>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</si>
  <si>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</si>
  <si>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</si>
  <si>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</si>
  <si>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</si>
  <si>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</si>
  <si>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</si>
  <si>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</si>
  <si>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</si>
  <si>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</si>
  <si>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</si>
  <si>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</si>
  <si>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</si>
  <si>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</si>
  <si>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</si>
  <si>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</si>
  <si>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</si>
  <si>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</si>
  <si>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</si>
  <si>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</si>
  <si>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</si>
  <si>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</si>
  <si>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</si>
  <si>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</si>
  <si>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</si>
  <si>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</si>
  <si>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</si>
  <si>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</si>
  <si>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</si>
  <si>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</si>
  <si>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</si>
  <si>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</si>
  <si>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</si>
  <si>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</si>
  <si>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</si>
  <si>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</si>
  <si>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</si>
  <si>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</si>
  <si>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</si>
  <si>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</si>
  <si>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</si>
  <si>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</si>
  <si>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</si>
  <si>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</si>
  <si>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</si>
  <si>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</si>
  <si>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</si>
  <si>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</si>
  <si>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</si>
  <si>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</si>
  <si>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</si>
  <si>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</si>
  <si>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</si>
  <si>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</si>
  <si>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</si>
  <si>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</si>
  <si>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</si>
  <si>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</si>
  <si>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</si>
  <si>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</si>
  <si>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</si>
  <si>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</si>
  <si>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</si>
  <si>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</si>
  <si>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</si>
  <si>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</si>
  <si>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</si>
  <si>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</si>
  <si>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</si>
  <si>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</si>
  <si>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</si>
  <si>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</si>
  <si>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</si>
  <si>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</si>
  <si>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</si>
  <si>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</si>
  <si>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</si>
  <si>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</si>
  <si>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</si>
  <si>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</si>
  <si>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</si>
  <si>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</si>
  <si>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</si>
  <si>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</si>
  <si>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</si>
  <si>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</si>
  <si>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</si>
  <si>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</si>
  <si>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</si>
  <si>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</si>
  <si>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</si>
  <si>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</si>
  <si>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</si>
  <si>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</si>
  <si>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</si>
  <si>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</si>
  <si>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</si>
  <si>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</si>
  <si>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</si>
  <si>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</si>
  <si>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</si>
  <si>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</si>
  <si>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</si>
  <si>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</si>
  <si>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</si>
  <si>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</si>
  <si>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</si>
  <si>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</si>
  <si>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</si>
  <si>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</si>
  <si>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</si>
  <si>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</si>
  <si>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</si>
  <si>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</si>
  <si>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</si>
  <si>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</si>
  <si>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</si>
  <si>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</si>
  <si>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</si>
  <si>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</si>
  <si>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</si>
  <si>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</si>
  <si>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</si>
  <si>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</si>
  <si>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</si>
  <si>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</si>
  <si>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</si>
  <si>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</si>
  <si>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</si>
  <si>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</si>
  <si>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</si>
  <si>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</si>
  <si>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</si>
  <si>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</si>
  <si>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</si>
  <si>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</si>
  <si>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</si>
  <si>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</si>
  <si>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</si>
  <si>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</si>
  <si>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</si>
  <si>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</si>
  <si>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</si>
  <si>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</si>
  <si>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</si>
  <si>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</si>
  <si>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</si>
  <si>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</si>
  <si>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</si>
  <si>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</si>
  <si>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</si>
  <si>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</si>
  <si>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</si>
  <si>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</si>
  <si>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</si>
  <si>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</si>
  <si>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</si>
  <si>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</si>
  <si>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</si>
  <si>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</si>
  <si>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</si>
  <si>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</si>
  <si>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</si>
  <si>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</si>
  <si>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</si>
  <si>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</si>
  <si>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</si>
  <si>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</si>
  <si>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</si>
  <si>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</si>
  <si>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</si>
  <si>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</si>
  <si>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</si>
  <si>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</si>
  <si>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</si>
  <si>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</si>
  <si>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</si>
  <si>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</si>
  <si>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</si>
  <si>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</si>
  <si>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</si>
  <si>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</si>
  <si>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</si>
  <si>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</si>
  <si>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</si>
  <si>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</si>
  <si>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</si>
  <si>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</si>
  <si>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</si>
  <si>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</si>
  <si>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</si>
  <si>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</si>
  <si>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</si>
  <si>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</si>
  <si>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</si>
  <si>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</si>
  <si>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</si>
  <si>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</si>
  <si>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</si>
  <si>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</si>
  <si>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</si>
  <si>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</si>
  <si>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</si>
  <si>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</si>
  <si>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</si>
  <si>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</si>
  <si>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</si>
  <si>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</si>
  <si>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</si>
  <si>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</si>
  <si>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</si>
  <si>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</si>
  <si>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</si>
  <si>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</si>
  <si>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</si>
  <si>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</si>
  <si>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</si>
  <si>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</si>
  <si>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</si>
  <si>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</si>
  <si>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</si>
  <si>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</si>
  <si>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</si>
  <si>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</si>
  <si>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</si>
  <si>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</si>
  <si>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</si>
  <si>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</si>
  <si>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</si>
  <si>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</si>
  <si>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</si>
  <si>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</si>
  <si>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</si>
  <si>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</si>
  <si>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</si>
  <si>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</si>
  <si>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</si>
  <si>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</si>
  <si>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</si>
  <si>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</si>
  <si>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</si>
  <si>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</si>
  <si>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</si>
  <si>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</si>
  <si>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</si>
  <si>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</si>
  <si>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</si>
  <si>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</si>
  <si>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</si>
  <si>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</si>
  <si>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</si>
  <si>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</si>
  <si>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</si>
  <si>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</si>
  <si>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</si>
  <si>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</si>
  <si>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</si>
  <si>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</si>
  <si>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</si>
  <si>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</si>
  <si>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</si>
  <si>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</si>
  <si>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</si>
  <si>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</si>
  <si>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</si>
  <si>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</si>
  <si>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</si>
  <si>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</si>
  <si>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</si>
  <si>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</si>
  <si>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</si>
  <si>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</si>
  <si>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</si>
  <si>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</si>
  <si>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</si>
  <si>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</si>
  <si>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</si>
  <si>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</si>
  <si>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</si>
  <si>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</si>
  <si>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</si>
  <si>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</si>
  <si>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</si>
  <si>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</si>
  <si>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</si>
  <si>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</si>
  <si>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</si>
  <si>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</si>
  <si>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</si>
  <si>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</si>
  <si>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</si>
  <si>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</si>
  <si>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</si>
  <si>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</si>
  <si>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</si>
  <si>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</si>
  <si>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</si>
  <si>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</si>
  <si>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</si>
  <si>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</si>
  <si>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</si>
  <si>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</si>
  <si>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</si>
  <si>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</si>
  <si>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</si>
  <si>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</si>
  <si>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</si>
  <si>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</si>
  <si>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</si>
  <si>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</si>
  <si>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</si>
  <si>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</si>
  <si>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</si>
  <si>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</si>
  <si>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</si>
  <si>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</si>
  <si>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</si>
  <si>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</si>
  <si>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</si>
  <si>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</si>
  <si>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</si>
  <si>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</si>
  <si>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</si>
  <si>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</si>
  <si>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</si>
  <si>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</si>
  <si>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</si>
  <si>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</si>
  <si>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</si>
  <si>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</si>
  <si>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</si>
  <si>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</si>
  <si>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</si>
  <si>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</si>
  <si>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</si>
  <si>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</si>
  <si>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</si>
  <si>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</si>
  <si>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</si>
  <si>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</si>
  <si>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</si>
  <si>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</si>
  <si>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</si>
  <si>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</si>
  <si>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</si>
  <si>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</si>
  <si>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</si>
  <si>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</si>
  <si>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</si>
  <si>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</si>
  <si>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</si>
  <si>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</si>
  <si>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</si>
  <si>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</si>
  <si>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</si>
  <si>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</si>
  <si>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</si>
  <si>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</si>
  <si>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</si>
  <si>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</si>
  <si>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</si>
  <si>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</si>
  <si>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</si>
  <si>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</si>
  <si>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</si>
  <si>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</si>
  <si>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</si>
  <si>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</si>
  <si>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</si>
  <si>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</si>
  <si>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</si>
  <si>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</si>
  <si>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</si>
  <si>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</si>
  <si>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</si>
  <si>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</si>
  <si>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</si>
  <si>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</si>
  <si>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</si>
  <si>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</si>
  <si>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</si>
  <si>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</si>
  <si>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</si>
  <si>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</si>
  <si>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</si>
  <si>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</si>
  <si>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</si>
  <si>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</si>
  <si>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</si>
  <si>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</si>
  <si>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</si>
  <si>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</si>
  <si>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</si>
  <si>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</si>
  <si>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</si>
  <si>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</si>
  <si>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</si>
  <si>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</si>
  <si>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</si>
  <si>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</si>
  <si>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</si>
  <si>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</si>
  <si>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</si>
  <si>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</si>
  <si>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</si>
  <si>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</si>
  <si>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</si>
  <si>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</si>
  <si>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</si>
  <si>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</si>
  <si>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</si>
  <si>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</si>
  <si>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</si>
  <si>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</si>
  <si>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</si>
  <si>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</si>
  <si>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</si>
  <si>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</si>
  <si>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</si>
  <si>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</si>
  <si>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</si>
  <si>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</si>
  <si>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</si>
  <si>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</si>
  <si>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</si>
  <si>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</si>
  <si>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</si>
  <si>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</si>
  <si>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</si>
  <si>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</si>
  <si>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</si>
  <si>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</si>
  <si>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</si>
  <si>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</si>
  <si>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</si>
  <si>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</si>
  <si>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</si>
  <si>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</si>
  <si>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</si>
  <si>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</si>
  <si>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</si>
  <si>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</si>
  <si>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</si>
  <si>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</si>
  <si>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</si>
  <si>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</si>
  <si>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</si>
  <si>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</si>
  <si>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</si>
  <si>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</si>
  <si>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</si>
  <si>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</si>
  <si>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</si>
  <si>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</si>
  <si>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</si>
  <si>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</si>
  <si>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</si>
  <si>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</si>
  <si>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</si>
  <si>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</si>
  <si>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</si>
  <si>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</si>
  <si>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</si>
  <si>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</si>
  <si>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</si>
  <si>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</si>
  <si>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</si>
  <si>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</si>
  <si>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</si>
  <si>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</si>
  <si>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</si>
  <si>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</si>
  <si>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</si>
  <si>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</si>
  <si>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</si>
  <si>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</si>
  <si>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</si>
  <si>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</si>
  <si>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</si>
  <si>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</si>
  <si>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</si>
  <si>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</si>
  <si>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</si>
  <si>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</si>
  <si>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</si>
  <si>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</si>
  <si>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</si>
  <si>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</si>
  <si>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</si>
  <si>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</si>
  <si>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</si>
  <si>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</si>
  <si>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</si>
  <si>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</si>
  <si>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</si>
  <si>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</si>
  <si>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</si>
  <si>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</si>
  <si>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</si>
  <si>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</si>
  <si>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</si>
  <si>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</si>
  <si>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</si>
  <si>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</si>
  <si>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</si>
  <si>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</si>
  <si>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</si>
  <si>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</si>
  <si>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</si>
  <si>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</si>
  <si>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</si>
  <si>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</si>
  <si>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</si>
  <si>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</si>
  <si>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</si>
  <si>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</si>
  <si>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</si>
  <si>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</si>
  <si>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</si>
  <si>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</si>
  <si>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</si>
  <si>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</si>
  <si>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</si>
  <si>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</si>
  <si>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</si>
  <si>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</si>
  <si>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</si>
  <si>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</si>
  <si>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</si>
  <si>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</si>
  <si>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</si>
  <si>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</si>
  <si>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</si>
  <si>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</si>
  <si>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</si>
  <si>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</si>
  <si>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</si>
  <si>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</si>
  <si>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</si>
  <si>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</si>
  <si>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</si>
  <si>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</si>
  <si>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</si>
  <si>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</si>
  <si>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</si>
  <si>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</si>
  <si>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</si>
  <si>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</si>
  <si>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</si>
  <si>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</si>
  <si>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</si>
  <si>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</si>
  <si>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</si>
  <si>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</si>
  <si>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</si>
  <si>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</si>
  <si>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</si>
  <si>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</si>
  <si>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</si>
  <si>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</si>
  <si>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</si>
  <si>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</si>
  <si>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</si>
  <si>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</si>
  <si>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</si>
  <si>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</si>
  <si>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</si>
  <si>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</si>
  <si>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</si>
  <si>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</si>
  <si>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</si>
  <si>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</si>
  <si>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</si>
  <si>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</si>
  <si>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</si>
  <si>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</si>
  <si>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</si>
  <si>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</si>
  <si>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</si>
  <si>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</si>
  <si>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</si>
  <si>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</si>
  <si>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</si>
  <si>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</si>
  <si>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</si>
  <si>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</si>
  <si>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</si>
  <si>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</si>
  <si>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</si>
  <si>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</si>
  <si>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</si>
  <si>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</si>
  <si>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</si>
  <si>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</si>
  <si>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</si>
  <si>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</si>
  <si>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</si>
  <si>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</si>
  <si>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</si>
  <si>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</si>
  <si>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</si>
  <si>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</si>
  <si>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</si>
  <si>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</si>
  <si>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</si>
  <si>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</si>
  <si>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</si>
  <si>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</si>
  <si>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</si>
  <si>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</si>
  <si>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</si>
  <si>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</si>
  <si>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</si>
  <si>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</si>
  <si>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</si>
  <si>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</si>
  <si>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</si>
  <si>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</si>
  <si>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</si>
  <si>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</si>
  <si>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</si>
  <si>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</si>
  <si>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</si>
  <si>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</si>
  <si>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</si>
  <si>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</si>
  <si>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</si>
  <si>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</si>
  <si>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</si>
  <si>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</si>
  <si>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</si>
  <si>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</si>
  <si>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</si>
  <si>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</si>
  <si>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</si>
  <si>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</si>
  <si>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</si>
  <si>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</si>
  <si>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</si>
  <si>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</si>
  <si>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</si>
  <si>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</si>
  <si>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</si>
  <si>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</si>
  <si>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</si>
  <si>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</si>
  <si>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</si>
  <si>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</si>
  <si>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</si>
  <si>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</si>
  <si>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</si>
  <si>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</si>
  <si>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</si>
  <si>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</si>
  <si>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</si>
  <si>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</si>
  <si>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</si>
  <si>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</si>
  <si>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</si>
  <si>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</si>
  <si>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</si>
  <si>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</si>
  <si>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</si>
  <si>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</si>
  <si>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</si>
  <si>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</si>
  <si>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</si>
  <si>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</si>
  <si>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</si>
  <si>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</si>
  <si>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</si>
  <si>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</si>
  <si>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</si>
  <si>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</si>
  <si>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</si>
  <si>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</si>
  <si>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</si>
  <si>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</si>
  <si>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</si>
  <si>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</si>
  <si>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</si>
  <si>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</si>
  <si>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</si>
  <si>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</si>
  <si>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</si>
  <si>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</si>
  <si>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</si>
  <si>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</si>
  <si>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</si>
  <si>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</si>
  <si>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</si>
  <si>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</si>
  <si>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</si>
  <si>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</si>
  <si>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</si>
  <si>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</si>
  <si>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</si>
  <si>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</si>
  <si>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</si>
  <si>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</si>
  <si>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</si>
  <si>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</si>
  <si>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</si>
  <si>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</si>
  <si>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</si>
  <si>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</si>
  <si>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</si>
  <si>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</si>
  <si>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</si>
  <si>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</si>
  <si>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</si>
  <si>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</si>
  <si>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</si>
  <si>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</si>
  <si>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</si>
  <si>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</si>
  <si>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</si>
  <si>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</si>
  <si>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</si>
  <si>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</si>
  <si>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</si>
  <si>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</si>
  <si>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</si>
  <si>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</si>
  <si>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</si>
  <si>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</si>
  <si>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</si>
  <si>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</si>
  <si>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</si>
  <si>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</si>
  <si>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</si>
  <si>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</si>
  <si>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</si>
  <si>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</si>
  <si>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</si>
  <si>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</si>
  <si>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</si>
  <si>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</si>
  <si>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</si>
  <si>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</si>
  <si>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</si>
  <si>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</si>
  <si>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</si>
  <si>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</si>
  <si>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</si>
  <si>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</si>
  <si>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</si>
  <si>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</si>
  <si>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</si>
  <si>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</si>
  <si>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</si>
  <si>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</si>
  <si>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</si>
  <si>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</si>
  <si>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</si>
  <si>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</si>
  <si>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</si>
  <si>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</si>
  <si>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</si>
  <si>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</si>
  <si>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</si>
  <si>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</si>
  <si>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</si>
  <si>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</si>
  <si>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</si>
  <si>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</si>
  <si>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</si>
  <si>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</si>
  <si>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</si>
  <si>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</si>
  <si>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</si>
  <si>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</si>
  <si>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</si>
  <si>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</si>
  <si>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</si>
  <si>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</si>
  <si>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</si>
  <si>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</si>
  <si>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</si>
  <si>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</si>
  <si>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</si>
  <si>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</si>
  <si>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</si>
  <si>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</si>
  <si>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</si>
  <si>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</si>
  <si>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</si>
  <si>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</si>
  <si>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</si>
  <si>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</si>
  <si>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</si>
  <si>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</si>
  <si>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</si>
  <si>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</si>
  <si>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</si>
  <si>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</si>
  <si>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</si>
  <si>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</si>
  <si>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</si>
  <si>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</si>
  <si>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</si>
  <si>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</si>
  <si>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</si>
  <si>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</si>
  <si>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</si>
  <si>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</si>
  <si>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</si>
  <si>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</si>
  <si>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</si>
  <si>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</si>
  <si>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</si>
  <si>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</si>
  <si>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</si>
  <si>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</si>
  <si>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</si>
  <si>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</si>
  <si>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</si>
  <si>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</si>
  <si>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</si>
  <si>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</si>
  <si>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</si>
  <si>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</si>
  <si>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</si>
  <si>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</si>
  <si>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</si>
  <si>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</si>
  <si>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</si>
  <si>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</si>
  <si>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</si>
  <si>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</si>
  <si>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</si>
  <si>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</si>
  <si>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</si>
  <si>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</si>
  <si>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</si>
  <si>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</si>
  <si>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</si>
  <si>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</si>
  <si>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</si>
  <si>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</si>
  <si>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</si>
  <si>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</si>
  <si>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</si>
  <si>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</si>
  <si>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</si>
  <si>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</si>
  <si>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</si>
  <si>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</si>
  <si>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</si>
  <si>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</si>
  <si>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</si>
  <si>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</si>
  <si>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</si>
  <si>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</si>
  <si>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</si>
  <si>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</si>
  <si>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</si>
  <si>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</si>
  <si>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</si>
  <si>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</si>
  <si>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</si>
  <si>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</si>
  <si>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</si>
  <si>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</si>
  <si>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</si>
  <si>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</si>
  <si>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</si>
  <si>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</si>
  <si>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</si>
  <si>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</si>
  <si>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</si>
  <si>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</si>
  <si>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</si>
  <si>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</si>
  <si>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</si>
  <si>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</si>
  <si>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</si>
  <si>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</si>
  <si>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</si>
  <si>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</si>
  <si>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</si>
  <si>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</si>
  <si>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</si>
  <si>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</si>
  <si>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</si>
  <si>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</si>
  <si>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</si>
  <si>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</si>
  <si>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</si>
  <si>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</si>
  <si>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</si>
  <si>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</si>
  <si>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</si>
  <si>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</si>
  <si>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</si>
  <si>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</si>
  <si>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</si>
  <si>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</si>
  <si>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</si>
  <si>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</si>
  <si>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</si>
  <si>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</si>
  <si>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</si>
  <si>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</si>
  <si>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</si>
  <si>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</si>
  <si>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</si>
  <si>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</si>
  <si>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</si>
  <si>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</si>
  <si>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</si>
  <si>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</si>
  <si>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</si>
  <si>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</si>
  <si>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</si>
  <si>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</si>
  <si>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</si>
  <si>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</si>
  <si>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</si>
  <si>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</si>
  <si>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</si>
  <si>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</si>
  <si>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</si>
  <si>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</si>
  <si>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</si>
  <si>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</si>
  <si>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</si>
  <si>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</si>
  <si>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</si>
  <si>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</si>
  <si>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</si>
  <si>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</si>
  <si>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</si>
  <si>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</si>
  <si>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</si>
  <si>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</si>
  <si>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</si>
  <si>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</si>
  <si>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</si>
  <si>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</si>
  <si>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</si>
  <si>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</si>
  <si>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</si>
  <si>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</si>
  <si>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</si>
  <si>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</si>
  <si>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</si>
  <si>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</si>
  <si>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</si>
  <si>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</si>
  <si>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</si>
  <si>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</si>
  <si>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</si>
  <si>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</si>
  <si>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</si>
  <si>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</si>
  <si>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</si>
  <si>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</si>
  <si>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</si>
  <si>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</si>
  <si>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</si>
  <si>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</si>
  <si>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</si>
  <si>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</si>
  <si>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</si>
  <si>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</si>
  <si>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</si>
  <si>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</si>
  <si>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</si>
  <si>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</si>
  <si>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</si>
  <si>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</si>
  <si>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</si>
  <si>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</si>
  <si>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</si>
  <si>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</si>
  <si>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</si>
  <si>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</si>
  <si>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</si>
  <si>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</si>
  <si>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</si>
  <si>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</si>
  <si>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</si>
  <si>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</si>
  <si>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</si>
  <si>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</si>
  <si>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</si>
  <si>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</si>
  <si>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</si>
  <si>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</si>
  <si>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</si>
  <si>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</si>
  <si>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</si>
  <si>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</si>
  <si>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</si>
  <si>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</si>
  <si>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</si>
  <si>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</si>
  <si>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</si>
  <si>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</si>
  <si>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</si>
  <si>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</si>
  <si>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</si>
  <si>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</si>
  <si>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</si>
  <si>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</si>
  <si>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</si>
  <si>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</si>
  <si>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</si>
  <si>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</si>
  <si>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</si>
  <si>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</si>
  <si>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</si>
  <si>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</si>
  <si>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</si>
  <si>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</si>
  <si>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</si>
  <si>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</si>
  <si>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</si>
  <si>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</si>
  <si>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</si>
  <si>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</si>
  <si>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</si>
  <si>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</si>
  <si>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</si>
  <si>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</si>
  <si>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</si>
  <si>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</si>
  <si>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</si>
  <si>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</si>
  <si>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</si>
  <si>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</si>
  <si>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</si>
  <si>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</si>
  <si>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</si>
  <si>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</si>
  <si>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</si>
  <si>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</si>
  <si>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</si>
  <si>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</si>
  <si>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</si>
  <si>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</si>
  <si>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</si>
  <si>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</si>
  <si>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</si>
  <si>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</si>
  <si>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</si>
  <si>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</si>
  <si>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</si>
  <si>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</si>
  <si>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</si>
  <si>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</si>
  <si>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</si>
  <si>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</si>
  <si>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</si>
  <si>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</si>
  <si>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</si>
  <si>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</si>
  <si>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</si>
  <si>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</si>
  <si>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</si>
  <si>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</si>
  <si>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</si>
  <si>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</si>
  <si>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</si>
  <si>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</si>
  <si>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</si>
  <si>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</si>
  <si>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</si>
  <si>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</si>
  <si>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</si>
  <si>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</si>
  <si>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</si>
  <si>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</si>
  <si>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</si>
  <si>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</si>
  <si>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</si>
  <si>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</si>
  <si>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</si>
  <si>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</si>
  <si>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</si>
  <si>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</si>
  <si>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</si>
  <si>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</si>
  <si>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</si>
  <si>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</si>
  <si>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</si>
  <si>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</si>
  <si>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</si>
  <si>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</si>
  <si>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</si>
  <si>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</si>
  <si>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</si>
  <si>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</si>
  <si>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</si>
  <si>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</si>
  <si>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</si>
  <si>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</si>
  <si>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</si>
  <si>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</si>
  <si>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</si>
  <si>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</si>
  <si>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</si>
  <si>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</si>
  <si>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</si>
  <si>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</si>
  <si>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</si>
  <si>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</si>
  <si>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</si>
  <si>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</si>
  <si>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</si>
  <si>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</si>
  <si>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</si>
  <si>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</si>
  <si>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</si>
  <si>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</si>
  <si>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</si>
  <si>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</si>
  <si>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</si>
  <si>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</si>
  <si>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</si>
  <si>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</si>
  <si>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</si>
  <si>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</si>
  <si>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</si>
  <si>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</si>
  <si>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</si>
  <si>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</si>
  <si>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</si>
  <si>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</si>
  <si>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</si>
  <si>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</si>
  <si>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</si>
  <si>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</si>
  <si>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</si>
  <si>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</si>
  <si>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</si>
  <si>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</si>
  <si>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</si>
  <si>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</si>
  <si>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</si>
  <si>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</si>
  <si>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</si>
  <si>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</si>
  <si>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</si>
  <si>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</si>
  <si>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</si>
  <si>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</si>
  <si>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</si>
  <si>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</si>
  <si>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</si>
  <si>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</si>
  <si>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</si>
  <si>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</si>
  <si>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</si>
  <si>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</si>
  <si>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</si>
  <si>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</si>
  <si>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</si>
  <si>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</si>
  <si>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</si>
  <si>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</si>
  <si>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</si>
  <si>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</si>
  <si>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</si>
  <si>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</si>
  <si>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</si>
  <si>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</si>
  <si>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</si>
  <si>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</si>
  <si>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</si>
  <si>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</si>
  <si>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</si>
  <si>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</si>
  <si>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</si>
  <si>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</si>
  <si>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</si>
  <si>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</si>
  <si>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</si>
  <si>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</si>
  <si>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</si>
  <si>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</si>
  <si>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</si>
  <si>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</si>
  <si>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</si>
  <si>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</si>
  <si>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</si>
  <si>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</si>
  <si>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</si>
  <si>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</si>
  <si>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</si>
  <si>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</si>
  <si>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</si>
  <si>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</si>
  <si>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</si>
  <si>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</si>
  <si>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</si>
  <si>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</si>
  <si>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</si>
  <si>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</si>
  <si>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</si>
  <si>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</si>
  <si>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</si>
  <si>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</si>
  <si>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</si>
  <si>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</si>
  <si>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</si>
  <si>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</si>
  <si>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</si>
  <si>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</si>
  <si>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</si>
  <si>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</si>
  <si>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</si>
  <si>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</si>
  <si>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</si>
  <si>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</si>
  <si>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</si>
  <si>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</si>
  <si>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</si>
  <si>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</si>
  <si>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</si>
  <si>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</si>
  <si>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</si>
  <si>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</si>
  <si>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</si>
  <si>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</si>
  <si>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</si>
  <si>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</si>
  <si>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</si>
  <si>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</si>
  <si>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</si>
  <si>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</si>
  <si>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</si>
  <si>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</si>
  <si>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</si>
  <si>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</si>
  <si>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</si>
  <si>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</si>
  <si>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</si>
  <si>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</si>
  <si>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</si>
  <si>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</si>
  <si>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</si>
  <si>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</si>
  <si>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</si>
  <si>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</si>
  <si>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</si>
  <si>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</si>
  <si>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</si>
  <si>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</si>
  <si>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</si>
  <si>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</si>
  <si>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</si>
  <si>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</si>
  <si>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</si>
  <si>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</si>
  <si>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</si>
  <si>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</si>
  <si>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</si>
  <si>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</si>
  <si>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</si>
  <si>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</si>
  <si>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</si>
  <si>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</si>
  <si>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</si>
  <si>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</si>
  <si>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</si>
  <si>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</si>
  <si>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</si>
  <si>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</si>
  <si>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</si>
  <si>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</si>
  <si>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</si>
  <si>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</si>
  <si>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</si>
  <si>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</si>
  <si>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</si>
  <si>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</si>
  <si>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</si>
  <si>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</si>
  <si>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</si>
  <si>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</si>
  <si>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</si>
  <si>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</si>
  <si>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</si>
  <si>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</si>
  <si>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</si>
  <si>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</si>
  <si>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</si>
  <si>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</si>
  <si>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</si>
  <si>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</si>
  <si>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</si>
  <si>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</si>
  <si>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</si>
  <si>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</si>
  <si>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</si>
  <si>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</si>
  <si>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</si>
  <si>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</si>
  <si>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</si>
  <si>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</si>
  <si>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</si>
  <si>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</si>
  <si>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</si>
  <si>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</si>
  <si>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</si>
  <si>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</si>
  <si>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</si>
  <si>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</si>
  <si>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</si>
  <si>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</si>
  <si>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</si>
  <si>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</si>
  <si>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</si>
  <si>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</si>
  <si>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</si>
  <si>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</si>
  <si>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</si>
  <si>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</si>
  <si>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</si>
  <si>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</si>
  <si>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</si>
  <si>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</si>
  <si>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</si>
  <si>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</si>
  <si>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</si>
  <si>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</si>
  <si>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</si>
  <si>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</si>
  <si>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</si>
  <si>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</si>
  <si>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</si>
  <si>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</si>
  <si>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</si>
  <si>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</si>
  <si>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</si>
  <si>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</si>
  <si>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</si>
  <si>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</si>
  <si>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</si>
  <si>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</si>
  <si>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</si>
  <si>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</si>
  <si>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</si>
  <si>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</si>
  <si>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</si>
  <si>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</si>
  <si>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</si>
  <si>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</si>
  <si>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</si>
  <si>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</si>
  <si>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</si>
  <si>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</si>
  <si>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</si>
  <si>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</si>
  <si>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</si>
  <si>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</si>
  <si>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</si>
  <si>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</si>
  <si>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</si>
  <si>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</si>
  <si>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</si>
  <si>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</si>
  <si>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</si>
  <si>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</si>
  <si>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</si>
  <si>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</si>
  <si>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</si>
  <si>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</si>
  <si>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</si>
  <si>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</si>
  <si>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</si>
  <si>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</si>
  <si>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</si>
  <si>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</si>
  <si>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</si>
  <si>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</si>
  <si>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</si>
  <si>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</si>
  <si>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</si>
  <si>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</si>
  <si>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</si>
  <si>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</si>
  <si>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</si>
  <si>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</si>
  <si>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</si>
  <si>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</si>
  <si>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</si>
  <si>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</si>
  <si>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</si>
  <si>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</si>
  <si>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</si>
  <si>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</si>
  <si>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</si>
  <si>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</si>
  <si>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</si>
  <si>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</si>
  <si>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</si>
  <si>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</si>
  <si>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</si>
  <si>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</si>
  <si>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</si>
  <si>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</si>
  <si>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</si>
  <si>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</si>
  <si>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</si>
  <si>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</si>
  <si>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</si>
  <si>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</si>
  <si>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</si>
  <si>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</si>
  <si>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</si>
  <si>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</si>
  <si>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</si>
  <si>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</si>
  <si>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</si>
  <si>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</si>
  <si>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</si>
  <si>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</si>
  <si>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</si>
  <si>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</si>
  <si>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</si>
  <si>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</si>
  <si>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</si>
  <si>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</si>
  <si>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</si>
  <si>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</si>
  <si>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</si>
  <si>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</si>
  <si>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</si>
  <si>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</si>
  <si>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</si>
  <si>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</si>
  <si>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</si>
  <si>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</si>
  <si>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</si>
  <si>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</si>
  <si>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</si>
  <si>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</si>
  <si>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</si>
  <si>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</si>
  <si>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</si>
  <si>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</si>
  <si>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</si>
  <si>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</si>
  <si>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</si>
  <si>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</si>
  <si>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</si>
  <si>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</si>
  <si>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</si>
  <si>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</si>
  <si>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</si>
  <si>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</si>
  <si>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</si>
  <si>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</si>
  <si>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</si>
  <si>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</si>
  <si>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</si>
  <si>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</si>
  <si>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</si>
  <si>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</si>
  <si>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</si>
  <si>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</si>
  <si>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</si>
  <si>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</si>
  <si>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</si>
  <si>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</si>
  <si>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</si>
  <si>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</si>
  <si>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</si>
  <si>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</si>
  <si>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</si>
  <si>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</si>
  <si>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</si>
  <si>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</si>
  <si>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</si>
  <si>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</si>
  <si>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</si>
  <si>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</si>
  <si>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</si>
  <si>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</si>
  <si>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</si>
  <si>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</si>
  <si>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</si>
  <si>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</si>
  <si>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</si>
  <si>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</si>
  <si>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</si>
  <si>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</si>
  <si>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</si>
  <si>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</si>
  <si>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</si>
  <si>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</si>
  <si>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</si>
  <si>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</si>
  <si>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</si>
  <si>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</si>
  <si>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</si>
  <si>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</si>
  <si>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</si>
  <si>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</si>
  <si>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</si>
  <si>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</si>
  <si>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</si>
  <si>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</si>
  <si>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</si>
  <si>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</si>
  <si>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</si>
  <si>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</si>
  <si>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</si>
  <si>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</si>
  <si>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</si>
  <si>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</si>
  <si>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</si>
  <si>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</si>
  <si>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</si>
  <si>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</si>
  <si>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</si>
  <si>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</si>
  <si>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</si>
  <si>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</si>
  <si>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</si>
  <si>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</si>
  <si>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</si>
  <si>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</si>
  <si>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</si>
  <si>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</si>
  <si>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</si>
  <si>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</si>
  <si>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</si>
  <si>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</si>
  <si>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</si>
  <si>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</si>
  <si>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</si>
  <si>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</si>
  <si>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</si>
  <si>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</si>
  <si>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</si>
  <si>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</si>
  <si>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</si>
  <si>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</si>
  <si>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</si>
  <si>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</si>
  <si>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</si>
  <si>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</si>
  <si>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</si>
  <si>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</si>
  <si>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</si>
  <si>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</si>
  <si>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</si>
  <si>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</si>
  <si>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</si>
  <si>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</si>
  <si>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</si>
  <si>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</si>
  <si>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</si>
  <si>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</si>
  <si>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</si>
  <si>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</si>
  <si>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</si>
  <si>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</si>
  <si>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</si>
  <si>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</si>
  <si>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</si>
  <si>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</si>
  <si>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</si>
  <si>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</si>
  <si>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</si>
  <si>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</si>
  <si>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</si>
  <si>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</si>
  <si>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</si>
  <si>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</si>
  <si>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</si>
  <si>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</si>
  <si>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</si>
  <si>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</si>
  <si>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</si>
  <si>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</si>
  <si>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</si>
  <si>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</si>
  <si>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</si>
  <si>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</si>
  <si>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</si>
  <si>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</si>
  <si>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</si>
  <si>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</si>
  <si>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</si>
  <si>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</si>
  <si>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</si>
  <si>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</si>
  <si>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</si>
  <si>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</si>
  <si>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</si>
  <si>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</si>
  <si>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</si>
  <si>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</si>
  <si>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</si>
  <si>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</si>
  <si>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</si>
  <si>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</si>
  <si>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</si>
  <si>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</si>
  <si>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</si>
  <si>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</si>
  <si>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</si>
  <si>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</si>
  <si>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</si>
  <si>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</si>
  <si>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</si>
  <si>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</si>
  <si>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</si>
  <si>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</si>
  <si>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</si>
  <si>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</si>
  <si>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</si>
  <si>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</si>
  <si>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</si>
  <si>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</si>
  <si>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</si>
  <si>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</si>
  <si>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</si>
  <si>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</si>
  <si>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</si>
  <si>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</si>
  <si>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</si>
  <si>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</si>
  <si>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</si>
  <si>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</si>
  <si>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</si>
  <si>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</si>
  <si>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</si>
  <si>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</si>
  <si>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</si>
  <si>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</si>
  <si>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</si>
  <si>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</si>
  <si>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</si>
  <si>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</si>
  <si>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</si>
  <si>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</si>
  <si>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</si>
  <si>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</si>
  <si>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</si>
  <si>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</si>
  <si>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</si>
  <si>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</si>
  <si>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</si>
  <si>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</si>
  <si>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</si>
  <si>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</si>
  <si>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</si>
  <si>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</si>
  <si>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</si>
  <si>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</si>
  <si>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</si>
  <si>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</si>
  <si>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</si>
  <si>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</si>
  <si>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</si>
  <si>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</si>
  <si>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</si>
  <si>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</si>
  <si>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</si>
  <si>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</si>
  <si>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</si>
  <si>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</si>
  <si>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</si>
  <si>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</si>
  <si>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</si>
  <si>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</si>
  <si>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</si>
  <si>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</si>
  <si>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</si>
  <si>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</si>
  <si>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</si>
  <si>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</si>
  <si>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</si>
  <si>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</si>
  <si>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</si>
  <si>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</si>
  <si>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</si>
  <si>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</si>
  <si>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</si>
  <si>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</si>
  <si>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</si>
  <si>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</si>
  <si>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</si>
  <si>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</si>
  <si>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</si>
  <si>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</si>
  <si>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</si>
  <si>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</si>
  <si>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</si>
  <si>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</si>
  <si>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</si>
  <si>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</si>
  <si>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</si>
  <si>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</si>
  <si>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</si>
  <si>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</si>
  <si>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</si>
  <si>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</si>
  <si>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</si>
  <si>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</si>
  <si>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</si>
  <si>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</si>
  <si>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</si>
  <si>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</si>
  <si>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</si>
  <si>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</si>
  <si>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</si>
  <si>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</si>
  <si>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</si>
  <si>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</si>
  <si>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</si>
  <si>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</si>
  <si>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</si>
  <si>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</si>
  <si>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</si>
  <si>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</si>
  <si>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</si>
  <si>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</si>
  <si>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</si>
  <si>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</si>
  <si>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</si>
  <si>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</si>
  <si>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</si>
  <si>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</si>
  <si>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</si>
  <si>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</si>
  <si>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</si>
  <si>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</si>
  <si>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</si>
  <si>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</si>
  <si>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</si>
  <si>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</si>
  <si>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</si>
  <si>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</si>
  <si>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</si>
  <si>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</si>
  <si>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</si>
  <si>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</si>
  <si>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</si>
  <si>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</si>
  <si>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</si>
  <si>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</si>
  <si>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</si>
  <si>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</si>
  <si>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</si>
  <si>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</si>
  <si>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</si>
  <si>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</si>
  <si>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</si>
  <si>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</si>
  <si>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</si>
  <si>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</si>
  <si>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</si>
  <si>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</si>
  <si>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</si>
  <si>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</si>
  <si>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</si>
  <si>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</si>
  <si>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</si>
  <si>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</si>
  <si>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</si>
  <si>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</si>
  <si>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</si>
  <si>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</si>
  <si>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</si>
  <si>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</si>
  <si>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</si>
  <si>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</si>
  <si>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</si>
  <si>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</si>
  <si>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</si>
  <si>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</si>
  <si>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</si>
  <si>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</si>
  <si>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</si>
  <si>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</si>
  <si>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</si>
  <si>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</si>
  <si>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</si>
  <si>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</si>
  <si>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</si>
  <si>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</si>
  <si>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</si>
  <si>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</si>
  <si>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</si>
  <si>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</si>
  <si>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</si>
  <si>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</si>
  <si>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</si>
  <si>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</si>
  <si>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</si>
  <si>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</si>
  <si>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</si>
  <si>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</si>
  <si>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</si>
  <si>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</si>
  <si>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</si>
  <si>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</si>
  <si>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</si>
  <si>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</si>
  <si>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</si>
  <si>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</si>
  <si>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</si>
  <si>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</si>
  <si>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</si>
  <si>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</si>
  <si>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</si>
  <si>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</si>
  <si>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</si>
  <si>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</si>
  <si>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</si>
  <si>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</si>
  <si>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</si>
  <si>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</si>
  <si>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</si>
  <si>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</si>
  <si>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</si>
  <si>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</si>
  <si>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</si>
  <si>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</si>
  <si>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</si>
  <si>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</si>
  <si>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</si>
  <si>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</si>
  <si>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</si>
  <si>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</si>
  <si>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</si>
  <si>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</si>
  <si>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</si>
  <si>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</si>
  <si>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</si>
  <si>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</si>
  <si>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</si>
  <si>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</si>
  <si>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</si>
  <si>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</si>
  <si>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</si>
  <si>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</si>
  <si>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</si>
  <si>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</si>
  <si>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</si>
  <si>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</si>
  <si>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</si>
  <si>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</si>
  <si>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</si>
  <si>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</si>
  <si>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</si>
  <si>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</si>
  <si>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</si>
  <si>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</si>
  <si>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</si>
  <si>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</si>
  <si>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</si>
  <si>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</si>
  <si>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</si>
  <si>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</si>
  <si>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</si>
  <si>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</si>
  <si>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</si>
  <si>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</si>
  <si>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</si>
  <si>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</si>
  <si>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</si>
  <si>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</si>
  <si>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</si>
  <si>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</si>
  <si>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</si>
  <si>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</si>
  <si>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</si>
  <si>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</si>
  <si>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</si>
  <si>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</si>
  <si>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</si>
  <si>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</si>
  <si>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</si>
  <si>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</si>
  <si>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</si>
  <si>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</si>
  <si>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</si>
  <si>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</si>
  <si>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</si>
  <si>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</si>
  <si>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</si>
  <si>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</si>
  <si>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</si>
  <si>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</si>
  <si>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</si>
  <si>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</si>
  <si>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</si>
  <si>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</si>
  <si>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</si>
  <si>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</si>
  <si>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</si>
  <si>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</si>
  <si>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</si>
  <si>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</si>
  <si>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</si>
  <si>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</si>
  <si>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</si>
  <si>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</si>
  <si>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</si>
  <si>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</si>
  <si>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</si>
  <si>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</si>
  <si>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</si>
  <si>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</si>
  <si>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</si>
  <si>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</si>
  <si>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</si>
  <si>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</si>
  <si>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</si>
  <si>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</si>
  <si>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</si>
  <si>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</si>
  <si>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</si>
  <si>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</si>
  <si>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</si>
  <si>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</si>
  <si>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</si>
  <si>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</si>
  <si>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</si>
  <si>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</si>
  <si>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</si>
  <si>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</si>
  <si>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</si>
  <si>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</si>
  <si>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</si>
  <si>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</si>
  <si>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</si>
  <si>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</si>
  <si>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</si>
  <si>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</si>
  <si>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</si>
  <si>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</si>
  <si>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</si>
  <si>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</si>
  <si>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</si>
  <si>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</si>
  <si>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</si>
  <si>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</si>
  <si>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</si>
  <si>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</si>
  <si>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</si>
  <si>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</si>
  <si>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</si>
  <si>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</si>
  <si>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</si>
  <si>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</si>
  <si>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</si>
  <si>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</si>
  <si>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</si>
  <si>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</si>
  <si>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</si>
  <si>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</si>
  <si>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</si>
  <si>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</si>
  <si>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</si>
  <si>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</si>
  <si>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</si>
  <si>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</si>
  <si>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</si>
  <si>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</si>
  <si>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</si>
  <si>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</si>
  <si>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</si>
  <si>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</si>
  <si>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</si>
  <si>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</si>
  <si>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</si>
  <si>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</si>
  <si>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</si>
  <si>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</si>
  <si>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</si>
  <si>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</si>
  <si>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</si>
  <si>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</si>
  <si>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</si>
  <si>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</si>
  <si>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</si>
  <si>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</si>
  <si>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</si>
  <si>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</si>
  <si>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</si>
  <si>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</si>
  <si>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</si>
  <si>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</si>
  <si>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</si>
  <si>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</si>
  <si>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</si>
  <si>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</si>
  <si>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</si>
  <si>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</si>
  <si>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</si>
  <si>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</si>
  <si>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</si>
  <si>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</si>
  <si>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</si>
  <si>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</si>
  <si>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</si>
  <si>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</si>
  <si>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</si>
  <si>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</si>
  <si>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</si>
  <si>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</si>
  <si>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</si>
  <si>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</si>
  <si>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</si>
  <si>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</si>
  <si>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</si>
  <si>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</si>
  <si>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</si>
  <si>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</si>
  <si>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</si>
  <si>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</si>
  <si>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</si>
  <si>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</si>
  <si>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</si>
  <si>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</si>
  <si>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</si>
  <si>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</si>
  <si>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</si>
  <si>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</si>
  <si>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</si>
  <si>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</si>
  <si>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</si>
  <si>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</si>
  <si>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</si>
  <si>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</si>
  <si>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</si>
  <si>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</si>
  <si>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</si>
  <si>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</si>
  <si>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</si>
  <si>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</si>
  <si>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</si>
  <si>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</si>
  <si>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</si>
  <si>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</si>
  <si>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</si>
  <si>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</si>
  <si>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</si>
  <si>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</si>
  <si>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</si>
  <si>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</si>
  <si>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</si>
  <si>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</si>
  <si>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</si>
  <si>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</si>
  <si>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</si>
  <si>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</si>
  <si>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</si>
  <si>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</si>
  <si>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</si>
  <si>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</si>
  <si>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</si>
  <si>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</si>
  <si>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</si>
  <si>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</si>
  <si>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</si>
  <si>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</si>
  <si>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</si>
  <si>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</si>
  <si>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</si>
  <si>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</si>
  <si>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</si>
  <si>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</si>
  <si>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</si>
  <si>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</si>
  <si>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</si>
  <si>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</si>
  <si>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</si>
  <si>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</si>
  <si>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</si>
  <si>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</si>
  <si>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</si>
  <si>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</si>
  <si>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</si>
  <si>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</si>
  <si>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</si>
  <si>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</si>
  <si>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</si>
  <si>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</si>
  <si>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</si>
  <si>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</si>
  <si>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</si>
  <si>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</si>
  <si>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</si>
  <si>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</si>
  <si>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</si>
  <si>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</si>
  <si>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</si>
  <si>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</si>
  <si>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</si>
  <si>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</si>
  <si>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</si>
  <si>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</si>
  <si>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</si>
  <si>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</si>
  <si>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</si>
  <si>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</si>
  <si>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</si>
  <si>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</si>
  <si>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</si>
  <si>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</si>
  <si>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</si>
  <si>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</si>
  <si>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</si>
  <si>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</si>
  <si>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</si>
  <si>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</si>
  <si>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</si>
  <si>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</si>
  <si>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</si>
  <si>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</si>
  <si>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</si>
  <si>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</si>
  <si>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</si>
  <si>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</si>
  <si>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</si>
  <si>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</si>
  <si>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</si>
  <si>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</si>
  <si>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</si>
  <si>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</si>
  <si>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</si>
  <si>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</si>
  <si>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</si>
  <si>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</si>
  <si>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</si>
  <si>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</si>
  <si>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</si>
  <si>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</si>
  <si>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</si>
  <si>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</si>
  <si>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</si>
  <si>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</si>
  <si>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</si>
  <si>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</si>
  <si>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</si>
  <si>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</si>
  <si>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</si>
  <si>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</si>
  <si>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</si>
  <si>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</si>
  <si>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</si>
  <si>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</si>
  <si>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</si>
  <si>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</si>
  <si>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</si>
  <si>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</si>
  <si>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</si>
  <si>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</si>
  <si>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</si>
  <si>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</si>
  <si>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</si>
  <si>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</si>
  <si>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</si>
  <si>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</si>
  <si>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</si>
  <si>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</si>
  <si>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</si>
  <si>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</si>
  <si>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</si>
  <si>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</si>
  <si>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</si>
  <si>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</si>
  <si>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</si>
  <si>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</si>
  <si>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</si>
  <si>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</si>
  <si>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</si>
  <si>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</si>
  <si>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</si>
  <si>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</si>
  <si>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</si>
  <si>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</si>
  <si>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</si>
  <si>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</si>
  <si>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</si>
  <si>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</si>
  <si>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</si>
  <si>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</si>
  <si>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</si>
  <si>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</si>
  <si>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</si>
  <si>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</si>
  <si>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</si>
  <si>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</si>
  <si>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</si>
  <si>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</si>
  <si>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</si>
  <si>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</si>
  <si>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</si>
  <si>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</si>
  <si>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</si>
  <si>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</si>
  <si>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</si>
  <si>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</si>
  <si>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</si>
  <si>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</si>
  <si>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</si>
  <si>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</si>
  <si>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</si>
  <si>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</si>
  <si>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</si>
  <si>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</si>
  <si>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</si>
  <si>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</si>
  <si>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</si>
  <si>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</si>
  <si>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</si>
  <si>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</si>
  <si>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</si>
  <si>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</si>
  <si>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</si>
  <si>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</si>
  <si>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</si>
  <si>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</si>
  <si>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</si>
  <si>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</si>
  <si>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</si>
  <si>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</si>
  <si>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</si>
  <si>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</si>
  <si>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</si>
  <si>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</si>
  <si>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</si>
  <si>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</si>
  <si>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</si>
  <si>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</si>
  <si>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</si>
  <si>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</si>
  <si>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</si>
  <si>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</si>
  <si>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</si>
  <si>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</si>
  <si>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</si>
  <si>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</si>
  <si>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</si>
  <si>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</si>
  <si>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</si>
  <si>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</si>
  <si>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</si>
  <si>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</si>
  <si>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</si>
  <si>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</si>
  <si>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</si>
  <si>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</si>
  <si>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</si>
  <si>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</si>
  <si>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</si>
  <si>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</si>
  <si>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</si>
  <si>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</si>
  <si>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</si>
  <si>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</si>
  <si>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</si>
  <si>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</si>
  <si>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</si>
  <si>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</si>
  <si>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</si>
  <si>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</si>
  <si>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</si>
  <si>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</si>
  <si>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</si>
  <si>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</si>
  <si>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</si>
  <si>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</si>
  <si>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</si>
  <si>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</si>
  <si>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</si>
  <si>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</si>
  <si>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</si>
  <si>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</si>
  <si>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</si>
  <si>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</si>
  <si>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</si>
  <si>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</si>
  <si>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</si>
  <si>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</si>
  <si>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</si>
  <si>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</si>
  <si>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</si>
  <si>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</si>
  <si>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</si>
  <si>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</si>
  <si>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</si>
  <si>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</si>
  <si>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</si>
  <si>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</si>
  <si>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</si>
  <si>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</si>
  <si>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</si>
  <si>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</si>
  <si>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</si>
  <si>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</si>
  <si>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</si>
  <si>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</si>
  <si>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</si>
  <si>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</si>
  <si>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</si>
  <si>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</si>
  <si>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</si>
  <si>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</si>
  <si>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</si>
  <si>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</si>
  <si>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</si>
  <si>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</si>
  <si>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</si>
  <si>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</si>
  <si>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</si>
  <si>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</si>
  <si>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</si>
  <si>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</si>
  <si>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</si>
  <si>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</si>
  <si>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</si>
  <si>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</si>
  <si>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</si>
  <si>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</si>
  <si>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</si>
  <si>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</si>
  <si>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</si>
  <si>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</si>
  <si>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</si>
  <si>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</si>
  <si>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</si>
  <si>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</si>
  <si>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</si>
  <si>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</si>
  <si>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</si>
  <si>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</si>
  <si>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</si>
  <si>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</si>
  <si>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</si>
  <si>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</si>
  <si>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</si>
  <si>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</si>
  <si>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</si>
  <si>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</si>
  <si>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</si>
  <si>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</si>
  <si>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</si>
  <si>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</si>
  <si>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</si>
  <si>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</si>
  <si>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</si>
  <si>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</si>
  <si>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</si>
  <si>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</si>
  <si>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</si>
  <si>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</si>
  <si>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</si>
  <si>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</si>
  <si>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</si>
  <si>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</si>
  <si>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</si>
  <si>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</si>
  <si>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</si>
  <si>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</si>
  <si>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</si>
  <si>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</si>
  <si>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</si>
  <si>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</si>
  <si>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</si>
  <si>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</si>
  <si>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</si>
  <si>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</si>
  <si>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</si>
  <si>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</si>
  <si>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</si>
  <si>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</si>
  <si>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</si>
  <si>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</si>
  <si>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</si>
  <si>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</si>
  <si>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</si>
  <si>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</si>
  <si>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</si>
  <si>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</si>
  <si>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</si>
  <si>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</si>
  <si>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</si>
  <si>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</si>
  <si>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</si>
  <si>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</si>
  <si>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</si>
  <si>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</si>
  <si>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</si>
  <si>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</si>
  <si>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</si>
  <si>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</si>
  <si>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</si>
  <si>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</si>
  <si>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</si>
  <si>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</si>
  <si>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</si>
  <si>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</si>
  <si>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</si>
  <si>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</si>
  <si>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</si>
  <si>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</si>
  <si>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</si>
  <si>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</si>
  <si>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</si>
  <si>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</si>
  <si>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</si>
  <si>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</si>
  <si>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</si>
  <si>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</si>
  <si>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</si>
  <si>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</si>
  <si>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</si>
  <si>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</si>
  <si>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</si>
  <si>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</si>
  <si>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</si>
  <si>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</si>
  <si>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</si>
  <si>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</si>
  <si>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</si>
  <si>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</si>
  <si>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</si>
  <si>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</si>
  <si>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</si>
  <si>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</si>
  <si>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</si>
  <si>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</si>
  <si>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</si>
  <si>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</si>
  <si>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</si>
  <si>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</si>
  <si>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</si>
  <si>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</si>
  <si>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</si>
  <si>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</si>
  <si>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</si>
  <si>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</si>
  <si>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</si>
  <si>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</si>
  <si>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</si>
  <si>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</si>
  <si>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</si>
  <si>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</si>
  <si>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</si>
  <si>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</si>
  <si>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</si>
  <si>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</si>
  <si>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</si>
  <si>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</si>
  <si>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</si>
  <si>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</si>
  <si>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</si>
  <si>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</si>
  <si>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</si>
  <si>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</si>
  <si>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</si>
  <si>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</si>
  <si>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</si>
  <si>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</si>
  <si>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</si>
  <si>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</si>
  <si>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</si>
  <si>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</si>
  <si>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</si>
  <si>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</si>
  <si>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</si>
  <si>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</si>
  <si>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</si>
  <si>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</si>
  <si>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</si>
  <si>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</si>
  <si>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</si>
  <si>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</si>
  <si>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</si>
  <si>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</si>
  <si>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</si>
  <si>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</si>
  <si>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</si>
  <si>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</si>
  <si>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</si>
  <si>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</si>
  <si>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</si>
  <si>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</si>
  <si>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</si>
  <si>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</si>
  <si>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</si>
  <si>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</si>
  <si>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</si>
  <si>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</si>
  <si>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</si>
  <si>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</si>
  <si>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</si>
  <si>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</si>
  <si>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</si>
  <si>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</si>
  <si>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</si>
  <si>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</si>
  <si>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</si>
  <si>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</si>
  <si>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</si>
  <si>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</si>
  <si>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</si>
  <si>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</si>
  <si>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</si>
  <si>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</si>
  <si>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</si>
  <si>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</si>
  <si>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</si>
  <si>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</si>
  <si>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</si>
  <si>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</si>
  <si>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</si>
  <si>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</si>
  <si>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</si>
  <si>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</si>
  <si>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</si>
  <si>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</si>
  <si>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</si>
  <si>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</si>
  <si>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</si>
  <si>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</si>
  <si>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</si>
  <si>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</si>
  <si>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</si>
  <si>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</si>
  <si>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</si>
  <si>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</si>
  <si>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</si>
  <si>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</si>
  <si>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</si>
  <si>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</si>
  <si>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</si>
  <si>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</si>
  <si>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</si>
  <si>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</si>
  <si>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</si>
  <si>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</si>
  <si>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</si>
  <si>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</si>
  <si>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</si>
  <si>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</si>
  <si>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</si>
  <si>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</si>
  <si>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</si>
  <si>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</si>
  <si>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</si>
  <si>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</si>
  <si>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</si>
  <si>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</si>
  <si>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</si>
  <si>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</si>
  <si>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</si>
  <si>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</si>
  <si>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</si>
  <si>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</si>
  <si>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</si>
  <si>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</si>
  <si>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</si>
  <si>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</si>
  <si>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</si>
  <si>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</si>
  <si>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</si>
  <si>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</si>
  <si>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</si>
  <si>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</si>
  <si>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</si>
  <si>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</si>
  <si>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</si>
  <si>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</si>
  <si>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</si>
  <si>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</si>
  <si>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</si>
  <si>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</si>
  <si>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</si>
  <si>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</si>
  <si>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</si>
  <si>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</si>
  <si>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</si>
  <si>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</si>
  <si>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</si>
  <si>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</si>
  <si>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</si>
  <si>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</si>
  <si>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</si>
  <si>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</si>
  <si>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</si>
  <si>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</si>
  <si>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</si>
  <si>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</si>
  <si>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</si>
  <si>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</si>
  <si>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</si>
  <si>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</si>
  <si>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</si>
  <si>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</si>
  <si>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</si>
  <si>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</si>
  <si>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</si>
  <si>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</si>
  <si>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</si>
  <si>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</si>
  <si>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</si>
  <si>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</si>
  <si>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</si>
  <si>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</si>
  <si>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</si>
  <si>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</si>
  <si>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</si>
  <si>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</si>
  <si>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</si>
  <si>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</si>
  <si>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</si>
  <si>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</si>
  <si>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</si>
  <si>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</si>
  <si>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</si>
  <si>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</si>
  <si>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</si>
  <si>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</si>
  <si>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</si>
  <si>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</si>
  <si>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</si>
  <si>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</si>
  <si>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</si>
  <si>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</si>
  <si>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</si>
  <si>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</si>
  <si>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</si>
  <si>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</si>
  <si>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</si>
  <si>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</si>
  <si>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</si>
  <si>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</si>
  <si>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</si>
  <si>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</si>
  <si>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</si>
  <si>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</si>
  <si>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</si>
  <si>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</si>
  <si>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</si>
  <si>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</si>
  <si>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</si>
  <si>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</si>
  <si>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</si>
  <si>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</si>
  <si>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</si>
  <si>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</si>
  <si>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</si>
  <si>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</si>
  <si>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</si>
  <si>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</si>
  <si>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</si>
  <si>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</si>
  <si>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</si>
  <si>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</si>
  <si>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</si>
  <si>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</si>
  <si>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</si>
  <si>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</si>
  <si>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</si>
  <si>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</si>
  <si>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</si>
  <si>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</si>
  <si>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</si>
  <si>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</si>
  <si>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</si>
  <si>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</si>
  <si>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</si>
  <si>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</si>
  <si>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</si>
  <si>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</si>
  <si>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</si>
  <si>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</si>
  <si>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</si>
  <si>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</si>
  <si>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</si>
  <si>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</si>
  <si>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</si>
  <si>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</si>
  <si>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</si>
  <si>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</si>
  <si>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</si>
  <si>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</si>
  <si>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</si>
  <si>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</si>
  <si>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</si>
  <si>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</si>
  <si>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</si>
  <si>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</si>
  <si>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</si>
  <si>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</si>
  <si>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</si>
  <si>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</si>
  <si>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</si>
  <si>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</si>
  <si>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</si>
  <si>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</si>
  <si>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</si>
  <si>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</si>
  <si>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</si>
  <si>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</si>
  <si>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</si>
  <si>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</si>
  <si>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</si>
  <si>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</si>
  <si>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</si>
  <si>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</si>
  <si>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</si>
  <si>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</si>
  <si>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</si>
  <si>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</si>
  <si>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</si>
  <si>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</si>
  <si>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</si>
  <si>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</si>
  <si>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</si>
  <si>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</si>
  <si>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</si>
  <si>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</si>
  <si>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</si>
  <si>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</si>
  <si>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</si>
  <si>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</si>
  <si>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</si>
  <si>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</si>
  <si>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</si>
  <si>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</si>
  <si>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</si>
  <si>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</si>
  <si>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</si>
  <si>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</si>
  <si>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</si>
  <si>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</si>
  <si>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</si>
  <si>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</si>
  <si>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</si>
  <si>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</si>
  <si>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</si>
  <si>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</si>
  <si>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</si>
  <si>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</si>
  <si>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</si>
  <si>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</si>
  <si>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</si>
  <si>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</si>
  <si>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</si>
  <si>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</si>
  <si>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</si>
  <si>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</si>
  <si>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</si>
  <si>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</si>
  <si>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</si>
  <si>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</si>
  <si>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</si>
  <si>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</si>
  <si>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</si>
  <si>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</si>
  <si>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</si>
  <si>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</si>
  <si>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</si>
  <si>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</si>
  <si>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</si>
  <si>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</si>
  <si>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</si>
  <si>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</si>
  <si>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</si>
  <si>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</si>
  <si>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</si>
  <si>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</si>
  <si>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</si>
  <si>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</si>
  <si>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</si>
  <si>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</si>
  <si>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</si>
  <si>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</si>
  <si>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</si>
  <si>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</si>
  <si>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</si>
  <si>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</si>
  <si>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</si>
  <si>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</si>
  <si>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</si>
  <si>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</si>
  <si>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</si>
  <si>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</si>
  <si>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</si>
  <si>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</si>
  <si>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</si>
  <si>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</si>
  <si>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</si>
  <si>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</si>
  <si>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</si>
  <si>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</si>
  <si>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</si>
  <si>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</si>
  <si>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</si>
  <si>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</si>
  <si>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</si>
  <si>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</si>
  <si>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</si>
  <si>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</si>
  <si>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</si>
  <si>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</si>
  <si>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</si>
  <si>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</si>
  <si>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</si>
  <si>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</si>
  <si>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</si>
  <si>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</si>
  <si>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</si>
  <si>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</si>
  <si>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</si>
  <si>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</si>
  <si>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</si>
  <si>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</si>
  <si>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</si>
  <si>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</si>
  <si>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</si>
  <si>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</si>
  <si>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</si>
  <si>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</si>
  <si>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</si>
  <si>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</si>
  <si>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</si>
  <si>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</si>
  <si>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</si>
  <si>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</si>
  <si>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</si>
  <si>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</si>
  <si>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</si>
  <si>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</si>
  <si>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</si>
  <si>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</si>
  <si>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</si>
  <si>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</si>
  <si>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</si>
  <si>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</si>
  <si>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</si>
  <si>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</si>
  <si>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</si>
  <si>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</si>
  <si>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</si>
  <si>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</si>
  <si>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</si>
  <si>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</si>
  <si>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</si>
  <si>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</si>
  <si>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</si>
  <si>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</si>
  <si>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</si>
  <si>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</si>
  <si>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</si>
  <si>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</si>
  <si>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</si>
  <si>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</si>
  <si>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</si>
  <si>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</si>
  <si>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</si>
  <si>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</si>
  <si>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</si>
  <si>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</si>
  <si>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</si>
  <si>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</si>
  <si>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</si>
  <si>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</si>
  <si>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</si>
  <si>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</si>
  <si>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</si>
  <si>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</si>
  <si>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</si>
  <si>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</si>
  <si>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</si>
  <si>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</si>
  <si>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</si>
  <si>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</si>
  <si>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</si>
  <si>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</si>
  <si>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</si>
  <si>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</si>
  <si>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</si>
  <si>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</si>
  <si>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</si>
  <si>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</si>
  <si>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</si>
  <si>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</si>
  <si>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</si>
  <si>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</si>
  <si>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</si>
  <si>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</si>
  <si>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</si>
  <si>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</si>
  <si>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</si>
  <si>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</si>
  <si>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</si>
  <si>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</si>
  <si>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</si>
  <si>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</si>
  <si>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</si>
  <si>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</si>
  <si>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</si>
  <si>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</si>
  <si>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</si>
  <si>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</si>
  <si>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</si>
  <si>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</si>
  <si>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</si>
  <si>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</si>
  <si>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</si>
  <si>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</si>
  <si>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</si>
  <si>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</si>
  <si>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</si>
  <si>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</si>
  <si>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</si>
  <si>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</si>
  <si>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</si>
  <si>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</si>
  <si>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</si>
  <si>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</si>
  <si>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</si>
  <si>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</si>
  <si>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</si>
  <si>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</si>
  <si>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</si>
  <si>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</si>
  <si>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</si>
  <si>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</si>
  <si>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</si>
  <si>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</si>
  <si>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</si>
  <si>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</si>
  <si>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</si>
  <si>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</si>
  <si>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</si>
  <si>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</si>
  <si>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</si>
  <si>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</si>
  <si>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</si>
  <si>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</si>
  <si>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</si>
  <si>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</si>
  <si>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</si>
  <si>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</si>
  <si>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</si>
  <si>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</si>
  <si>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</si>
  <si>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</si>
  <si>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</si>
  <si>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</si>
  <si>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</si>
  <si>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</si>
  <si>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</si>
  <si>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</si>
  <si>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</si>
  <si>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</si>
  <si>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</si>
  <si>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</si>
  <si>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</si>
  <si>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</si>
  <si>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</si>
  <si>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</si>
  <si>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</si>
  <si>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</si>
  <si>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</si>
  <si>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</si>
  <si>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</si>
  <si>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</si>
  <si>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</si>
  <si>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</si>
  <si>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</si>
  <si>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</si>
  <si>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</si>
  <si>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</si>
  <si>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</si>
  <si>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</si>
  <si>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</si>
  <si>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</si>
  <si>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</si>
  <si>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</si>
  <si>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</si>
  <si>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</si>
  <si>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</si>
  <si>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</si>
  <si>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</si>
  <si>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</si>
  <si>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</si>
  <si>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</si>
  <si>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</si>
  <si>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</si>
  <si>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</si>
  <si>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</si>
  <si>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</si>
  <si>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</si>
  <si>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</si>
  <si>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</si>
  <si>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</si>
  <si>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</si>
  <si>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</si>
  <si>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</si>
  <si>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</si>
  <si>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</si>
  <si>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</si>
  <si>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</si>
  <si>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</si>
  <si>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</si>
  <si>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</si>
  <si>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</si>
  <si>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</si>
  <si>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</si>
  <si>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</si>
  <si>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</si>
  <si>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</si>
  <si>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</si>
  <si>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</si>
  <si>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</si>
  <si>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</si>
  <si>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</si>
  <si>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</si>
  <si>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</si>
  <si>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</si>
  <si>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</si>
  <si>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</si>
  <si>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</si>
  <si>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</si>
  <si>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</si>
  <si>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</si>
  <si>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</si>
  <si>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</si>
  <si>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</si>
  <si>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</si>
  <si>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</si>
  <si>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</si>
  <si>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</si>
  <si>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</si>
  <si>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</si>
  <si>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</si>
  <si>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</si>
  <si>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</si>
  <si>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</si>
  <si>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</si>
  <si>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</si>
  <si>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</si>
  <si>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</si>
  <si>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</si>
  <si>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</si>
  <si>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</si>
  <si>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</si>
  <si>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</si>
  <si>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</si>
  <si>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</si>
  <si>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</si>
  <si>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</si>
  <si>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</si>
  <si>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</si>
  <si>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</si>
  <si>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</si>
  <si>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</si>
  <si>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</si>
  <si>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</si>
  <si>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</si>
  <si>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</si>
  <si>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</si>
  <si>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</si>
  <si>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</si>
  <si>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</si>
  <si>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</si>
  <si>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</si>
  <si>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</si>
  <si>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</si>
  <si>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</si>
  <si>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</si>
  <si>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</si>
  <si>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</si>
  <si>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</si>
  <si>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</si>
  <si>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</si>
  <si>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</si>
  <si>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</si>
  <si>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</si>
  <si>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</si>
  <si>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</si>
  <si>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</si>
  <si>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</si>
  <si>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</si>
  <si>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</si>
  <si>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</si>
  <si>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</si>
  <si>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</si>
  <si>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</si>
  <si>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</si>
  <si>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</si>
  <si>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</si>
  <si>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</si>
  <si>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</si>
  <si>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</si>
  <si>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</si>
  <si>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</si>
  <si>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</si>
  <si>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</si>
  <si>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</si>
  <si>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</si>
  <si>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</si>
  <si>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</si>
  <si>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</si>
  <si>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</si>
  <si>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</si>
  <si>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</si>
  <si>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</si>
  <si>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</si>
  <si>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</si>
  <si>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</si>
  <si>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</si>
  <si>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</si>
  <si>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</si>
  <si>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</si>
  <si>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</si>
  <si>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</si>
  <si>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</si>
  <si>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</si>
  <si>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</si>
  <si>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</si>
  <si>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</si>
  <si>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</si>
  <si>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</si>
  <si>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</si>
  <si>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</si>
  <si>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</si>
  <si>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</si>
  <si>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</si>
  <si>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</si>
  <si>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</si>
  <si>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</si>
  <si>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</si>
  <si>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</si>
  <si>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</si>
  <si>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</si>
  <si>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</si>
  <si>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</si>
  <si>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</si>
  <si>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</si>
  <si>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</si>
  <si>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</si>
  <si>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</si>
  <si>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</si>
  <si>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</si>
  <si>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</si>
  <si>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</si>
  <si>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</si>
  <si>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</si>
  <si>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</si>
  <si>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</si>
  <si>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</si>
  <si>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</si>
  <si>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</si>
  <si>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</si>
  <si>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</si>
  <si>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</si>
  <si>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</si>
  <si>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</si>
  <si>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</si>
  <si>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</si>
  <si>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</si>
  <si>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</si>
  <si>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</si>
  <si>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</si>
  <si>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</si>
  <si>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</si>
  <si>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</si>
  <si>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</si>
  <si>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</si>
  <si>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</si>
  <si>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</si>
  <si>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</si>
  <si>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</si>
  <si>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</si>
  <si>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</si>
  <si>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</si>
  <si>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</si>
  <si>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</si>
  <si>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</si>
  <si>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</si>
  <si>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</si>
  <si>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</si>
  <si>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</si>
  <si>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</si>
  <si>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</si>
  <si>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</si>
  <si>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</si>
  <si>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</si>
  <si>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</si>
  <si>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</si>
  <si>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</si>
  <si>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</si>
  <si>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</si>
  <si>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</si>
  <si>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</si>
  <si>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</si>
  <si>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</si>
  <si>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</si>
  <si>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</si>
  <si>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</si>
  <si>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</si>
  <si>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</si>
  <si>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</si>
  <si>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</si>
  <si>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</si>
  <si>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</si>
  <si>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</si>
  <si>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</si>
  <si>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</si>
  <si>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</si>
  <si>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</si>
  <si>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</si>
  <si>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</si>
  <si>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</si>
  <si>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</si>
  <si>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</si>
  <si>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</si>
  <si>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</si>
  <si>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</si>
  <si>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</si>
  <si>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</si>
  <si>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</si>
  <si>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</si>
  <si>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</si>
  <si>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</si>
  <si>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</si>
  <si>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</si>
  <si>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</si>
  <si>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</si>
  <si>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</si>
  <si>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</si>
  <si>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</si>
  <si>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</si>
  <si>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</si>
  <si>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</si>
  <si>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</si>
  <si>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</si>
  <si>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</si>
  <si>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</si>
  <si>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</si>
  <si>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</si>
  <si>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</si>
  <si>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</si>
  <si>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</si>
  <si>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</si>
  <si>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</si>
  <si>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</si>
  <si>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</si>
  <si>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</si>
  <si>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</si>
  <si>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</si>
  <si>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</si>
  <si>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</si>
  <si>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</si>
  <si>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</si>
  <si>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</si>
  <si>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</si>
  <si>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</si>
  <si>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</si>
  <si>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</si>
  <si>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</si>
  <si>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</si>
  <si>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</si>
  <si>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</si>
  <si>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</si>
  <si>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</si>
  <si>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</si>
  <si>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</si>
  <si>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</si>
  <si>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</si>
  <si>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</si>
  <si>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</si>
  <si>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</si>
  <si>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</si>
  <si>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</si>
  <si>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</si>
  <si>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</si>
  <si>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</si>
  <si>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</si>
  <si>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</si>
  <si>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</si>
  <si>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</si>
  <si>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</si>
  <si>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</si>
  <si>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</si>
  <si>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</si>
  <si>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</si>
  <si>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</si>
  <si>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</si>
  <si>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</si>
  <si>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</si>
  <si>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</si>
  <si>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</si>
  <si>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</si>
  <si>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</si>
  <si>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</si>
  <si>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</si>
  <si>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</si>
  <si>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</si>
  <si>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</si>
  <si>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</si>
  <si>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</si>
  <si>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</si>
  <si>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</si>
  <si>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</si>
  <si>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</si>
  <si>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</si>
  <si>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</si>
  <si>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</si>
  <si>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</si>
  <si>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</si>
  <si>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</si>
  <si>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</si>
  <si>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</si>
  <si>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</si>
  <si>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</si>
  <si>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</si>
  <si>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</si>
  <si>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</si>
  <si>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</si>
  <si>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</si>
  <si>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</si>
  <si>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</si>
  <si>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</si>
  <si>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</si>
  <si>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</si>
  <si>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</si>
  <si>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</si>
  <si>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</si>
  <si>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</si>
  <si>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</si>
  <si>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</si>
  <si>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</si>
  <si>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</si>
  <si>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</si>
  <si>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</si>
  <si>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</si>
  <si>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</si>
  <si>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</si>
  <si>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</si>
  <si>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</si>
  <si>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</si>
  <si>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</si>
  <si>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</si>
  <si>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</si>
  <si>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</si>
  <si>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</si>
  <si>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</si>
  <si>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</si>
  <si>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</si>
  <si>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</si>
  <si>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</si>
  <si>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</si>
  <si>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</si>
  <si>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</si>
  <si>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</si>
  <si>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</si>
  <si>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</si>
  <si>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</si>
  <si>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</si>
  <si>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</si>
  <si>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</si>
  <si>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</si>
  <si>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</si>
  <si>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</si>
  <si>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</si>
  <si>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</si>
  <si>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</si>
  <si>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</si>
  <si>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</si>
  <si>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</si>
  <si>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</si>
  <si>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</si>
  <si>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</si>
  <si>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</si>
  <si>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</si>
  <si>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</si>
  <si>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</si>
  <si>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</si>
  <si>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</si>
  <si>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</si>
  <si>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</si>
  <si>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</si>
  <si>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</si>
  <si>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</si>
  <si>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</si>
  <si>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</si>
  <si>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</si>
  <si>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</si>
  <si>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</si>
  <si>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</si>
  <si>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</si>
  <si>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</si>
  <si>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</si>
  <si>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</si>
  <si>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</si>
  <si>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</si>
  <si>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</si>
  <si>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</si>
  <si>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</si>
  <si>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</si>
  <si>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</si>
  <si>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</si>
  <si>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</si>
  <si>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</si>
  <si>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</si>
  <si>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</si>
  <si>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</si>
  <si>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</si>
  <si>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</si>
  <si>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</si>
  <si>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</si>
  <si>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</si>
  <si>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</si>
  <si>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</si>
  <si>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</si>
  <si>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</si>
  <si>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</si>
  <si>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</si>
  <si>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</si>
  <si>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</si>
  <si>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</si>
  <si>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</si>
  <si>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</si>
  <si>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</si>
  <si>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</si>
  <si>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</si>
  <si>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</si>
  <si>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</si>
  <si>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</si>
  <si>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</si>
  <si>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</si>
  <si>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</si>
  <si>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</si>
  <si>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</si>
  <si>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</si>
  <si>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</si>
  <si>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</si>
  <si>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</si>
  <si>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</si>
  <si>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</si>
  <si>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</si>
  <si>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</si>
  <si>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</si>
  <si>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</si>
  <si>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</si>
  <si>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</si>
  <si>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</si>
  <si>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</si>
  <si>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</si>
  <si>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</si>
  <si>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</si>
  <si>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</si>
  <si>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</si>
  <si>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</si>
  <si>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</si>
  <si>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</si>
  <si>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</si>
  <si>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</si>
  <si>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</si>
  <si>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</si>
  <si>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</si>
  <si>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</si>
  <si>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</si>
  <si>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</si>
  <si>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</si>
  <si>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</si>
  <si>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</si>
  <si>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</si>
  <si>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</si>
  <si>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</si>
  <si>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</si>
  <si>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</si>
  <si>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</si>
  <si>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</si>
  <si>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</si>
  <si>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</si>
  <si>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</si>
  <si>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</si>
  <si>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</si>
  <si>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</si>
  <si>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</si>
  <si>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</si>
  <si>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</si>
  <si>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</si>
  <si>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</si>
  <si>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</si>
  <si>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</si>
  <si>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</si>
  <si>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</si>
  <si>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</si>
  <si>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</si>
  <si>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</si>
  <si>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</si>
  <si>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</si>
  <si>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</si>
  <si>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</si>
  <si>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</si>
  <si>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</si>
  <si>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</si>
  <si>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</si>
  <si>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</si>
  <si>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</si>
  <si>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</si>
  <si>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</si>
  <si>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</si>
  <si>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</si>
  <si>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</si>
  <si>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</si>
  <si>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</si>
  <si>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</si>
  <si>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</si>
  <si>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</si>
  <si>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</si>
  <si>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</si>
  <si>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</si>
  <si>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</si>
  <si>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</si>
  <si>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</si>
  <si>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</si>
  <si>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</si>
  <si>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</si>
  <si>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</si>
  <si>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</si>
  <si>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</si>
  <si>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</si>
  <si>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</si>
  <si>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</si>
  <si>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</si>
  <si>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</si>
  <si>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</si>
  <si>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</si>
  <si>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</si>
  <si>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</si>
  <si>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</si>
  <si>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</si>
  <si>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</si>
  <si>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</si>
  <si>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</si>
  <si>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</si>
  <si>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</si>
  <si>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</si>
  <si>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</si>
  <si>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</si>
  <si>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</si>
  <si>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</si>
  <si>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</si>
  <si>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</si>
  <si>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</si>
  <si>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</si>
  <si>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</si>
  <si>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</si>
  <si>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</si>
  <si>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</si>
  <si>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</si>
  <si>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</si>
  <si>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</si>
  <si>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</si>
  <si>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</si>
  <si>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</si>
  <si>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</si>
  <si>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</si>
  <si>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</si>
  <si>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</si>
  <si>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</si>
  <si>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</si>
  <si>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</si>
  <si>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</si>
  <si>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</si>
  <si>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</si>
  <si>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</si>
  <si>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</si>
  <si>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</si>
  <si>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</si>
  <si>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</si>
  <si>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</si>
  <si>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</si>
  <si>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</si>
  <si>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</si>
  <si>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</si>
  <si>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</si>
  <si>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</si>
  <si>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</si>
  <si>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</si>
  <si>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</si>
  <si>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</si>
  <si>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</si>
  <si>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</si>
  <si>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</si>
  <si>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</si>
  <si>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</si>
  <si>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</si>
  <si>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</si>
  <si>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</si>
  <si>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</si>
  <si>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</si>
  <si>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</si>
  <si>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</si>
  <si>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</si>
  <si>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</si>
  <si>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</si>
  <si>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</si>
  <si>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</si>
  <si>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</si>
  <si>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</si>
  <si>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</si>
  <si>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</si>
  <si>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</si>
  <si>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</si>
  <si>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</si>
  <si>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</si>
  <si>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</si>
  <si>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</si>
  <si>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</si>
  <si>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</si>
  <si>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</si>
  <si>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</si>
  <si>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</si>
  <si>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</si>
  <si>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</si>
  <si>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</si>
  <si>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</si>
  <si>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</si>
  <si>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</si>
  <si>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</si>
  <si>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</si>
  <si>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</si>
  <si>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</si>
  <si>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</si>
  <si>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</si>
  <si>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</si>
  <si>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</si>
  <si>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</si>
  <si>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</si>
  <si>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</si>
  <si>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</si>
  <si>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</si>
  <si>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</si>
  <si>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</si>
  <si>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</si>
  <si>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</si>
  <si>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</si>
  <si>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</si>
  <si>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</si>
  <si>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</si>
  <si>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</si>
  <si>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</si>
  <si>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</si>
  <si>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</si>
  <si>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</si>
  <si>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</si>
  <si>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</si>
  <si>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</si>
  <si>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</si>
  <si>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</si>
  <si>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</si>
  <si>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</si>
  <si>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</si>
  <si>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</si>
  <si>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</si>
  <si>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</si>
  <si>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</si>
  <si>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</si>
  <si>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</si>
  <si>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</si>
  <si>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</si>
  <si>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</si>
  <si>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</si>
  <si>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</si>
  <si>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</si>
  <si>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</si>
  <si>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</si>
  <si>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</si>
  <si>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</si>
  <si>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</si>
  <si>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</si>
  <si>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</si>
  <si>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</si>
  <si>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</si>
  <si>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</si>
  <si>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</si>
  <si>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</si>
  <si>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</si>
  <si>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</si>
  <si>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</si>
  <si>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</si>
  <si>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</si>
  <si>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</si>
  <si>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</si>
  <si>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</si>
  <si>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</si>
  <si>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</si>
  <si>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</si>
  <si>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</si>
  <si>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</si>
  <si>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</si>
  <si>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</si>
  <si>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</si>
  <si>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</si>
  <si>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</si>
  <si>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</si>
  <si>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</si>
  <si>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</si>
  <si>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</si>
  <si>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</si>
  <si>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</si>
  <si>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</si>
  <si>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</si>
  <si>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</si>
  <si>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</si>
  <si>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</si>
  <si>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</si>
  <si>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</si>
  <si>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</si>
  <si>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</si>
  <si>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</si>
  <si>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</si>
  <si>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</si>
  <si>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</si>
  <si>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</si>
  <si>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</si>
  <si>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</si>
  <si>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</si>
  <si>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</si>
  <si>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</si>
  <si>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</si>
  <si>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</si>
  <si>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</si>
  <si>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</si>
  <si>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</si>
  <si>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</si>
  <si>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</si>
  <si>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</si>
  <si>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</si>
  <si>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</si>
  <si>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</si>
  <si>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</si>
  <si>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</si>
  <si>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</si>
  <si>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</si>
  <si>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</si>
  <si>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</si>
  <si>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</si>
  <si>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</si>
  <si>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</si>
  <si>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</si>
  <si>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</si>
  <si>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</si>
  <si>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</si>
  <si>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</si>
  <si>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</si>
  <si>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</si>
  <si>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</si>
  <si>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</si>
  <si>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</si>
  <si>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</si>
  <si>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</si>
  <si>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</si>
  <si>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</si>
  <si>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</si>
  <si>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</si>
  <si>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</si>
  <si>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</si>
  <si>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</si>
  <si>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</si>
  <si>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</si>
  <si>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</si>
  <si>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</si>
  <si>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</si>
  <si>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</si>
  <si>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</si>
  <si>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</si>
  <si>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</si>
  <si>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</si>
  <si>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</si>
  <si>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</si>
  <si>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</si>
  <si>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</si>
  <si>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</si>
  <si>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</si>
  <si>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</si>
  <si>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</si>
  <si>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</si>
  <si>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</si>
  <si>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</si>
  <si>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</si>
  <si>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</si>
  <si>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</si>
  <si>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</si>
  <si>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</si>
  <si>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</si>
  <si>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</si>
  <si>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</si>
  <si>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</si>
  <si>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</si>
  <si>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</si>
  <si>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</si>
  <si>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</si>
  <si>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</si>
  <si>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</si>
  <si>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</si>
  <si>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</si>
  <si>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</si>
  <si>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</si>
  <si>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</si>
  <si>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</si>
  <si>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</si>
  <si>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</si>
  <si>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</si>
  <si>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</si>
  <si>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</si>
  <si>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</si>
  <si>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</si>
  <si>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</si>
  <si>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</si>
  <si>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</si>
  <si>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</si>
  <si>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</si>
  <si>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</si>
  <si>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</si>
  <si>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</si>
  <si>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</si>
  <si>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</si>
  <si>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</si>
  <si>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</si>
  <si>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</si>
  <si>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</si>
  <si>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</si>
  <si>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</si>
  <si>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</si>
  <si>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</si>
  <si>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</si>
  <si>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</si>
  <si>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</si>
  <si>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</si>
  <si>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</si>
  <si>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</si>
  <si>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</si>
  <si>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</si>
  <si>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</si>
  <si>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</si>
  <si>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</si>
  <si>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</si>
  <si>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</si>
  <si>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</si>
  <si>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</si>
  <si>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</si>
  <si>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</si>
  <si>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</si>
  <si>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</si>
  <si>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</si>
  <si>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</si>
  <si>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</si>
  <si>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</si>
  <si>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</si>
  <si>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</si>
  <si>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</si>
  <si>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</si>
  <si>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</si>
  <si>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</si>
  <si>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</si>
  <si>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</si>
  <si>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</si>
  <si>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</si>
  <si>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</si>
  <si>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</si>
  <si>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</si>
  <si>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</si>
  <si>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</si>
  <si>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</si>
  <si>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</si>
  <si>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</si>
  <si>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</si>
  <si>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</si>
  <si>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</si>
  <si>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</si>
  <si>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</si>
  <si>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</si>
  <si>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</si>
  <si>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</si>
  <si>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</si>
  <si>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</si>
  <si>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</si>
  <si>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</si>
  <si>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</si>
  <si>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</si>
  <si>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</si>
  <si>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</si>
  <si>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</si>
  <si>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</si>
  <si>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</si>
  <si>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</si>
  <si>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</si>
  <si>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</si>
  <si>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</si>
  <si>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</si>
  <si>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</si>
  <si>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</si>
  <si>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</si>
  <si>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</si>
  <si>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</si>
  <si>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</si>
  <si>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</si>
  <si>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</si>
  <si>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</si>
  <si>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</si>
  <si>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</si>
  <si>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</si>
  <si>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</si>
  <si>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</si>
  <si>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</si>
  <si>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</si>
  <si>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</si>
  <si>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</si>
  <si>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</si>
  <si>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</si>
  <si>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</si>
  <si>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</si>
  <si>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</si>
  <si>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</si>
  <si>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</si>
  <si>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</si>
  <si>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</si>
  <si>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</si>
  <si>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</si>
  <si>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</si>
  <si>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</si>
  <si>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</si>
  <si>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</si>
  <si>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</si>
  <si>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</si>
  <si>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</si>
  <si>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</si>
  <si>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</si>
  <si>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</si>
  <si>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</si>
  <si>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</si>
  <si>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</si>
  <si>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</si>
  <si>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</si>
  <si>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</si>
  <si>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</si>
  <si>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</si>
  <si>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</si>
  <si>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</si>
  <si>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</si>
  <si>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</si>
  <si>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</si>
  <si>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</si>
  <si>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</si>
  <si>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</si>
  <si>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</si>
  <si>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</si>
  <si>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</si>
  <si>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</si>
  <si>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</si>
  <si>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</si>
  <si>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</si>
  <si>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</si>
  <si>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</si>
  <si>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</si>
  <si>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</si>
  <si>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</si>
  <si>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</si>
  <si>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</si>
  <si>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</si>
  <si>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</si>
  <si>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</si>
  <si>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</si>
  <si>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</si>
  <si>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</si>
  <si>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</si>
  <si>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</si>
  <si>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</si>
  <si>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</si>
  <si>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</si>
  <si>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</si>
  <si>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</si>
  <si>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</si>
  <si>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</si>
  <si>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</si>
  <si>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</si>
  <si>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</si>
  <si>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</si>
  <si>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</si>
  <si>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</si>
  <si>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</si>
  <si>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</si>
  <si>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</si>
  <si>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</si>
  <si>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</si>
  <si>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</si>
  <si>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</si>
  <si>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</si>
  <si>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</si>
  <si>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</si>
  <si>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</si>
  <si>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</si>
  <si>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</si>
  <si>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</si>
  <si>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</si>
  <si>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</si>
  <si>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</si>
  <si>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</si>
  <si>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</si>
  <si>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</si>
  <si>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</si>
  <si>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</si>
  <si>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</si>
  <si>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</si>
  <si>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</si>
  <si>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</si>
  <si>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</si>
  <si>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</si>
  <si>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</si>
  <si>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</si>
  <si>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</si>
  <si>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</si>
  <si>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</si>
  <si>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</si>
  <si>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</si>
  <si>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</si>
  <si>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</si>
  <si>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</si>
  <si>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</si>
  <si>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</si>
  <si>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</si>
  <si>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</si>
  <si>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</si>
  <si>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</si>
  <si>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</si>
  <si>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</si>
  <si>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</si>
  <si>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</si>
  <si>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</si>
  <si>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</si>
  <si>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</si>
  <si>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</si>
  <si>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</si>
  <si>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</si>
  <si>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</si>
  <si>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</si>
  <si>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</si>
  <si>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</si>
  <si>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</si>
  <si>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</si>
  <si>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</si>
  <si>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</si>
  <si>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</si>
  <si>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</si>
  <si>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</si>
  <si>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</si>
  <si>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</si>
  <si>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</si>
  <si>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</si>
  <si>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</si>
  <si>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</si>
  <si>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</si>
  <si>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</si>
  <si>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</si>
  <si>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</si>
  <si>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</si>
  <si>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</si>
  <si>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</si>
  <si>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</si>
  <si>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</si>
  <si>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</si>
  <si>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</si>
  <si>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</si>
  <si>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</si>
  <si>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</si>
  <si>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</si>
  <si>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</si>
  <si>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</si>
  <si>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</si>
  <si>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</si>
  <si>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</si>
  <si>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</si>
  <si>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</si>
  <si>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</si>
  <si>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</si>
  <si>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</si>
  <si>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</si>
  <si>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</si>
  <si>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</si>
  <si>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</si>
  <si>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</si>
  <si>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</si>
  <si>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</si>
  <si>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</si>
  <si>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</si>
  <si>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</si>
  <si>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</si>
  <si>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</si>
  <si>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</si>
  <si>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</si>
  <si>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</si>
  <si>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</si>
  <si>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</si>
  <si>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</si>
  <si>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</si>
  <si>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</si>
  <si>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</si>
  <si>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</si>
  <si>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</si>
  <si>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</si>
  <si>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</si>
  <si>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</si>
  <si>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</si>
  <si>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</si>
  <si>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</si>
  <si>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</si>
  <si>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</si>
  <si>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</si>
  <si>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</si>
  <si>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</si>
  <si>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</si>
  <si>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</si>
  <si>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</si>
  <si>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</si>
  <si>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</si>
  <si>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</si>
  <si>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</si>
  <si>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</si>
  <si>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</si>
  <si>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</si>
  <si>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</si>
  <si>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</si>
  <si>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</si>
  <si>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</si>
  <si>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</si>
  <si>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</si>
  <si>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</si>
  <si>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</si>
  <si>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</si>
  <si>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</si>
  <si>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</si>
  <si>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</si>
  <si>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</si>
  <si>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</si>
  <si>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</si>
  <si>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</si>
  <si>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</si>
  <si>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</si>
  <si>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</si>
  <si>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</si>
  <si>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</si>
  <si>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</si>
  <si>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</si>
  <si>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</si>
  <si>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</si>
  <si>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</si>
  <si>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</si>
  <si>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</si>
  <si>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</si>
  <si>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</si>
  <si>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</si>
  <si>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</si>
  <si>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</si>
  <si>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</si>
  <si>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</si>
  <si>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</si>
  <si>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</si>
  <si>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</si>
  <si>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</si>
  <si>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</si>
  <si>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</si>
  <si>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</si>
  <si>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</si>
  <si>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</si>
  <si>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</si>
  <si>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</si>
  <si>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</si>
  <si>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</si>
  <si>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</si>
  <si>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</si>
  <si>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</si>
  <si>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</si>
  <si>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</si>
  <si>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</si>
  <si>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</si>
  <si>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</si>
  <si>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</si>
  <si>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</si>
  <si>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</si>
  <si>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</si>
  <si>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</si>
  <si>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</si>
  <si>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</si>
  <si>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</si>
  <si>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</si>
  <si>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</si>
  <si>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</si>
  <si>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</si>
  <si>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</si>
  <si>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</si>
  <si>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</si>
  <si>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</si>
  <si>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</si>
  <si>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</si>
  <si>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</si>
  <si>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</si>
  <si>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</si>
  <si>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</si>
  <si>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</si>
  <si>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</si>
  <si>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</si>
  <si>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</si>
  <si>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</si>
  <si>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</si>
  <si>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</si>
  <si>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</si>
  <si>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</si>
  <si>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</si>
  <si>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</si>
  <si>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</si>
  <si>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</si>
  <si>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</si>
  <si>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</si>
  <si>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</si>
  <si>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</si>
  <si>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</si>
  <si>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</si>
  <si>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</si>
  <si>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</si>
  <si>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</si>
  <si>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</si>
  <si>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</si>
  <si>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</si>
  <si>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</si>
  <si>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</si>
  <si>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</si>
  <si>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</si>
  <si>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</si>
  <si>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</si>
  <si>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</si>
  <si>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</si>
  <si>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</si>
  <si>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</si>
  <si>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</si>
  <si>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</si>
  <si>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</si>
  <si>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</si>
  <si>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</si>
  <si>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</si>
  <si>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</si>
  <si>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</si>
  <si>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</si>
  <si>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</si>
  <si>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</si>
  <si>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</si>
  <si>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</si>
  <si>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</si>
  <si>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</si>
  <si>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</si>
  <si>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</si>
  <si>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</si>
  <si>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</si>
  <si>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</si>
  <si>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</si>
  <si>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</si>
  <si>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</si>
  <si>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</si>
  <si>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</si>
  <si>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</si>
  <si>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</si>
  <si>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</si>
  <si>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</si>
  <si>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</si>
  <si>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</si>
  <si>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</si>
  <si>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</si>
  <si>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</si>
  <si>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</si>
  <si>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</si>
  <si>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</si>
  <si>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</si>
  <si>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</si>
  <si>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</si>
  <si>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</si>
  <si>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</si>
  <si>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</si>
  <si>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</si>
  <si>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</si>
  <si>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</si>
  <si>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</si>
  <si>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</si>
  <si>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</si>
  <si>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</si>
  <si>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</si>
  <si>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</si>
  <si>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</si>
  <si>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</si>
  <si>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</si>
  <si>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</si>
  <si>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</si>
  <si>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</si>
  <si>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</si>
  <si>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</si>
  <si>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</si>
  <si>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</si>
  <si>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</si>
  <si>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</si>
  <si>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</si>
  <si>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</si>
  <si>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</si>
  <si>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</si>
  <si>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</si>
  <si>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</si>
  <si>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</si>
  <si>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</si>
  <si>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</si>
  <si>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</si>
  <si>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</si>
  <si>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</si>
  <si>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</si>
  <si>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</si>
  <si>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</si>
  <si>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</si>
  <si>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</si>
  <si>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</si>
  <si>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</si>
  <si>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</si>
  <si>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</si>
  <si>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</si>
  <si>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</si>
  <si>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</si>
  <si>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</si>
  <si>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</si>
  <si>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</si>
  <si>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</si>
  <si>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</si>
  <si>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</si>
  <si>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</si>
  <si>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</si>
  <si>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</si>
  <si>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</si>
  <si>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</si>
  <si>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</si>
  <si>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</si>
  <si>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</si>
  <si>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</si>
  <si>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</si>
  <si>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</si>
  <si>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</si>
  <si>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</si>
  <si>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</si>
  <si>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</si>
  <si>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</si>
  <si>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</si>
  <si>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</si>
  <si>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</si>
  <si>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</si>
  <si>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</si>
  <si>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</si>
  <si>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</si>
  <si>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</si>
  <si>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</si>
  <si>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</si>
  <si>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</si>
  <si>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</si>
  <si>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</si>
  <si>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</si>
  <si>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</si>
  <si>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</si>
  <si>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</si>
  <si>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</si>
  <si>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</si>
  <si>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</si>
  <si>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</si>
  <si>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</si>
  <si>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</si>
  <si>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</si>
  <si>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</si>
  <si>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</si>
  <si>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</si>
  <si>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</si>
  <si>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</si>
  <si>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</si>
  <si>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</si>
  <si>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</si>
  <si>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</si>
  <si>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</si>
  <si>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</si>
  <si>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</si>
  <si>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</si>
  <si>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</si>
  <si>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</si>
  <si>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</si>
  <si>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</si>
  <si>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</si>
  <si>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</si>
  <si>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</si>
  <si>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</si>
  <si>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</si>
  <si>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</si>
  <si>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</si>
  <si>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</si>
  <si>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</si>
  <si>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</si>
  <si>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</si>
  <si>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</si>
  <si>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</si>
  <si>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</si>
  <si>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</si>
  <si>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</si>
  <si>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</si>
  <si>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</si>
  <si>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</si>
  <si>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</si>
  <si>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</si>
  <si>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</si>
  <si>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</si>
  <si>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</si>
  <si>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</si>
  <si>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</si>
  <si>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</si>
  <si>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</si>
  <si>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</si>
  <si>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</si>
  <si>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</si>
  <si>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</si>
  <si>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</si>
  <si>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</si>
  <si>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</si>
  <si>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</si>
  <si>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</si>
  <si>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</si>
  <si>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</si>
  <si>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</si>
  <si>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</si>
  <si>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</si>
  <si>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</si>
  <si>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</si>
  <si>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</si>
  <si>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</si>
  <si>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</si>
  <si>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</si>
  <si>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</si>
  <si>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</si>
  <si>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</si>
  <si>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</si>
  <si>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</si>
  <si>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</si>
  <si>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</si>
  <si>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</si>
  <si>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</si>
  <si>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</si>
  <si>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</si>
  <si>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</si>
  <si>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</si>
  <si>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</si>
  <si>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</si>
  <si>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</si>
  <si>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</si>
  <si>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</si>
  <si>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</si>
  <si>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</si>
  <si>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</si>
  <si>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</si>
  <si>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</si>
  <si>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</si>
  <si>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</si>
  <si>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</si>
  <si>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</si>
  <si>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</si>
  <si>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</si>
  <si>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</si>
  <si>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</si>
  <si>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</si>
  <si>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</si>
  <si>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</si>
  <si>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</si>
  <si>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</si>
  <si>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</si>
  <si>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</si>
  <si>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</si>
  <si>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</si>
  <si>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</si>
  <si>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</si>
  <si>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</si>
  <si>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</si>
  <si>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</si>
  <si>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</si>
  <si>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</si>
  <si>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</si>
  <si>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</si>
  <si>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</si>
  <si>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</si>
  <si>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</si>
  <si>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</si>
  <si>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</si>
  <si>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</si>
  <si>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</si>
  <si>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</si>
  <si>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</si>
  <si>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</si>
  <si>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</si>
  <si>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</si>
  <si>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</si>
  <si>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</si>
  <si>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</si>
  <si>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</si>
  <si>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</si>
  <si>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</si>
  <si>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</si>
  <si>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</si>
  <si>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</si>
  <si>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</si>
  <si>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</si>
  <si>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</si>
  <si>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</si>
  <si>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</si>
  <si>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</si>
  <si>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</si>
  <si>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</si>
  <si>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</si>
  <si>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</si>
  <si>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</si>
  <si>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</si>
  <si>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</si>
  <si>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</si>
  <si>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</si>
  <si>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</si>
  <si>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</si>
  <si>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</si>
  <si>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</si>
  <si>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</si>
  <si>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</si>
  <si>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</si>
  <si>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</si>
  <si>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</si>
  <si>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</si>
  <si>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</si>
  <si>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</si>
  <si>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</si>
  <si>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</si>
  <si>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</si>
  <si>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</si>
  <si>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</si>
  <si>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</si>
  <si>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</si>
  <si>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</si>
  <si>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</si>
  <si>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</si>
  <si>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</si>
  <si>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</si>
  <si>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</si>
  <si>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</si>
  <si>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</si>
  <si>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</si>
  <si>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</si>
  <si>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</si>
  <si>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</si>
  <si>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</si>
  <si>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</si>
  <si>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</si>
  <si>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</si>
  <si>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</si>
  <si>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</si>
  <si>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</si>
  <si>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</si>
  <si>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</si>
  <si>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</si>
  <si>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</si>
  <si>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</si>
  <si>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</si>
  <si>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</si>
  <si>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</si>
  <si>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</si>
  <si>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</si>
  <si>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</si>
  <si>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</si>
  <si>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</si>
  <si>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</si>
  <si>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</si>
  <si>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</si>
  <si>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</si>
  <si>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</si>
  <si>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</si>
  <si>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</si>
  <si>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</si>
  <si>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</si>
  <si>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</si>
  <si>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</si>
  <si>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</si>
  <si>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</si>
  <si>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</si>
  <si>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</si>
  <si>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</si>
  <si>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</si>
  <si>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</si>
  <si>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</si>
  <si>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</si>
  <si>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</si>
  <si>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</si>
  <si>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</si>
  <si>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</si>
  <si>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</si>
  <si>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</si>
  <si>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</si>
  <si>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</si>
  <si>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</si>
  <si>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</si>
  <si>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</si>
  <si>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</si>
  <si>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</si>
  <si>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</si>
  <si>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</si>
  <si>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</si>
  <si>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</si>
  <si>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</si>
  <si>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</si>
  <si>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</si>
  <si>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</si>
  <si>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</si>
  <si>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</si>
  <si>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</si>
  <si>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</si>
  <si>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</si>
  <si>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</si>
  <si>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</si>
  <si>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</si>
  <si>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</si>
  <si>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</si>
  <si>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</si>
  <si>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</si>
  <si>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</si>
  <si>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</si>
  <si>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</si>
  <si>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</si>
  <si>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</si>
  <si>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</si>
  <si>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</si>
  <si>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</si>
  <si>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</si>
  <si>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</si>
  <si>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</si>
  <si>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</si>
  <si>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</si>
  <si>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</si>
  <si>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</si>
  <si>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</si>
  <si>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</si>
  <si>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</si>
  <si>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</si>
  <si>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</si>
  <si>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</si>
  <si>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</si>
  <si>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</si>
  <si>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</si>
  <si>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</si>
  <si>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</si>
  <si>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</si>
  <si>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</si>
  <si>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</si>
  <si>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</si>
  <si>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</si>
  <si>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</si>
  <si>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</si>
  <si>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</si>
  <si>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</si>
  <si>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</si>
  <si>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</si>
  <si>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</si>
  <si>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</si>
  <si>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</si>
  <si>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</si>
  <si>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</si>
  <si>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</si>
  <si>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</si>
  <si>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</si>
  <si>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</si>
  <si>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</si>
  <si>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</si>
  <si>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</si>
  <si>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</si>
  <si>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</si>
  <si>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</si>
  <si>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</si>
  <si>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</si>
  <si>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</si>
  <si>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</si>
  <si>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</si>
  <si>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</si>
  <si>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</si>
  <si>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</si>
  <si>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</si>
  <si>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</si>
  <si>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</si>
  <si>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</si>
  <si>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</si>
  <si>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</si>
  <si>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</si>
  <si>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</si>
  <si>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</si>
  <si>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</si>
  <si>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</si>
  <si>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</si>
  <si>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</si>
  <si>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</si>
  <si>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</si>
  <si>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</si>
  <si>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</si>
  <si>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</si>
  <si>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</si>
  <si>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</si>
  <si>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</si>
  <si>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</si>
  <si>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</si>
  <si>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</si>
  <si>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</si>
  <si>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</si>
  <si>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</si>
  <si>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</si>
  <si>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</si>
  <si>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</si>
  <si>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</si>
  <si>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</si>
  <si>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</si>
  <si>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</si>
  <si>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</si>
  <si>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</si>
  <si>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</si>
  <si>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</si>
  <si>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</si>
  <si>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</si>
  <si>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</si>
  <si>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</si>
  <si>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</si>
  <si>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</si>
  <si>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</si>
  <si>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</si>
  <si>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</si>
  <si>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</si>
  <si>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</si>
  <si>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</si>
  <si>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</si>
  <si>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</si>
  <si>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</si>
  <si>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</si>
  <si>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</si>
  <si>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</si>
  <si>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</si>
  <si>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</si>
  <si>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</si>
  <si>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</si>
  <si>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</si>
  <si>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</si>
  <si>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</si>
  <si>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</si>
  <si>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</si>
  <si>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</si>
  <si>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</si>
  <si>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</si>
  <si>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</si>
  <si>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</si>
  <si>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</si>
  <si>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</si>
  <si>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</si>
  <si>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</si>
  <si>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</si>
  <si>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</si>
  <si>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</si>
  <si>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</si>
  <si>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</si>
  <si>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</si>
  <si>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</si>
  <si>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</si>
  <si>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</si>
  <si>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</si>
  <si>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</si>
  <si>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</si>
  <si>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</si>
  <si>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</si>
  <si>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</si>
  <si>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</si>
  <si>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</si>
  <si>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</si>
  <si>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</si>
  <si>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</si>
  <si>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</si>
  <si>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</si>
  <si>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</si>
  <si>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</si>
  <si>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</si>
  <si>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</si>
  <si>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</si>
  <si>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</si>
  <si>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</si>
  <si>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</si>
  <si>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</si>
  <si>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</si>
  <si>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</si>
  <si>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</si>
  <si>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</si>
  <si>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</si>
  <si>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</si>
  <si>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</si>
  <si>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</si>
  <si>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</si>
  <si>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</si>
  <si>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</si>
  <si>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</si>
  <si>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</si>
  <si>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</si>
  <si>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</si>
  <si>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</si>
  <si>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</si>
  <si>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</si>
  <si>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</si>
  <si>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</si>
  <si>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</si>
  <si>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</si>
  <si>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</si>
  <si>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</si>
  <si>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</si>
  <si>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</si>
  <si>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</si>
  <si>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</si>
  <si>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</si>
  <si>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</si>
  <si>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</si>
  <si>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</si>
  <si>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</si>
  <si>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</si>
  <si>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</si>
  <si>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</si>
  <si>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</si>
  <si>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</si>
  <si>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</si>
  <si>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</si>
  <si>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</si>
  <si>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</si>
  <si>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</si>
  <si>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</si>
  <si>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</si>
  <si>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</si>
  <si>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</si>
  <si>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</si>
  <si>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</si>
  <si>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</si>
  <si>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</si>
  <si>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</si>
  <si>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</si>
  <si>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</si>
  <si>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</si>
  <si>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</si>
  <si>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</si>
  <si>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</si>
  <si>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</si>
  <si>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</si>
  <si>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</si>
  <si>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</si>
  <si>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</si>
  <si>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</si>
  <si>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</si>
  <si>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</si>
  <si>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</si>
  <si>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</si>
  <si>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</si>
  <si>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</si>
  <si>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</si>
  <si>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</si>
  <si>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</si>
  <si>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</si>
  <si>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</si>
  <si>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</si>
  <si>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</si>
  <si>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</si>
  <si>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</si>
  <si>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</si>
  <si>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</si>
  <si>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</si>
  <si>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</si>
  <si>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</si>
  <si>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</si>
  <si>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</si>
  <si>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</si>
  <si>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</si>
  <si>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</si>
  <si>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</si>
  <si>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</si>
  <si>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</si>
  <si>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</si>
  <si>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</si>
  <si>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</si>
  <si>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</si>
  <si>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</si>
  <si>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</si>
  <si>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</si>
  <si>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</si>
  <si>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</si>
  <si>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</si>
  <si>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</si>
  <si>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</si>
  <si>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</si>
  <si>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</si>
  <si>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</si>
  <si>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</si>
  <si>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</si>
  <si>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</si>
  <si>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</si>
  <si>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</si>
  <si>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</si>
  <si>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</si>
  <si>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</si>
  <si>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</si>
  <si>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</si>
  <si>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</si>
  <si>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</si>
  <si>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</si>
  <si>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</si>
  <si>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</si>
  <si>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</si>
  <si>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</si>
  <si>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</si>
  <si>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</si>
  <si>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</si>
  <si>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</si>
  <si>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</si>
  <si>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</si>
  <si>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</si>
  <si>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</si>
  <si>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</si>
  <si>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</si>
  <si>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</si>
  <si>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</si>
  <si>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</si>
  <si>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</si>
  <si>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</si>
  <si>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</si>
  <si>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</si>
  <si>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</si>
  <si>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</si>
  <si>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</si>
  <si>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</si>
  <si>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</si>
  <si>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</si>
  <si>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</si>
  <si>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</si>
  <si>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</si>
  <si>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</si>
  <si>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</si>
  <si>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</si>
  <si>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</si>
  <si>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</si>
  <si>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</si>
  <si>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</si>
  <si>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</si>
  <si>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</si>
  <si>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</si>
  <si>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</si>
  <si>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</si>
  <si>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</si>
  <si>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</si>
  <si>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</si>
  <si>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</si>
  <si>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</si>
  <si>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</si>
  <si>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</si>
  <si>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</si>
  <si>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</si>
  <si>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</si>
  <si>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</si>
  <si>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</si>
  <si>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</si>
  <si>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</si>
  <si>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</si>
  <si>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</si>
  <si>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</si>
  <si>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</si>
  <si>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</si>
  <si>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</si>
  <si>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</si>
  <si>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</si>
  <si>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</si>
  <si>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</si>
  <si>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</si>
  <si>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</si>
  <si>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</si>
  <si>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</si>
  <si>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</si>
  <si>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</si>
  <si>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</si>
  <si>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</si>
  <si>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</si>
  <si>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</si>
  <si>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</si>
  <si>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</si>
  <si>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</si>
  <si>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</si>
  <si>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</si>
  <si>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</si>
  <si>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</si>
  <si>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</si>
  <si>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</si>
  <si>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</si>
  <si>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</si>
  <si>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</si>
  <si>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</si>
  <si>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</si>
  <si>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</si>
  <si>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</si>
  <si>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</si>
  <si>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</si>
  <si>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</si>
  <si>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</si>
  <si>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</si>
  <si>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</si>
  <si>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</si>
  <si>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</si>
  <si>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</si>
  <si>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</si>
  <si>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</si>
  <si>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</si>
  <si>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</si>
  <si>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</si>
  <si>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</si>
  <si>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</si>
  <si>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</si>
  <si>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</si>
  <si>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</si>
  <si>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</si>
  <si>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</si>
  <si>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</si>
  <si>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</si>
  <si>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</si>
  <si>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</si>
  <si>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</si>
  <si>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</si>
  <si>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</si>
  <si>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</si>
  <si>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</si>
  <si>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</si>
  <si>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</si>
  <si>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</si>
  <si>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</si>
  <si>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</si>
  <si>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</si>
  <si>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</si>
  <si>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</si>
  <si>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</si>
  <si>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</si>
  <si>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</si>
  <si>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</si>
  <si>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</si>
  <si>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</si>
  <si>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</si>
  <si>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</si>
  <si>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</si>
  <si>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</si>
  <si>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</si>
  <si>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</si>
  <si>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</si>
  <si>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</si>
  <si>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</si>
  <si>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</si>
  <si>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</si>
  <si>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</si>
  <si>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</si>
  <si>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</si>
  <si>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</si>
  <si>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</si>
  <si>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</si>
  <si>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</si>
  <si>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</si>
  <si>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</si>
  <si>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</si>
  <si>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</si>
  <si>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</si>
  <si>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</si>
  <si>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</si>
  <si>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</si>
  <si>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</si>
  <si>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</si>
  <si>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</si>
  <si>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</si>
  <si>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</si>
  <si>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</si>
  <si>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</si>
  <si>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</si>
  <si>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</si>
  <si>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</si>
  <si>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</si>
  <si>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</si>
  <si>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</si>
  <si>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</si>
  <si>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</si>
  <si>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</si>
  <si>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</si>
  <si>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</si>
  <si>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</si>
  <si>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</si>
  <si>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</si>
  <si>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</si>
  <si>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</si>
  <si>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</si>
  <si>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</si>
  <si>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</si>
  <si>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</si>
  <si>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</si>
  <si>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</si>
  <si>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</si>
  <si>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</si>
  <si>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</si>
  <si>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</si>
  <si>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</si>
  <si>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</si>
  <si>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</si>
  <si>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</si>
  <si>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</si>
  <si>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</si>
  <si>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</si>
  <si>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</si>
  <si>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</si>
  <si>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</si>
  <si>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</si>
  <si>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</si>
  <si>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</si>
  <si>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</si>
  <si>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</si>
  <si>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</si>
  <si>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</si>
  <si>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</si>
  <si>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</si>
  <si>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</si>
  <si>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</si>
  <si>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</si>
  <si>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</si>
  <si>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</si>
  <si>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</si>
  <si>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</si>
  <si>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</si>
  <si>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</si>
  <si>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</si>
  <si>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</si>
  <si>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</si>
  <si>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</si>
  <si>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</si>
  <si>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</si>
  <si>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</si>
  <si>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</si>
  <si>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</si>
  <si>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</si>
  <si>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</si>
  <si>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</si>
  <si>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</si>
  <si>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</si>
  <si>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</si>
  <si>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</si>
  <si>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</si>
  <si>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</si>
  <si>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</si>
  <si>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</si>
  <si>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</si>
  <si>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</si>
  <si>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</si>
  <si>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</si>
  <si>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</si>
  <si>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</si>
  <si>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</si>
  <si>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</si>
  <si>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</si>
  <si>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</si>
  <si>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</si>
  <si>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</si>
  <si>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</si>
  <si>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</si>
  <si>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</si>
  <si>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</si>
  <si>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</si>
  <si>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</si>
  <si>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</si>
  <si>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</si>
  <si>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</si>
  <si>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</si>
  <si>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</si>
  <si>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</si>
  <si>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</si>
  <si>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</si>
  <si>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</si>
  <si>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</si>
  <si>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</si>
  <si>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</si>
  <si>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</si>
  <si>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</si>
  <si>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</si>
  <si>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</si>
  <si>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</si>
  <si>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</si>
  <si>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</si>
  <si>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</si>
  <si>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</si>
  <si>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</si>
  <si>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</si>
  <si>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</si>
  <si>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</si>
  <si>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</si>
  <si>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</si>
  <si>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</si>
  <si>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</si>
  <si>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</si>
  <si>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</si>
  <si>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</si>
  <si>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</si>
  <si>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</si>
  <si>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</si>
  <si>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</si>
  <si>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</si>
  <si>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</si>
  <si>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</si>
  <si>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</si>
  <si>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</si>
  <si>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</si>
  <si>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</si>
  <si>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</si>
  <si>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</si>
  <si>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</si>
  <si>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</si>
  <si>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</si>
  <si>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</si>
  <si>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</si>
  <si>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</si>
  <si>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</si>
  <si>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</si>
  <si>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</si>
  <si>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</si>
  <si>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</si>
  <si>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</si>
  <si>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</si>
  <si>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</si>
  <si>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</si>
  <si>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</si>
  <si>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</si>
  <si>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</si>
  <si>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</si>
  <si>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</si>
  <si>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</si>
  <si>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</si>
  <si>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</si>
  <si>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</si>
  <si>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</si>
  <si>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</si>
  <si>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</si>
  <si>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</si>
  <si>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</si>
  <si>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</si>
  <si>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</si>
  <si>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</si>
  <si>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</si>
  <si>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</si>
  <si>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</si>
  <si>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</si>
  <si>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</si>
  <si>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</si>
  <si>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</si>
  <si>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</si>
  <si>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</si>
  <si>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</si>
  <si>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</si>
  <si>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</si>
  <si>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</si>
  <si>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</si>
  <si>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</si>
  <si>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</si>
  <si>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</si>
  <si>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</si>
  <si>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</si>
  <si>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</si>
  <si>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</si>
  <si>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</si>
  <si>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</si>
  <si>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</si>
  <si>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</si>
  <si>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</si>
  <si>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</si>
  <si>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</si>
  <si>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</si>
  <si>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</si>
  <si>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</si>
  <si>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</si>
  <si>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</si>
  <si>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</si>
  <si>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</si>
  <si>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</si>
  <si>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</si>
  <si>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</si>
  <si>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</si>
  <si>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</si>
  <si>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</si>
  <si>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</si>
  <si>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</si>
  <si>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</si>
  <si>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</si>
  <si>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</si>
  <si>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</si>
  <si>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</si>
  <si>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</si>
  <si>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</si>
  <si>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</si>
  <si>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</si>
  <si>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</si>
  <si>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</si>
  <si>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</si>
  <si>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</si>
  <si>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</si>
  <si>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</si>
  <si>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</si>
  <si>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</si>
  <si>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</si>
  <si>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</si>
  <si>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</si>
  <si>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</si>
  <si>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</si>
  <si>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</si>
  <si>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</si>
  <si>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</si>
  <si>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</si>
  <si>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</si>
  <si>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</si>
  <si>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</si>
  <si>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</si>
  <si>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</si>
  <si>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</si>
  <si>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</si>
  <si>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</si>
  <si>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</si>
  <si>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</si>
  <si>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</si>
  <si>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</si>
  <si>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</si>
  <si>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</si>
  <si>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</si>
  <si>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</si>
  <si>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</si>
  <si>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</si>
  <si>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</si>
  <si>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</si>
  <si>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</si>
  <si>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</si>
  <si>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</si>
  <si>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</si>
  <si>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</si>
  <si>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</si>
  <si>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</si>
  <si>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</si>
  <si>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</si>
  <si>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</si>
  <si>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</si>
  <si>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</si>
  <si>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</si>
  <si>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</si>
  <si>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</si>
  <si>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</si>
  <si>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</si>
  <si>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</si>
  <si>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</si>
  <si>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</si>
  <si>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</si>
  <si>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</si>
  <si>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</si>
  <si>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</si>
  <si>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</si>
  <si>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</si>
  <si>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</si>
  <si>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</si>
  <si>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</si>
  <si>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</si>
  <si>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</si>
  <si>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</si>
  <si>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</si>
  <si>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</si>
  <si>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</si>
  <si>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</si>
  <si>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</si>
  <si>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</si>
  <si>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</si>
  <si>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</si>
  <si>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</si>
  <si>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</si>
  <si>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</si>
  <si>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</si>
  <si>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</si>
  <si>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</si>
  <si>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</si>
  <si>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</si>
  <si>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</si>
  <si>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</si>
  <si>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</si>
  <si>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</si>
  <si>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</si>
  <si>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</si>
  <si>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</si>
  <si>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</si>
  <si>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</si>
  <si>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</si>
  <si>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</si>
  <si>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</si>
  <si>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</si>
  <si>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</si>
  <si>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</si>
  <si>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</si>
  <si>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</si>
  <si>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</si>
  <si>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</si>
  <si>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</si>
  <si>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</si>
  <si>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</si>
  <si>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</si>
  <si>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</si>
  <si>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</si>
  <si>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</si>
  <si>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</si>
  <si>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</si>
  <si>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</si>
  <si>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</si>
  <si>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</si>
  <si>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</si>
  <si>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</si>
  <si>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</si>
  <si>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</si>
  <si>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</si>
  <si>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</si>
  <si>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</si>
  <si>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</si>
  <si>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</si>
  <si>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</si>
  <si>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</si>
  <si>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</si>
  <si>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</si>
  <si>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</si>
  <si>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</si>
  <si>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</si>
  <si>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</si>
  <si>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</si>
  <si>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</si>
  <si>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</si>
  <si>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</si>
  <si>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</si>
  <si>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</si>
  <si>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</si>
  <si>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</si>
  <si>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</si>
  <si>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</si>
  <si>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</si>
  <si>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</si>
  <si>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</si>
  <si>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</si>
  <si>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</si>
  <si>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</si>
  <si>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</si>
  <si>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</si>
  <si>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</si>
  <si>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</si>
  <si>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</si>
  <si>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</si>
  <si>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</si>
  <si>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</si>
  <si>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</si>
  <si>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</si>
  <si>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</si>
  <si>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</si>
  <si>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</si>
  <si>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</si>
  <si>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</si>
  <si>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</si>
  <si>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</si>
  <si>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</si>
  <si>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</si>
  <si>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</si>
  <si>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</si>
  <si>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</si>
  <si>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</si>
  <si>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</si>
  <si>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</si>
  <si>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</si>
  <si>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</si>
  <si>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</si>
  <si>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</si>
  <si>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</si>
  <si>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</si>
  <si>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</si>
  <si>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</si>
  <si>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</si>
  <si>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</si>
  <si>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</si>
  <si>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</si>
  <si>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</si>
  <si>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</si>
  <si>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</si>
  <si>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</si>
  <si>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</si>
  <si>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</si>
  <si>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</si>
  <si>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</si>
  <si>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</si>
  <si>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</si>
  <si>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</si>
  <si>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</si>
  <si>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</si>
  <si>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</si>
  <si>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</si>
  <si>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</si>
  <si>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</si>
  <si>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</si>
  <si>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</si>
  <si>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</si>
  <si>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</si>
  <si>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</si>
  <si>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</si>
  <si>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</si>
  <si>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</si>
  <si>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</si>
  <si>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</si>
  <si>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</si>
  <si>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</si>
  <si>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</si>
  <si>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</si>
  <si>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</si>
  <si>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</si>
  <si>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</si>
  <si>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</si>
  <si>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</si>
  <si>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</si>
  <si>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</si>
  <si>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</si>
  <si>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</si>
  <si>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</si>
  <si>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</si>
  <si>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</si>
  <si>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</si>
  <si>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</si>
  <si>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</si>
  <si>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</si>
  <si>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</si>
  <si>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</si>
  <si>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</si>
  <si>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</si>
  <si>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</si>
  <si>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</si>
  <si>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</si>
  <si>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</si>
  <si>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</si>
  <si>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</si>
  <si>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</si>
  <si>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</si>
  <si>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</si>
  <si>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</si>
  <si>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</si>
  <si>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</si>
  <si>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</si>
  <si>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</si>
  <si>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</si>
  <si>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</si>
  <si>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</si>
  <si>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</si>
  <si>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</si>
  <si>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</si>
  <si>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</si>
  <si>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</si>
  <si>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</si>
  <si>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</si>
  <si>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</si>
  <si>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</si>
  <si>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</si>
  <si>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</si>
  <si>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</si>
  <si>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</si>
  <si>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</si>
  <si>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</si>
  <si>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</si>
  <si>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</si>
  <si>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</si>
  <si>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</si>
  <si>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</si>
  <si>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</si>
  <si>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</si>
  <si>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</si>
  <si>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</si>
  <si>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</si>
  <si>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</si>
  <si>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</si>
  <si>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</si>
  <si>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</si>
  <si>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</si>
  <si>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</si>
  <si>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</si>
  <si>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</si>
  <si>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</si>
  <si>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</si>
  <si>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</si>
  <si>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</si>
  <si>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</si>
  <si>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</si>
  <si>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</si>
  <si>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</si>
  <si>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</si>
  <si>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</si>
  <si>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</si>
  <si>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</si>
  <si>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</si>
  <si>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</si>
  <si>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</si>
  <si>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</si>
  <si>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</si>
  <si>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</si>
  <si>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</si>
  <si>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</si>
  <si>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</si>
  <si>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</si>
  <si>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</si>
  <si>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</si>
  <si>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</si>
  <si>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</si>
  <si>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</si>
  <si>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</si>
  <si>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</si>
  <si>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</si>
  <si>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</si>
  <si>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</si>
  <si>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</si>
  <si>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</si>
  <si>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</si>
  <si>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</si>
  <si>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</si>
  <si>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</si>
  <si>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</si>
  <si>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</si>
  <si>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</si>
  <si>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</si>
  <si>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</si>
  <si>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</si>
  <si>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</si>
  <si>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</si>
  <si>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</si>
  <si>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</si>
  <si>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</si>
  <si>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</si>
  <si>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</si>
  <si>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</si>
  <si>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</si>
  <si>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</si>
  <si>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</si>
  <si>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</si>
  <si>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</si>
  <si>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</si>
  <si>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</si>
  <si>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</si>
  <si>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</si>
  <si>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</si>
  <si>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</si>
  <si>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</si>
  <si>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</si>
  <si>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</si>
  <si>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</si>
  <si>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</si>
  <si>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</si>
  <si>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</si>
  <si>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</si>
  <si>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</si>
  <si>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</si>
  <si>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</si>
  <si>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</si>
  <si>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</si>
  <si>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</si>
  <si>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</si>
  <si>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</si>
  <si>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</si>
  <si>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</si>
  <si>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</si>
  <si>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</si>
  <si>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</si>
  <si>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</si>
  <si>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</si>
  <si>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</si>
  <si>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</si>
  <si>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</si>
  <si>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</si>
  <si>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</si>
  <si>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</si>
  <si>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</si>
  <si>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</si>
  <si>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</si>
  <si>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</si>
  <si>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</si>
  <si>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</si>
  <si>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</si>
  <si>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</si>
  <si>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</si>
  <si>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</si>
  <si>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</si>
  <si>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</si>
  <si>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</si>
  <si>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</si>
  <si>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</si>
  <si>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</si>
  <si>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</si>
  <si>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</si>
  <si>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</si>
  <si>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</si>
  <si>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</si>
  <si>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</si>
  <si>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</si>
  <si>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</si>
  <si>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</si>
  <si>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</si>
  <si>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</si>
  <si>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</si>
  <si>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</si>
  <si>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</si>
  <si>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</si>
  <si>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</si>
  <si>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</si>
  <si>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</si>
  <si>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</si>
  <si>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</si>
  <si>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</si>
  <si>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</si>
  <si>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</si>
  <si>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</si>
  <si>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</si>
  <si>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</si>
  <si>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</si>
  <si>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</si>
  <si>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</si>
  <si>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</si>
  <si>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</si>
  <si>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</si>
  <si>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</si>
  <si>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</si>
  <si>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</si>
  <si>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</si>
  <si>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</si>
  <si>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</si>
  <si>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</si>
  <si>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</si>
  <si>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</si>
  <si>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</si>
  <si>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</si>
  <si>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</si>
  <si>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</si>
  <si>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</si>
  <si>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</si>
  <si>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</si>
  <si>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</si>
  <si>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</si>
  <si>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</si>
  <si>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</si>
  <si>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</si>
  <si>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</si>
  <si>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</si>
  <si>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</si>
  <si>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</si>
  <si>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</si>
  <si>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</si>
  <si>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</si>
  <si>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</si>
  <si>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</si>
  <si>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</si>
  <si>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</si>
  <si>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</si>
  <si>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</si>
  <si>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</si>
  <si>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</si>
  <si>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</si>
  <si>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</si>
  <si>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</si>
  <si>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</si>
  <si>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</si>
  <si>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</si>
  <si>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</si>
  <si>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</si>
  <si>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</si>
  <si>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</si>
  <si>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</si>
  <si>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</si>
  <si>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</si>
  <si>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</si>
  <si>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</si>
  <si>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</si>
  <si>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</si>
  <si>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</si>
  <si>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</si>
  <si>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</si>
  <si>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</si>
  <si>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</si>
  <si>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</si>
  <si>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</si>
  <si>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</si>
  <si>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</si>
  <si>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</si>
  <si>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</si>
  <si>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</si>
  <si>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</si>
  <si>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</si>
  <si>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</si>
  <si>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</si>
  <si>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</si>
  <si>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</si>
  <si>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</si>
  <si>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</si>
  <si>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</si>
  <si>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</si>
  <si>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</si>
  <si>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</si>
  <si>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</si>
  <si>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</si>
  <si>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</si>
  <si>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</si>
  <si>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</si>
  <si>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</si>
  <si>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</si>
  <si>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</si>
  <si>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</si>
  <si>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</si>
  <si>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</si>
  <si>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</si>
  <si>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</si>
  <si>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</si>
  <si>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</si>
  <si>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</si>
  <si>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</si>
  <si>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</si>
  <si>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</si>
  <si>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</si>
  <si>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</si>
  <si>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</si>
  <si>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</si>
  <si>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</si>
  <si>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</si>
  <si>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</si>
  <si>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</si>
  <si>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</si>
  <si>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</si>
  <si>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</si>
  <si>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</si>
  <si>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</si>
  <si>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</si>
  <si>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</si>
  <si>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</si>
  <si>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</si>
  <si>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</si>
  <si>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</si>
  <si>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</si>
  <si>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</si>
  <si>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</si>
  <si>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</si>
  <si>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</si>
  <si>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</si>
  <si>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</si>
  <si>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</si>
  <si>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</si>
  <si>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</si>
  <si>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</si>
  <si>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</si>
  <si>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</si>
  <si>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</si>
  <si>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</si>
  <si>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</si>
  <si>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</si>
  <si>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</si>
  <si>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</si>
  <si>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</si>
  <si>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</si>
  <si>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</si>
  <si>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</si>
  <si>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</si>
  <si>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</si>
  <si>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</si>
  <si>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</si>
  <si>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</si>
  <si>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</si>
  <si>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</si>
  <si>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</si>
  <si>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</si>
  <si>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</si>
  <si>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</si>
  <si>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</si>
  <si>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</si>
  <si>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</si>
  <si>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</si>
  <si>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</si>
  <si>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</si>
  <si>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</si>
  <si>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</si>
  <si>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</si>
  <si>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</si>
  <si>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</si>
  <si>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</si>
  <si>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</si>
  <si>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</si>
  <si>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</si>
  <si>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</si>
  <si>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</si>
  <si>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</si>
  <si>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</si>
  <si>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</si>
  <si>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</si>
  <si>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</si>
  <si>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</si>
  <si>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</si>
  <si>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</si>
  <si>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</si>
  <si>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</si>
  <si>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</si>
  <si>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</si>
  <si>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</si>
  <si>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</si>
  <si>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</si>
  <si>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</si>
  <si>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</si>
  <si>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</si>
  <si>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</si>
  <si>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</si>
  <si>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</si>
  <si>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</si>
  <si>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</si>
  <si>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</si>
  <si>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</si>
  <si>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</si>
  <si>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</si>
  <si>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</si>
  <si>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</si>
  <si>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</si>
  <si>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</si>
  <si>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</si>
  <si>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</si>
  <si>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</si>
  <si>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</si>
  <si>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</si>
  <si>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</si>
  <si>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</si>
  <si>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</si>
  <si>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</si>
  <si>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</si>
  <si>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</si>
  <si>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</si>
  <si>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</si>
  <si>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</si>
  <si>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</si>
  <si>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</si>
  <si>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</si>
  <si>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</si>
  <si>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</si>
  <si>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</si>
  <si>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</si>
  <si>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</si>
  <si>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</si>
  <si>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</si>
  <si>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</si>
  <si>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</si>
  <si>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</si>
  <si>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</si>
  <si>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</si>
  <si>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</si>
  <si>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</si>
  <si>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</si>
  <si>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</si>
  <si>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</si>
  <si>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</si>
  <si>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</si>
  <si>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</si>
  <si>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</si>
  <si>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</si>
  <si>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</si>
  <si>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</si>
  <si>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</si>
  <si>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</si>
  <si>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</si>
  <si>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</si>
  <si>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</si>
  <si>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</si>
  <si>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</si>
  <si>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</si>
  <si>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</si>
  <si>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</si>
  <si>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</si>
  <si>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</si>
  <si>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</si>
  <si>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</si>
  <si>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</si>
  <si>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</si>
  <si>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</si>
  <si>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</si>
  <si>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</si>
  <si>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</si>
  <si>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</si>
  <si>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</si>
  <si>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</si>
  <si>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</si>
  <si>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</si>
  <si>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</si>
  <si>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</si>
  <si>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</si>
  <si>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</si>
  <si>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</si>
  <si>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</si>
  <si>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</si>
  <si>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</si>
  <si>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</si>
  <si>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</si>
  <si>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</si>
  <si>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</si>
  <si>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</si>
  <si>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</si>
  <si>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</si>
  <si>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</si>
  <si>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</si>
  <si>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</si>
  <si>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</si>
  <si>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</si>
  <si>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</si>
  <si>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</si>
  <si>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</si>
  <si>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</si>
  <si>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</si>
  <si>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</si>
  <si>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</si>
  <si>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</si>
  <si>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</si>
  <si>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</si>
  <si>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</si>
  <si>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</si>
  <si>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</si>
  <si>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</si>
  <si>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</si>
  <si>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</si>
  <si>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</si>
  <si>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</si>
  <si>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</si>
  <si>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</si>
  <si>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</si>
  <si>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</si>
  <si>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</si>
  <si>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</si>
  <si>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</si>
  <si>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</si>
  <si>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</si>
  <si>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</si>
  <si>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</si>
  <si>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</si>
  <si>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</si>
  <si>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</si>
  <si>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</si>
  <si>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</si>
  <si>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</si>
  <si>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</si>
  <si>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</si>
  <si>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</si>
  <si>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</si>
  <si>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</si>
  <si>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</si>
  <si>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</si>
  <si>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</si>
  <si>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</si>
  <si>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</si>
  <si>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</si>
  <si>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</si>
  <si>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</si>
  <si>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</si>
  <si>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</si>
  <si>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</si>
  <si>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</si>
  <si>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</si>
  <si>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</si>
  <si>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</si>
  <si>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</si>
  <si>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</si>
  <si>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</si>
  <si>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</si>
  <si>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</si>
  <si>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</si>
  <si>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</si>
  <si>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</si>
  <si>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</si>
  <si>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</si>
  <si>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</si>
  <si>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</si>
  <si>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</si>
  <si>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</si>
  <si>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</si>
  <si>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</si>
  <si>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</si>
  <si>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</si>
  <si>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</si>
  <si>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</si>
  <si>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</si>
  <si>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</si>
  <si>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</si>
  <si>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</si>
  <si>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</si>
  <si>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</si>
  <si>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</si>
  <si>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</si>
  <si>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</si>
  <si>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</si>
  <si>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</si>
  <si>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</si>
  <si>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</si>
  <si>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</si>
  <si>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</si>
  <si>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</si>
  <si>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</si>
  <si>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</si>
  <si>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</si>
  <si>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</si>
  <si>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</si>
  <si>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</si>
  <si>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</si>
  <si>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</si>
  <si>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</si>
  <si>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</si>
  <si>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</si>
  <si>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</si>
  <si>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</si>
  <si>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</si>
  <si>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</si>
  <si>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</si>
  <si>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</si>
  <si>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</si>
  <si>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</si>
  <si>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</si>
  <si>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</si>
  <si>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</si>
  <si>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</si>
  <si>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</si>
  <si>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</si>
  <si>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</si>
  <si>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</si>
  <si>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</si>
  <si>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</si>
  <si>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</si>
  <si>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</si>
  <si>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</si>
  <si>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</si>
  <si>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</si>
  <si>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</si>
  <si>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</si>
  <si>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</si>
  <si>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</si>
  <si>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</si>
  <si>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</si>
  <si>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</si>
  <si>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</si>
  <si>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</si>
  <si>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</si>
  <si>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</si>
  <si>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</si>
  <si>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</si>
  <si>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</si>
  <si>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</si>
  <si>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</si>
  <si>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</si>
  <si>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</si>
  <si>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</si>
  <si>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</si>
  <si>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</si>
  <si>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</si>
  <si>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</si>
  <si>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</si>
  <si>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</si>
  <si>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</si>
  <si>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</si>
  <si>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</si>
  <si>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</si>
  <si>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</si>
  <si>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</si>
  <si>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</si>
  <si>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</si>
  <si>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</si>
  <si>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</si>
  <si>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</si>
  <si>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</si>
  <si>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</si>
  <si>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</si>
  <si>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</si>
  <si>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</si>
  <si>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</si>
  <si>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</si>
  <si>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</si>
  <si>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</si>
  <si>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</si>
  <si>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</si>
  <si>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</si>
  <si>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</si>
  <si>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</si>
  <si>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</si>
  <si>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</si>
  <si>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</si>
  <si>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</si>
  <si>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</si>
  <si>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</si>
  <si>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</si>
  <si>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</si>
  <si>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</si>
  <si>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</si>
  <si>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</si>
  <si>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</si>
  <si>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</si>
  <si>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</si>
  <si>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</si>
  <si>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</si>
  <si>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</si>
  <si>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</si>
  <si>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</si>
  <si>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</si>
  <si>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</si>
  <si>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</si>
  <si>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</si>
  <si>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</si>
  <si>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</si>
  <si>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</si>
  <si>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</si>
  <si>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</si>
  <si>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</si>
  <si>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</si>
  <si>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</si>
  <si>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</si>
  <si>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</si>
  <si>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</si>
  <si>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</si>
  <si>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</si>
  <si>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</si>
  <si>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</si>
  <si>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</si>
  <si>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</si>
  <si>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</si>
  <si>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</si>
  <si>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</si>
  <si>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</si>
  <si>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</si>
  <si>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</si>
  <si>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</si>
  <si>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</si>
  <si>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</si>
  <si>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</si>
  <si>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</si>
  <si>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</si>
  <si>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</si>
  <si>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</si>
  <si>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</si>
  <si>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</si>
  <si>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</si>
  <si>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</si>
  <si>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</si>
  <si>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</si>
  <si>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</si>
  <si>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</si>
  <si>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</si>
  <si>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</si>
  <si>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</si>
  <si>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</si>
  <si>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</si>
  <si>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</si>
  <si>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</si>
  <si>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</si>
  <si>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</si>
  <si>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</si>
  <si>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</si>
  <si>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</si>
  <si>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</si>
  <si>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</si>
  <si>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</si>
  <si>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</si>
  <si>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</si>
  <si>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</si>
  <si>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</si>
  <si>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</si>
  <si>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</si>
  <si>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</si>
  <si>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</si>
  <si>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</si>
  <si>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</si>
  <si>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</si>
  <si>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</si>
  <si>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</si>
  <si>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</si>
  <si>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</si>
  <si>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</si>
  <si>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</si>
  <si>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</si>
  <si>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</si>
  <si>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</si>
  <si>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</si>
  <si>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</si>
  <si>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</si>
  <si>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</si>
  <si>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</si>
  <si>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</si>
  <si>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</si>
  <si>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</si>
  <si>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</si>
  <si>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</si>
  <si>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</si>
  <si>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</si>
  <si>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</si>
  <si>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</si>
  <si>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</si>
  <si>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</si>
  <si>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</si>
  <si>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</si>
  <si>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</si>
  <si>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</si>
  <si>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</si>
  <si>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</si>
  <si>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</si>
  <si>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</si>
  <si>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</si>
  <si>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</si>
  <si>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</si>
  <si>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</si>
  <si>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</si>
  <si>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</si>
  <si>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</si>
  <si>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</si>
  <si>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</si>
  <si>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</si>
  <si>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</si>
  <si>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</si>
  <si>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</si>
  <si>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</si>
  <si>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</si>
  <si>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</si>
  <si>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</si>
  <si>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</si>
  <si>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</si>
  <si>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</si>
  <si>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</si>
  <si>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</si>
  <si>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</si>
  <si>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</si>
  <si>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</si>
  <si>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</si>
  <si>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</si>
  <si>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</si>
  <si>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</si>
  <si>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</si>
  <si>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</si>
  <si>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</si>
  <si>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</si>
  <si>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</si>
  <si>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</si>
  <si>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</si>
  <si>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</si>
  <si>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</si>
  <si>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</si>
  <si>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</si>
  <si>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</si>
  <si>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</si>
  <si>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</si>
  <si>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</si>
  <si>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</si>
  <si>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</si>
  <si>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</si>
  <si>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</si>
  <si>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</si>
  <si>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</si>
  <si>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</si>
  <si>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</si>
  <si>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</si>
  <si>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</si>
  <si>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</si>
  <si>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</si>
  <si>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</si>
  <si>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</si>
  <si>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</si>
  <si>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</si>
  <si>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</si>
  <si>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</si>
  <si>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</si>
  <si>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</si>
  <si>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</si>
  <si>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</si>
  <si>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</si>
  <si>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</si>
  <si>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</si>
  <si>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</si>
  <si>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</si>
  <si>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</si>
  <si>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</si>
  <si>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</si>
  <si>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</si>
  <si>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</si>
  <si>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</si>
  <si>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</si>
  <si>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</si>
  <si>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</si>
  <si>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</si>
  <si>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</si>
  <si>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</si>
  <si>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</si>
  <si>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</si>
  <si>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</si>
  <si>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</si>
  <si>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</si>
  <si>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</si>
  <si>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</si>
  <si>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</si>
  <si>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</si>
  <si>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</si>
  <si>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</si>
  <si>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</si>
  <si>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</si>
  <si>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</si>
  <si>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</si>
  <si>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</si>
  <si>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</si>
  <si>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</si>
  <si>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</si>
  <si>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</si>
  <si>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</si>
  <si>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</si>
  <si>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</si>
  <si>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</si>
  <si>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</si>
  <si>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</si>
  <si>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</si>
  <si>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</si>
  <si>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</si>
  <si>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</si>
  <si>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</si>
  <si>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</si>
  <si>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</si>
  <si>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</si>
  <si>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</si>
  <si>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</si>
  <si>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</si>
  <si>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</si>
  <si>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</si>
  <si>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</si>
  <si>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</si>
  <si>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</si>
  <si>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</si>
  <si>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</si>
  <si>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</si>
  <si>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</si>
  <si>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</si>
  <si>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</si>
  <si>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</si>
  <si>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</si>
  <si>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</si>
  <si>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</si>
  <si>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</si>
  <si>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</si>
  <si>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</si>
  <si>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</si>
  <si>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</si>
  <si>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</si>
  <si>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</si>
  <si>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</si>
  <si>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</si>
  <si>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</si>
  <si>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</si>
  <si>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</si>
  <si>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</si>
  <si>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</si>
  <si>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</si>
  <si>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</si>
  <si>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</si>
  <si>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</si>
  <si>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</si>
  <si>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</si>
  <si>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</si>
  <si>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</si>
  <si>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</si>
  <si>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</si>
  <si>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</si>
  <si>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</si>
  <si>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</si>
  <si>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</si>
  <si>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</si>
  <si>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</si>
  <si>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</si>
  <si>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</si>
  <si>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</si>
  <si>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</si>
  <si>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</si>
  <si>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</si>
  <si>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</si>
  <si>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</si>
  <si>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</si>
  <si>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</si>
  <si>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</si>
  <si>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</si>
  <si>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</si>
  <si>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</si>
  <si>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</si>
  <si>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</si>
  <si>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</si>
  <si>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</si>
  <si>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</si>
  <si>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</si>
  <si>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</si>
  <si>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</si>
  <si>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</si>
  <si>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</si>
  <si>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</si>
  <si>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</si>
  <si>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</si>
  <si>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</si>
  <si>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</si>
  <si>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</si>
  <si>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</si>
  <si>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</si>
  <si>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</si>
  <si>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</si>
  <si>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</si>
  <si>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</si>
  <si>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</si>
  <si>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</si>
  <si>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</si>
  <si>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</si>
  <si>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</si>
  <si>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</si>
  <si>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</si>
  <si>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</si>
  <si>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</si>
  <si>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</si>
  <si>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</si>
  <si>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</si>
  <si>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</si>
  <si>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</si>
  <si>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</si>
  <si>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</si>
  <si>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</si>
  <si>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</si>
  <si>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</si>
  <si>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</si>
  <si>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</si>
  <si>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</si>
  <si>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</si>
  <si>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</si>
  <si>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</si>
  <si>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</si>
  <si>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</si>
  <si>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</si>
  <si>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</si>
  <si>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</si>
  <si>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</si>
  <si>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</si>
  <si>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</si>
  <si>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</si>
  <si>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</si>
  <si>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</si>
  <si>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</si>
  <si>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</si>
  <si>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</si>
  <si>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</si>
  <si>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</si>
  <si>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</si>
  <si>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</si>
  <si>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</si>
  <si>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</si>
  <si>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</si>
  <si>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</si>
  <si>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</si>
  <si>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</si>
  <si>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</si>
  <si>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</si>
  <si>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</si>
  <si>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</si>
  <si>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</si>
  <si>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</si>
  <si>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</si>
  <si>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</si>
  <si>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</si>
  <si>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</si>
  <si>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</si>
  <si>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</si>
  <si>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</si>
  <si>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</si>
  <si>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</si>
  <si>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</si>
  <si>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</si>
  <si>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</si>
  <si>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</si>
  <si>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</si>
  <si>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</si>
  <si>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</si>
  <si>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</si>
  <si>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</si>
  <si>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</si>
  <si>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</si>
  <si>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</si>
  <si>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</si>
  <si>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</si>
  <si>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</si>
  <si>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</si>
  <si>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</si>
  <si>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</si>
  <si>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</si>
  <si>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</si>
  <si>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</si>
  <si>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</si>
  <si>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</si>
  <si>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</si>
  <si>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</si>
  <si>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</si>
  <si>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</si>
  <si>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</si>
  <si>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</si>
  <si>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</si>
  <si>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</si>
  <si>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</si>
  <si>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</si>
  <si>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</si>
  <si>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</si>
  <si>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</si>
  <si>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</si>
  <si>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</si>
  <si>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</si>
  <si>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</si>
  <si>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</si>
  <si>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</si>
  <si>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</si>
  <si>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</si>
  <si>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</si>
  <si>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</si>
  <si>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</si>
  <si>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</si>
  <si>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</si>
  <si>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</si>
  <si>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</si>
  <si>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</si>
  <si>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</si>
  <si>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</si>
  <si>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</si>
  <si>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</si>
  <si>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</si>
  <si>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</si>
  <si>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</si>
  <si>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</si>
  <si>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</si>
  <si>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</si>
  <si>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</si>
  <si>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</si>
  <si>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</si>
  <si>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</si>
  <si>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</si>
  <si>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</si>
  <si>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</si>
  <si>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</si>
  <si>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</si>
  <si>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</si>
  <si>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</si>
  <si>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</si>
  <si>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</si>
  <si>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</si>
  <si>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</si>
  <si>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</si>
  <si>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</si>
  <si>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</si>
  <si>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</si>
  <si>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</si>
  <si>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</si>
  <si>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</si>
  <si>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</si>
  <si>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</si>
  <si>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</si>
  <si>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</si>
  <si>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</si>
  <si>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</si>
  <si>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</si>
  <si>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</si>
  <si>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</si>
  <si>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</si>
  <si>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</si>
  <si>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</si>
  <si>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</si>
  <si>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</si>
  <si>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</si>
  <si>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</si>
  <si>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</si>
  <si>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</si>
  <si>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</si>
  <si>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</si>
  <si>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</si>
  <si>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</si>
  <si>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</si>
  <si>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</si>
  <si>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</si>
  <si>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</si>
  <si>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</si>
  <si>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</si>
  <si>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</si>
  <si>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</si>
  <si>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</si>
  <si>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</si>
  <si>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</si>
  <si>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</si>
  <si>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</si>
  <si>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</si>
  <si>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</si>
  <si>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</si>
  <si>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</si>
  <si>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</si>
  <si>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</si>
  <si>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</si>
  <si>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</si>
  <si>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</si>
  <si>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</si>
  <si>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</si>
  <si>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</si>
  <si>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</si>
  <si>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</si>
  <si>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</si>
  <si>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</si>
  <si>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</si>
  <si>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</si>
  <si>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</si>
  <si>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</si>
  <si>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</si>
  <si>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</si>
  <si>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</si>
  <si>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</si>
  <si>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</si>
  <si>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</si>
  <si>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</si>
  <si>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</si>
  <si>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</si>
  <si>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</si>
  <si>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</si>
  <si>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</si>
  <si>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</si>
  <si>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</si>
  <si>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</si>
  <si>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</si>
  <si>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</si>
  <si>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</si>
  <si>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</si>
  <si>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</si>
  <si>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</si>
  <si>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</si>
  <si>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</si>
  <si>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</si>
  <si>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</si>
  <si>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</si>
  <si>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</si>
  <si>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</si>
  <si>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</si>
  <si>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</si>
  <si>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</si>
  <si>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</si>
  <si>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</si>
  <si>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</si>
  <si>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</si>
  <si>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</si>
  <si>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</si>
  <si>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</si>
  <si>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</si>
  <si>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</si>
  <si>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</si>
  <si>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</si>
  <si>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</si>
  <si>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</si>
  <si>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</si>
  <si>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</si>
  <si>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</si>
  <si>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</si>
  <si>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</si>
  <si>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</si>
  <si>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</si>
  <si>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</si>
  <si>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</si>
  <si>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</si>
  <si>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</si>
  <si>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</si>
  <si>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</si>
  <si>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</si>
  <si>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</si>
  <si>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</si>
  <si>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</si>
  <si>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</si>
  <si>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</si>
  <si>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</si>
  <si>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</si>
  <si>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</si>
  <si>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</si>
  <si>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</si>
  <si>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</si>
  <si>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</si>
  <si>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</si>
  <si>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</si>
  <si>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</si>
  <si>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</si>
  <si>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</si>
  <si>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</si>
  <si>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</si>
  <si>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</si>
  <si>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</si>
  <si>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</si>
  <si>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</si>
  <si>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</si>
  <si>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</si>
  <si>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</si>
  <si>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</si>
  <si>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</si>
  <si>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</si>
  <si>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</si>
  <si>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</si>
  <si>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</si>
  <si>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</si>
  <si>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</si>
  <si>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</si>
  <si>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</si>
  <si>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</si>
  <si>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</si>
  <si>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</si>
  <si>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</si>
  <si>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</si>
  <si>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</si>
  <si>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</si>
  <si>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</si>
  <si>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</si>
  <si>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</si>
  <si>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</si>
  <si>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</si>
  <si>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</si>
  <si>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</si>
  <si>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</si>
  <si>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</si>
  <si>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</si>
  <si>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</si>
  <si>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</si>
  <si>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</si>
  <si>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</si>
  <si>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</si>
  <si>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</si>
  <si>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</si>
  <si>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</si>
  <si>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</si>
  <si>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</si>
  <si>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</si>
  <si>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</si>
  <si>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</si>
  <si>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</si>
  <si>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</si>
  <si>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</si>
  <si>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</si>
  <si>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</si>
  <si>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</si>
  <si>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</si>
  <si>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</si>
  <si>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</si>
  <si>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</si>
  <si>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</si>
  <si>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</si>
  <si>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</si>
  <si>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</si>
  <si>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</si>
  <si>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</si>
  <si>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</si>
  <si>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</si>
  <si>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</si>
  <si>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</si>
  <si>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</si>
  <si>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</si>
  <si>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</si>
  <si>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</si>
  <si>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</si>
  <si>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</si>
  <si>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</si>
  <si>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</si>
  <si>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</si>
  <si>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</si>
  <si>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</si>
  <si>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</si>
  <si>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</si>
  <si>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</si>
  <si>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</si>
  <si>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</si>
  <si>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</si>
  <si>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</si>
  <si>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</si>
  <si>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</si>
  <si>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</si>
  <si>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</si>
  <si>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</si>
  <si>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</si>
  <si>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</si>
  <si>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</si>
  <si>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</si>
  <si>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</si>
  <si>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</si>
  <si>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</si>
  <si>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</si>
  <si>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</si>
  <si>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</si>
  <si>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</si>
  <si>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</si>
  <si>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</si>
  <si>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</si>
  <si>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</si>
  <si>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</si>
  <si>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</si>
  <si>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</si>
  <si>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</si>
  <si>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</si>
  <si>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</si>
  <si>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</si>
  <si>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</si>
  <si>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</si>
  <si>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</si>
  <si>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</si>
  <si>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</si>
  <si>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</si>
  <si>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</si>
  <si>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</si>
  <si>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</si>
  <si>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</si>
  <si>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</si>
  <si>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</si>
  <si>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</si>
  <si>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</si>
  <si>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</si>
  <si>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</si>
  <si>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</si>
  <si>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</si>
  <si>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</si>
  <si>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</si>
  <si>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</si>
  <si>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</si>
  <si>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</si>
  <si>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</si>
  <si>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</si>
  <si>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</si>
  <si>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</si>
  <si>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</si>
  <si>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</si>
  <si>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</si>
  <si>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</si>
  <si>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</si>
  <si>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</si>
  <si>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</si>
  <si>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</si>
  <si>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</si>
  <si>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</si>
  <si>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</si>
  <si>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</si>
  <si>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</si>
  <si>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</si>
  <si>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</si>
  <si>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</si>
  <si>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</si>
  <si>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</si>
  <si>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</si>
  <si>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</si>
  <si>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</si>
  <si>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</si>
  <si>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</si>
  <si>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</si>
  <si>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</si>
  <si>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</si>
  <si>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</si>
  <si>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</si>
  <si>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</si>
  <si>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</si>
  <si>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</si>
  <si>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</si>
  <si>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</si>
  <si>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</si>
  <si>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</si>
  <si>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</si>
  <si>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</si>
  <si>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</si>
  <si>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</si>
  <si>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</si>
  <si>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</si>
  <si>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</si>
  <si>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</si>
  <si>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</si>
  <si>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</si>
  <si>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</si>
  <si>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</si>
  <si>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</si>
  <si>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</si>
  <si>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</si>
  <si>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</si>
  <si>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</si>
  <si>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</si>
  <si>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</si>
  <si>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</si>
  <si>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</si>
  <si>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</si>
  <si>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</si>
  <si>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</si>
  <si>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</si>
  <si>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</si>
  <si>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</si>
  <si>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</si>
  <si>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</si>
  <si>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</si>
  <si>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</si>
  <si>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</si>
  <si>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</si>
  <si>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</si>
  <si>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</si>
  <si>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</si>
  <si>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</si>
  <si>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</si>
  <si>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</si>
  <si>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</si>
  <si>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</si>
  <si>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</si>
  <si>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</si>
  <si>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</si>
  <si>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</si>
  <si>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</si>
  <si>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</si>
  <si>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</si>
  <si>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</si>
  <si>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</si>
  <si>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</si>
  <si>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</si>
  <si>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</si>
  <si>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</si>
  <si>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</si>
  <si>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</si>
  <si>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</si>
  <si>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</si>
  <si>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</si>
  <si>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</si>
  <si>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</si>
  <si>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</si>
  <si>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</si>
  <si>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</si>
  <si>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</si>
  <si>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</si>
  <si>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</si>
  <si>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</si>
  <si>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</si>
  <si>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</si>
  <si>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</si>
  <si>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</si>
  <si>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</si>
  <si>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</si>
  <si>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</si>
  <si>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</si>
  <si>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</si>
  <si>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</si>
  <si>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</si>
  <si>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</si>
  <si>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</si>
  <si>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</si>
  <si>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</si>
  <si>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</si>
  <si>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</si>
  <si>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</si>
  <si>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</si>
  <si>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</si>
  <si>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</si>
  <si>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</si>
  <si>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</si>
  <si>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</si>
  <si>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</si>
  <si>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</si>
  <si>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</si>
  <si>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</si>
  <si>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</si>
  <si>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</si>
  <si>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</si>
  <si>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</si>
  <si>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</si>
  <si>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</si>
  <si>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</si>
  <si>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</si>
  <si>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</si>
  <si>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</si>
  <si>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</si>
  <si>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</si>
  <si>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</si>
  <si>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</si>
  <si>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</si>
  <si>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</si>
  <si>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</si>
  <si>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</si>
  <si>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</si>
  <si>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</si>
  <si>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</si>
  <si>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</si>
  <si>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</si>
  <si>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</si>
  <si>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</si>
  <si>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</si>
  <si>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</si>
  <si>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</si>
  <si>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</si>
  <si>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</si>
  <si>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</si>
  <si>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</si>
  <si>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</si>
  <si>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</si>
  <si>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</si>
  <si>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</si>
  <si>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</si>
  <si>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</si>
  <si>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</si>
  <si>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</si>
  <si>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</si>
  <si>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</si>
  <si>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</si>
  <si>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</si>
  <si>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</si>
  <si>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</si>
  <si>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</si>
  <si>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</si>
  <si>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</si>
  <si>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</si>
  <si>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</si>
  <si>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</si>
  <si>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</si>
  <si>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</si>
  <si>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</si>
  <si>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</si>
  <si>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</si>
  <si>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</si>
  <si>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</si>
  <si>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</si>
  <si>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</si>
  <si>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</si>
  <si>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</si>
  <si>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</si>
  <si>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</si>
  <si>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</si>
  <si>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</si>
  <si>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</si>
  <si>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</si>
  <si>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</si>
  <si>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</si>
  <si>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</si>
  <si>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</si>
  <si>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</si>
  <si>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</si>
  <si>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</si>
  <si>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</si>
  <si>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</si>
  <si>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</si>
  <si>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</si>
  <si>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</si>
  <si>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</si>
  <si>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</si>
  <si>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</si>
  <si>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</si>
  <si>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</si>
  <si>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</si>
  <si>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</si>
  <si>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</si>
  <si>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</si>
  <si>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</si>
  <si>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</si>
  <si>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</si>
  <si>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</si>
  <si>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</si>
  <si>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</si>
  <si>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</si>
  <si>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</si>
  <si>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</si>
  <si>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</si>
  <si>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</si>
  <si>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</si>
  <si>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</si>
  <si>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</si>
  <si>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</si>
  <si>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</si>
  <si>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</si>
  <si>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</si>
  <si>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</si>
  <si>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</si>
  <si>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</si>
  <si>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</si>
  <si>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</si>
  <si>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</si>
  <si>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</si>
  <si>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</si>
  <si>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</si>
  <si>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</si>
  <si>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</si>
  <si>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</si>
  <si>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</si>
  <si>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</si>
  <si>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</si>
  <si>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</si>
  <si>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</si>
  <si>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</si>
  <si>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</si>
  <si>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</si>
  <si>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</si>
  <si>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</si>
  <si>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</si>
  <si>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</si>
  <si>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</si>
  <si>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</si>
  <si>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</si>
  <si>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</si>
  <si>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</si>
  <si>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</si>
  <si>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</si>
  <si>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</si>
  <si>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</si>
  <si>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</si>
  <si>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</si>
  <si>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</si>
  <si>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</si>
  <si>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</si>
  <si>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</si>
  <si>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</si>
  <si>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</si>
  <si>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</si>
  <si>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</si>
  <si>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</si>
  <si>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</si>
  <si>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</si>
  <si>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</si>
  <si>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</si>
  <si>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</si>
  <si>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</si>
  <si>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</si>
  <si>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</si>
  <si>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</si>
  <si>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</si>
  <si>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</si>
  <si>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</si>
  <si>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</si>
  <si>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</si>
  <si>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</si>
  <si>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</si>
  <si>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</si>
  <si>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</si>
  <si>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</si>
  <si>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</si>
  <si>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</si>
  <si>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</si>
  <si>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</si>
  <si>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</si>
  <si>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</si>
  <si>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</si>
  <si>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</si>
  <si>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</si>
  <si>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</si>
  <si>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</si>
  <si>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</si>
  <si>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</si>
  <si>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</si>
  <si>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</si>
  <si>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</si>
  <si>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</si>
  <si>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</si>
  <si>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</si>
  <si>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</si>
  <si>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</si>
  <si>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</si>
  <si>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</si>
  <si>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</si>
  <si>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</si>
  <si>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</si>
  <si>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</si>
  <si>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</si>
  <si>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</si>
  <si>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</si>
  <si>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</si>
  <si>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</si>
  <si>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</si>
  <si>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</si>
  <si>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</si>
  <si>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</si>
  <si>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</si>
  <si>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</si>
  <si>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</si>
  <si>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</si>
  <si>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</si>
  <si>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</si>
  <si>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</si>
  <si>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</si>
  <si>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</si>
  <si>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</si>
  <si>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</si>
  <si>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</si>
  <si>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</si>
  <si>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</si>
  <si>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</si>
  <si>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</si>
  <si>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</si>
  <si>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</si>
  <si>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</si>
  <si>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</si>
  <si>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</si>
  <si>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</si>
  <si>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</si>
  <si>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</si>
  <si>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</si>
  <si>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</si>
  <si>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</si>
  <si>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</si>
  <si>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</si>
  <si>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</si>
  <si>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</si>
  <si>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</si>
  <si>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</si>
  <si>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</si>
  <si>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</si>
  <si>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</si>
  <si>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</si>
  <si>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</si>
  <si>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</si>
  <si>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</si>
  <si>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</si>
  <si>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</si>
  <si>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</si>
  <si>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</si>
  <si>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</si>
  <si>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</si>
  <si>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</si>
  <si>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</si>
  <si>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</si>
  <si>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</si>
  <si>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</si>
  <si>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</si>
  <si>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</si>
  <si>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</si>
  <si>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</si>
  <si>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</si>
  <si>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</si>
  <si>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</si>
  <si>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</si>
  <si>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</si>
  <si>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</si>
  <si>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</si>
  <si>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</si>
  <si>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</si>
  <si>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</si>
  <si>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</si>
  <si>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</si>
  <si>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</si>
  <si>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</si>
  <si>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</si>
  <si>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</si>
  <si>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</si>
  <si>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</si>
  <si>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</si>
  <si>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</si>
  <si>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</si>
  <si>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</si>
  <si>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</si>
  <si>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</si>
  <si>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</si>
  <si>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</si>
  <si>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</si>
  <si>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</si>
  <si>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</si>
  <si>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</si>
  <si>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</si>
  <si>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</si>
  <si>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</si>
  <si>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</si>
  <si>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</si>
  <si>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</si>
  <si>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</si>
  <si>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</si>
  <si>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</si>
  <si>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</si>
  <si>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</si>
  <si>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</si>
  <si>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</si>
  <si>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</si>
  <si>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</si>
  <si>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</si>
  <si>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</si>
  <si>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</si>
  <si>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</si>
  <si>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</si>
  <si>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</si>
  <si>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</si>
  <si>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</si>
  <si>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</si>
  <si>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</si>
  <si>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</si>
  <si>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</si>
  <si>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</si>
  <si>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</si>
  <si>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</si>
  <si>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</si>
  <si>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</si>
  <si>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</si>
  <si>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</si>
  <si>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</si>
  <si>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</si>
  <si>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</si>
  <si>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</si>
  <si>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</si>
  <si>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</si>
  <si>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</si>
  <si>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</si>
  <si>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</si>
  <si>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</si>
  <si>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</si>
  <si>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</si>
  <si>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</si>
  <si>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</si>
  <si>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</si>
  <si>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</si>
  <si>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</si>
  <si>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</si>
  <si>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</si>
  <si>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</si>
  <si>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</si>
  <si>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</si>
  <si>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</si>
  <si>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</si>
  <si>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</si>
  <si>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</si>
  <si>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</si>
  <si>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</si>
  <si>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</si>
  <si>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</si>
  <si>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</si>
  <si>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</si>
  <si>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</si>
  <si>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</si>
  <si>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</si>
  <si>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</si>
  <si>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</si>
  <si>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</si>
  <si>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</si>
  <si>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</si>
  <si>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</si>
  <si>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</si>
  <si>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</si>
  <si>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</si>
  <si>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</si>
  <si>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</si>
  <si>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</si>
  <si>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</si>
  <si>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</si>
  <si>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</si>
  <si>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</si>
  <si>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</si>
  <si>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</si>
  <si>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</si>
  <si>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</si>
  <si>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</si>
  <si>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</si>
  <si>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</si>
  <si>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</si>
  <si>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</si>
  <si>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</si>
  <si>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</si>
  <si>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</si>
  <si>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</si>
  <si>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</si>
  <si>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</si>
  <si>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</si>
  <si>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</si>
  <si>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</si>
  <si>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</si>
  <si>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</si>
  <si>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</si>
  <si>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</si>
  <si>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</si>
  <si>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</si>
  <si>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</si>
  <si>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</si>
  <si>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</si>
  <si>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</si>
  <si>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</si>
  <si>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</si>
  <si>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</si>
  <si>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</si>
  <si>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</si>
  <si>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</si>
  <si>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</si>
  <si>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</si>
  <si>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</si>
  <si>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</si>
  <si>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</si>
  <si>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</si>
  <si>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</si>
  <si>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</si>
  <si>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</si>
  <si>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</si>
  <si>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</si>
  <si>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</si>
  <si>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</si>
  <si>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</si>
  <si>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</si>
  <si>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</si>
  <si>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</si>
  <si>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</si>
  <si>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</si>
  <si>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</si>
  <si>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</si>
  <si>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</si>
  <si>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</si>
  <si>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</si>
  <si>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</si>
  <si>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</si>
  <si>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</si>
  <si>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</si>
  <si>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</si>
  <si>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</si>
  <si>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</si>
  <si>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</si>
  <si>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</si>
  <si>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</si>
  <si>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</si>
  <si>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</si>
  <si>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</si>
  <si>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</si>
  <si>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</si>
  <si>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</si>
  <si>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</si>
  <si>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</si>
  <si>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</si>
  <si>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</si>
  <si>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</si>
  <si>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</si>
  <si>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</si>
  <si>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</si>
  <si>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</si>
  <si>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</si>
  <si>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</si>
  <si>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</si>
  <si>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</si>
  <si>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</si>
  <si>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</si>
  <si>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</si>
  <si>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</si>
  <si>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</si>
  <si>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</si>
  <si>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</si>
  <si>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</si>
  <si>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</si>
  <si>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</si>
  <si>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</si>
  <si>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</si>
  <si>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</si>
  <si>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</si>
  <si>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</si>
  <si>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</si>
  <si>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</si>
  <si>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</si>
  <si>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</si>
  <si>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</si>
  <si>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</si>
  <si>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</si>
  <si>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</si>
  <si>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</si>
  <si>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</si>
  <si>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</si>
  <si>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</si>
  <si>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</si>
  <si>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</si>
  <si>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</si>
  <si>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</si>
  <si>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</si>
  <si>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</si>
  <si>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</si>
  <si>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</si>
  <si>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</si>
  <si>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</si>
  <si>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</si>
  <si>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</si>
  <si>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</si>
  <si>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</si>
  <si>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</si>
  <si>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</si>
  <si>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</si>
  <si>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</si>
  <si>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</si>
  <si>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</si>
  <si>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</si>
  <si>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</si>
  <si>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</si>
  <si>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</si>
  <si>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</si>
  <si>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</si>
  <si>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</si>
  <si>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</si>
  <si>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</si>
  <si>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</si>
  <si>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</si>
  <si>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</si>
  <si>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</si>
  <si>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</si>
  <si>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</si>
  <si>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</si>
  <si>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</si>
  <si>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</si>
  <si>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</si>
  <si>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</si>
  <si>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</si>
  <si>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</si>
  <si>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</si>
  <si>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</si>
  <si>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</si>
  <si>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</si>
  <si>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</si>
  <si>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</si>
  <si>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</si>
  <si>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</si>
  <si>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</si>
  <si>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</si>
  <si>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</si>
  <si>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</si>
  <si>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</si>
  <si>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</si>
  <si>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</si>
  <si>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</si>
  <si>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</si>
  <si>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</si>
  <si>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</si>
  <si>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</si>
  <si>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</si>
  <si>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</si>
  <si>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</si>
  <si>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</si>
  <si>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</si>
  <si>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</si>
  <si>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</si>
  <si>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</si>
  <si>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</si>
  <si>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</si>
  <si>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</si>
  <si>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</si>
  <si>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</si>
  <si>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</si>
  <si>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</si>
  <si>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</si>
  <si>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</si>
  <si>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</si>
  <si>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</si>
  <si>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</si>
  <si>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</si>
  <si>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</si>
  <si>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</si>
  <si>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</si>
  <si>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</si>
  <si>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</si>
  <si>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</si>
  <si>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</si>
  <si>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</si>
  <si>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</si>
  <si>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</si>
  <si>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</si>
  <si>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</si>
  <si>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</si>
  <si>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</si>
  <si>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</si>
  <si>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</si>
  <si>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</si>
  <si>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</si>
  <si>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</si>
  <si>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</si>
  <si>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</si>
  <si>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</si>
  <si>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</si>
  <si>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</si>
  <si>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</si>
  <si>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</si>
  <si>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</si>
  <si>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</si>
  <si>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</si>
  <si>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</si>
  <si>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</si>
  <si>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</si>
  <si>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</si>
  <si>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</si>
  <si>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</si>
  <si>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</si>
  <si>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</si>
  <si>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</si>
  <si>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</si>
  <si>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</si>
  <si>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</si>
  <si>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</si>
  <si>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</si>
  <si>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</si>
  <si>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</si>
  <si>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</si>
  <si>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</si>
  <si>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</si>
  <si>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</si>
  <si>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</si>
  <si>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</si>
  <si>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</si>
  <si>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</si>
  <si>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</si>
  <si>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</si>
  <si>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</si>
  <si>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</si>
  <si>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</si>
  <si>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</si>
  <si>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</si>
  <si>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</si>
  <si>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</si>
  <si>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</si>
  <si>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</si>
  <si>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</si>
  <si>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</si>
  <si>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</si>
  <si>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</si>
  <si>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</si>
  <si>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</si>
  <si>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</si>
  <si>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</si>
  <si>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</si>
  <si>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</si>
  <si>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</si>
  <si>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</si>
  <si>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</si>
  <si>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</si>
  <si>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</si>
  <si>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</si>
  <si>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</si>
  <si>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</si>
  <si>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</si>
  <si>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</si>
  <si>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</si>
  <si>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</si>
  <si>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</si>
  <si>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</si>
  <si>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</si>
  <si>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</si>
  <si>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</si>
  <si>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</si>
  <si>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</si>
  <si>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</si>
  <si>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</si>
  <si>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</si>
  <si>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</si>
  <si>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</si>
  <si>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</si>
  <si>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</si>
  <si>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</si>
  <si>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</si>
  <si>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</si>
  <si>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</si>
  <si>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</si>
  <si>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</si>
  <si>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</si>
  <si>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</si>
  <si>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</si>
  <si>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</si>
  <si>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</si>
  <si>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</si>
  <si>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</si>
  <si>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</si>
  <si>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</si>
  <si>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</si>
  <si>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</si>
  <si>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</si>
  <si>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</si>
  <si>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</si>
  <si>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</si>
  <si>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</si>
  <si>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</si>
  <si>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</si>
  <si>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</si>
  <si>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</si>
  <si>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</si>
  <si>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</si>
  <si>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</si>
  <si>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</si>
  <si>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</si>
  <si>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</si>
  <si>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</si>
  <si>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</si>
  <si>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</si>
  <si>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</si>
  <si>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</si>
  <si>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</si>
  <si>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</si>
  <si>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</si>
  <si>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</si>
  <si>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</si>
  <si>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</si>
  <si>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</si>
  <si>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</si>
  <si>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</si>
  <si>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</si>
  <si>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</si>
  <si>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</si>
  <si>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</si>
  <si>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</si>
  <si>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</si>
  <si>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</si>
  <si>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</si>
  <si>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</si>
  <si>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</si>
  <si>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</si>
  <si>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</si>
  <si>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</si>
  <si>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</si>
  <si>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</si>
  <si>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</si>
  <si>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</si>
  <si>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</si>
  <si>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</si>
  <si>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</si>
  <si>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</si>
  <si>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</si>
  <si>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</si>
  <si>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</si>
  <si>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</si>
  <si>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</si>
  <si>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</si>
  <si>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</si>
  <si>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</si>
  <si>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</si>
  <si>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</si>
  <si>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</si>
  <si>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</si>
  <si>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</si>
  <si>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</si>
  <si>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</si>
  <si>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</si>
  <si>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</si>
  <si>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</si>
  <si>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</si>
  <si>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</si>
  <si>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</si>
  <si>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</si>
  <si>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</si>
  <si>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</si>
  <si>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</si>
  <si>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</si>
  <si>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</si>
  <si>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</si>
  <si>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</si>
  <si>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</si>
  <si>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</si>
  <si>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</si>
  <si>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</si>
  <si>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</si>
  <si>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</si>
  <si>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</si>
  <si>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</si>
  <si>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</si>
  <si>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</si>
  <si>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</si>
  <si>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</si>
  <si>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</si>
  <si>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</si>
  <si>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</si>
  <si>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</si>
  <si>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</si>
  <si>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</si>
  <si>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</si>
  <si>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</si>
  <si>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</si>
  <si>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</si>
  <si>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</si>
  <si>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</si>
  <si>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</si>
  <si>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</si>
  <si>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</si>
  <si>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</si>
  <si>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</si>
  <si>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</si>
  <si>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</si>
  <si>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</si>
  <si>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</si>
  <si>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</si>
  <si>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</si>
  <si>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</si>
  <si>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</si>
  <si>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</si>
  <si>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</si>
  <si>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</si>
  <si>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</si>
  <si>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</si>
  <si>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</si>
  <si>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</si>
  <si>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</si>
  <si>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</si>
  <si>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</si>
  <si>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</si>
  <si>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</si>
  <si>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</si>
  <si>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</si>
  <si>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</si>
  <si>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</si>
  <si>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</si>
  <si>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</si>
  <si>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</si>
  <si>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</si>
  <si>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</si>
  <si>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</si>
  <si>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</si>
  <si>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</si>
  <si>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</si>
  <si>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</si>
  <si>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</si>
  <si>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</si>
  <si>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</si>
  <si>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</si>
  <si>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</si>
  <si>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</si>
  <si>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</si>
  <si>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</si>
  <si>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</si>
  <si>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</si>
  <si>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</si>
  <si>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</si>
  <si>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</si>
  <si>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</si>
  <si>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</si>
  <si>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</si>
  <si>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</si>
  <si>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</si>
  <si>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</si>
  <si>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</si>
  <si>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</si>
  <si>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</si>
  <si>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</si>
  <si>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</si>
  <si>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</si>
  <si>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</si>
  <si>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</si>
  <si>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</si>
  <si>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</si>
  <si>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</si>
  <si>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</si>
  <si>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</si>
  <si>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</si>
  <si>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</si>
  <si>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</si>
  <si>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</si>
  <si>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</si>
  <si>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</si>
  <si>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</si>
  <si>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</si>
  <si>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</si>
  <si>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</si>
  <si>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</si>
  <si>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</si>
  <si>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</si>
  <si>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</si>
  <si>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</si>
  <si>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</si>
  <si>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</si>
  <si>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</si>
  <si>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</si>
  <si>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</si>
  <si>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</si>
  <si>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</si>
  <si>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</si>
  <si>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</si>
  <si>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</si>
  <si>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</si>
  <si>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</si>
  <si>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</si>
  <si>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</si>
  <si>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</si>
  <si>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</si>
  <si>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</si>
  <si>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</si>
  <si>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</si>
  <si>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</si>
  <si>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</si>
  <si>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</si>
  <si>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</si>
  <si>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</si>
  <si>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</si>
  <si>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</si>
  <si>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</si>
  <si>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</si>
  <si>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</si>
  <si>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</si>
  <si>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</si>
  <si>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</si>
  <si>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</si>
  <si>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</si>
  <si>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</si>
  <si>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</si>
  <si>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</si>
  <si>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</si>
  <si>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</si>
  <si>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</si>
  <si>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</si>
  <si>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</si>
  <si>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</si>
  <si>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</si>
  <si>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</si>
  <si>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</si>
  <si>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</si>
  <si>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</si>
  <si>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</si>
  <si>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</si>
  <si>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</si>
  <si>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</si>
  <si>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</si>
  <si>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</si>
  <si>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</si>
  <si>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</si>
  <si>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</si>
  <si>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</si>
  <si>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</si>
  <si>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</si>
  <si>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</si>
  <si>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</si>
  <si>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</si>
  <si>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</si>
  <si>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</si>
  <si>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</si>
  <si>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</si>
  <si>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</si>
  <si>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</si>
  <si>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</si>
  <si>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</si>
  <si>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</si>
  <si>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</si>
  <si>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</si>
  <si>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</si>
  <si>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</si>
  <si>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</si>
  <si>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</si>
  <si>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</si>
  <si>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</si>
  <si>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</si>
  <si>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</si>
  <si>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</si>
  <si>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</si>
  <si>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</si>
  <si>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</si>
  <si>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</si>
  <si>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</si>
  <si>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</si>
  <si>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</si>
  <si>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</si>
  <si>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</si>
  <si>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</si>
  <si>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</si>
  <si>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</si>
  <si>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</si>
  <si>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</si>
  <si>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</si>
  <si>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</si>
  <si>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</si>
  <si>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</si>
  <si>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</si>
  <si>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</si>
  <si>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</si>
  <si>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</si>
  <si>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</si>
  <si>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</si>
  <si>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</si>
  <si>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</si>
  <si>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</si>
  <si>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</si>
  <si>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</si>
  <si>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</si>
  <si>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</si>
  <si>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</si>
  <si>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</si>
  <si>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</si>
  <si>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</si>
  <si>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</si>
  <si>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</si>
  <si>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</si>
  <si>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</si>
  <si>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</si>
  <si>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</si>
  <si>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</si>
  <si>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</si>
  <si>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</si>
  <si>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</si>
  <si>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</si>
  <si>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</si>
  <si>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</si>
  <si>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</si>
  <si>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</si>
  <si>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</si>
  <si>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</si>
  <si>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</si>
  <si>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</si>
  <si>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</si>
  <si>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</si>
  <si>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</si>
  <si>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</si>
  <si>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</si>
  <si>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</si>
  <si>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</si>
  <si>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</si>
  <si>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</si>
  <si>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</si>
  <si>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</si>
  <si>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</si>
  <si>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</si>
  <si>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</si>
  <si>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</si>
  <si>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</si>
  <si>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</si>
  <si>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</si>
  <si>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</si>
  <si>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</si>
  <si>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</si>
  <si>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</si>
  <si>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</si>
  <si>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</si>
  <si>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</si>
  <si>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</si>
  <si>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</si>
  <si>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</si>
  <si>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</si>
  <si>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</si>
  <si>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</si>
  <si>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</si>
  <si>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</si>
  <si>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</si>
  <si>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</si>
  <si>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</si>
  <si>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</si>
  <si>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</si>
  <si>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</si>
  <si>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</si>
  <si>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</si>
  <si>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</si>
  <si>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</si>
  <si>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</si>
  <si>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</si>
  <si>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</si>
  <si>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</si>
  <si>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</si>
  <si>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</si>
  <si>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</si>
  <si>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</si>
  <si>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</si>
  <si>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</si>
  <si>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</si>
  <si>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</si>
  <si>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</si>
  <si>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</si>
  <si>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</si>
  <si>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</si>
  <si>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</si>
  <si>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</si>
  <si>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</si>
  <si>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</si>
  <si>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</si>
  <si>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</si>
  <si>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</si>
  <si>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</si>
  <si>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</si>
  <si>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</si>
  <si>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</si>
  <si>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</si>
  <si>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</si>
  <si>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</si>
  <si>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</si>
  <si>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</si>
  <si>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</si>
  <si>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</si>
  <si>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</si>
  <si>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</si>
  <si>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</si>
  <si>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</si>
  <si>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</si>
  <si>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</si>
  <si>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</si>
  <si>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</si>
  <si>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</si>
  <si>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</si>
  <si>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</si>
  <si>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</si>
  <si>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</si>
  <si>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</si>
  <si>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</si>
  <si>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</si>
  <si>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</si>
  <si>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</si>
  <si>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</si>
  <si>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</si>
  <si>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</si>
  <si>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</si>
  <si>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</si>
  <si>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</si>
  <si>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</si>
  <si>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</si>
  <si>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</si>
  <si>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</si>
  <si>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</si>
  <si>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</si>
  <si>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</si>
  <si>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</si>
  <si>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</si>
  <si>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</si>
  <si>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</si>
  <si>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</si>
  <si>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</si>
  <si>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</si>
  <si>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</si>
  <si>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</si>
  <si>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</si>
  <si>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</si>
  <si>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</si>
  <si>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</si>
  <si>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</si>
  <si>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</si>
  <si>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</si>
  <si>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</si>
  <si>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</si>
  <si>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</si>
  <si>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</si>
  <si>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</si>
  <si>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</si>
  <si>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</si>
  <si>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</si>
  <si>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</si>
  <si>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</si>
  <si>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</si>
  <si>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</si>
  <si>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</si>
  <si>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</si>
  <si>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</si>
  <si>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</si>
  <si>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</si>
  <si>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</si>
  <si>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</si>
  <si>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</si>
  <si>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</si>
  <si>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</si>
  <si>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</si>
  <si>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</si>
  <si>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</si>
  <si>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</si>
  <si>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</si>
  <si>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</si>
  <si>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</si>
  <si>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</si>
  <si>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</si>
  <si>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</si>
  <si>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</si>
  <si>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</si>
  <si>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</si>
  <si>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</si>
  <si>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</si>
  <si>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</si>
  <si>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</si>
  <si>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</si>
  <si>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</si>
  <si>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</si>
  <si>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</si>
  <si>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</si>
  <si>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</si>
  <si>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</si>
  <si>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</si>
  <si>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</si>
  <si>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</si>
  <si>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</si>
  <si>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</si>
  <si>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</si>
  <si>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</si>
  <si>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</si>
  <si>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</si>
  <si>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</si>
  <si>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</si>
  <si>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</si>
  <si>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</si>
  <si>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</si>
  <si>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</si>
  <si>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</si>
  <si>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</si>
  <si>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</si>
  <si>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</si>
  <si>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</si>
  <si>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</si>
  <si>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</si>
  <si>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</si>
  <si>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</si>
  <si>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</si>
  <si>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</si>
  <si>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</si>
  <si>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</si>
  <si>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</si>
  <si>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</si>
  <si>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</si>
  <si>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</si>
  <si>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</si>
  <si>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</si>
  <si>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</si>
  <si>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</si>
  <si>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</si>
  <si>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</si>
  <si>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</si>
  <si>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</si>
  <si>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</si>
  <si>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</si>
  <si>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</si>
  <si>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</si>
  <si>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</si>
  <si>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</si>
  <si>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</si>
  <si>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</si>
  <si>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</si>
  <si>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</si>
  <si>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</si>
  <si>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</si>
  <si>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</si>
  <si>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</si>
  <si>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</si>
  <si>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</si>
  <si>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</si>
  <si>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</si>
  <si>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</si>
  <si>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</si>
  <si>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</si>
  <si>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</si>
  <si>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</si>
  <si>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</si>
  <si>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</si>
  <si>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</si>
  <si>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</si>
  <si>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</si>
  <si>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</si>
  <si>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</si>
  <si>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</si>
  <si>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</si>
  <si>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</si>
  <si>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</si>
  <si>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</si>
  <si>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</si>
  <si>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</si>
  <si>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</si>
  <si>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</si>
  <si>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</si>
  <si>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</si>
  <si>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</si>
  <si>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</si>
  <si>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</si>
  <si>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</si>
  <si>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</si>
  <si>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</si>
  <si>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</si>
  <si>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</si>
  <si>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</si>
  <si>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</si>
  <si>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</si>
  <si>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</si>
  <si>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</si>
  <si>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</si>
  <si>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</si>
  <si>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</si>
  <si>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</si>
  <si>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</si>
  <si>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</si>
  <si>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</si>
  <si>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</si>
  <si>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</si>
  <si>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</si>
  <si>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</si>
  <si>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</si>
  <si>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</si>
  <si>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</si>
  <si>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</si>
  <si>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</si>
  <si>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</si>
  <si>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</si>
  <si>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</si>
  <si>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</si>
  <si>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</si>
  <si>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</si>
  <si>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</si>
  <si>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</si>
  <si>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</si>
  <si>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</si>
  <si>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</si>
  <si>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</si>
  <si>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</si>
  <si>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</si>
  <si>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</si>
  <si>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</si>
  <si>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</si>
  <si>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</si>
  <si>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</si>
  <si>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</si>
  <si>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</si>
  <si>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</si>
  <si>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</si>
  <si>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</si>
  <si>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</si>
  <si>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</si>
  <si>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</si>
  <si>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</si>
  <si>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</si>
  <si>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</si>
  <si>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</si>
  <si>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</si>
  <si>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</si>
  <si>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</si>
  <si>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</si>
  <si>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</si>
  <si>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</si>
  <si>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</si>
  <si>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</si>
  <si>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</si>
  <si>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</si>
  <si>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</si>
  <si>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</si>
  <si>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</si>
  <si>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</si>
  <si>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</si>
  <si>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</si>
  <si>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</si>
  <si>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</si>
  <si>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</si>
  <si>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</si>
  <si>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</si>
  <si>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</si>
  <si>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</si>
  <si>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</si>
  <si>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</si>
  <si>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</si>
  <si>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</si>
  <si>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</si>
  <si>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</si>
  <si>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</si>
  <si>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</si>
  <si>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</si>
  <si>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</si>
  <si>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</si>
  <si>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</si>
  <si>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</si>
  <si>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</si>
  <si>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</si>
  <si>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</si>
  <si>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</si>
  <si>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</si>
  <si>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</si>
  <si>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</si>
  <si>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</si>
  <si>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</si>
  <si>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</si>
  <si>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</si>
  <si>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</si>
  <si>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</si>
  <si>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</si>
  <si>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</si>
  <si>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</si>
  <si>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</si>
  <si>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</si>
  <si>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</si>
  <si>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</si>
  <si>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</si>
  <si>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</si>
  <si>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</si>
  <si>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</si>
  <si>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</si>
  <si>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</si>
  <si>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</si>
  <si>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</si>
  <si>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</si>
  <si>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</si>
  <si>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</si>
  <si>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</si>
  <si>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</si>
  <si>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</si>
  <si>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</si>
  <si>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</si>
  <si>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</si>
  <si>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</si>
  <si>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</si>
  <si>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</si>
  <si>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</si>
  <si>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</si>
  <si>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</si>
  <si>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</si>
  <si>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</si>
  <si>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</si>
  <si>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</si>
  <si>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</si>
  <si>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</si>
  <si>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</si>
  <si>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</si>
  <si>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</si>
  <si>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</si>
  <si>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</si>
  <si>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</si>
  <si>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</si>
  <si>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</si>
  <si>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</si>
  <si>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</si>
  <si>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</si>
  <si>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</si>
  <si>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</si>
  <si>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</si>
  <si>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</si>
  <si>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</si>
  <si>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</si>
  <si>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</si>
  <si>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</si>
  <si>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</si>
  <si>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</si>
  <si>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</si>
  <si>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</si>
  <si>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</si>
  <si>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</si>
  <si>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</si>
  <si>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</si>
  <si>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</si>
  <si>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</si>
  <si>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</si>
  <si>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</si>
  <si>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</si>
  <si>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</si>
  <si>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</si>
  <si>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</si>
  <si>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</si>
  <si>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</si>
  <si>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</si>
  <si>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</si>
  <si>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</si>
  <si>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</si>
  <si>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</si>
  <si>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</si>
  <si>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</si>
  <si>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</si>
  <si>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</si>
  <si>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</si>
  <si>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</si>
  <si>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</si>
  <si>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</si>
  <si>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</si>
  <si>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</si>
  <si>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</si>
  <si>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</si>
  <si>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</si>
  <si>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</si>
  <si>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</si>
  <si>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</si>
  <si>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</si>
  <si>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</si>
  <si>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</si>
  <si>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</si>
  <si>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</si>
  <si>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</si>
  <si>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</si>
  <si>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</si>
  <si>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</si>
  <si>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</si>
  <si>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</si>
  <si>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</si>
  <si>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</si>
  <si>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</si>
  <si>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</si>
  <si>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</si>
  <si>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</si>
  <si>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</si>
  <si>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</si>
  <si>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</si>
  <si>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</si>
  <si>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</si>
  <si>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</si>
  <si>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</si>
  <si>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</si>
  <si>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</si>
  <si>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</si>
  <si>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</si>
  <si>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</si>
  <si>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</si>
  <si>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</si>
  <si>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</si>
  <si>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</si>
  <si>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</si>
  <si>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</si>
  <si>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</si>
  <si>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</si>
  <si>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</si>
  <si>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</si>
  <si>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</si>
  <si>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</si>
  <si>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</si>
  <si>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</si>
  <si>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</si>
  <si>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</si>
  <si>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</si>
  <si>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</si>
  <si>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</si>
  <si>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</si>
  <si>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</si>
  <si>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</si>
  <si>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</si>
  <si>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</si>
  <si>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</si>
  <si>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</si>
  <si>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</si>
  <si>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</si>
  <si>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</si>
  <si>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</si>
  <si>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</si>
  <si>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</si>
  <si>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</si>
  <si>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</si>
  <si>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</si>
  <si>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</si>
  <si>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</si>
  <si>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</si>
  <si>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</si>
  <si>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</si>
  <si>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</si>
  <si>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</si>
  <si>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</si>
  <si>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</si>
  <si>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</si>
  <si>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</si>
  <si>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</si>
  <si>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</si>
  <si>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</si>
  <si>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</si>
  <si>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</si>
  <si>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</si>
  <si>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</si>
  <si>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</si>
  <si>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</si>
  <si>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</si>
  <si>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</si>
  <si>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</si>
  <si>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</si>
  <si>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</si>
  <si>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</si>
  <si>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</si>
  <si>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</si>
  <si>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</si>
  <si>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</si>
  <si>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</si>
  <si>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</si>
  <si>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</si>
  <si>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</si>
  <si>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</si>
  <si>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</si>
  <si>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</si>
  <si>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</si>
  <si>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</si>
  <si>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</si>
  <si>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</si>
  <si>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</si>
  <si>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</si>
  <si>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</si>
  <si>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</si>
  <si>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</si>
  <si>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</si>
  <si>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</si>
  <si>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</si>
  <si>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</si>
  <si>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</si>
  <si>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</si>
  <si>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</si>
  <si>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</si>
  <si>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</si>
  <si>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</si>
  <si>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</si>
  <si>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</si>
  <si>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</si>
  <si>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</si>
  <si>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</si>
  <si>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</si>
  <si>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</si>
  <si>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</si>
  <si>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</si>
  <si>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</si>
  <si>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</si>
  <si>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</si>
  <si>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</si>
  <si>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</si>
  <si>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</si>
  <si>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</si>
  <si>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</si>
  <si>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</si>
  <si>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</si>
  <si>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</si>
  <si>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</si>
  <si>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</si>
  <si>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</si>
  <si>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</si>
  <si>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</si>
  <si>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</si>
  <si>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</si>
  <si>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</si>
  <si>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</si>
  <si>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</si>
  <si>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</si>
  <si>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</si>
  <si>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</si>
  <si>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</si>
  <si>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</si>
  <si>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</si>
  <si>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</si>
  <si>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</si>
  <si>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</si>
  <si>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</si>
  <si>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</si>
  <si>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</si>
  <si>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</si>
  <si>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</si>
  <si>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</si>
  <si>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</si>
  <si>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</si>
  <si>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</si>
  <si>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</si>
  <si>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</si>
  <si>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</si>
  <si>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</si>
  <si>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</si>
  <si>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</si>
  <si>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</si>
  <si>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</si>
  <si>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</si>
  <si>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</si>
  <si>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</si>
  <si>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</si>
  <si>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</si>
  <si>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</si>
  <si>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</si>
  <si>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</si>
  <si>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</si>
  <si>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</si>
  <si>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</si>
  <si>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</si>
  <si>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</si>
  <si>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</si>
  <si>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</si>
  <si>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</si>
  <si>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</si>
  <si>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</si>
  <si>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</si>
  <si>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</si>
  <si>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</si>
  <si>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</si>
  <si>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</si>
  <si>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</si>
  <si>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</si>
  <si>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</si>
  <si>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</si>
  <si>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</si>
  <si>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</si>
  <si>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</si>
  <si>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</si>
  <si>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</si>
  <si>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</si>
  <si>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</si>
  <si>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</si>
  <si>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</si>
  <si>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</si>
  <si>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</si>
  <si>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</si>
  <si>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</si>
  <si>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</si>
  <si>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</si>
  <si>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</si>
  <si>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</si>
  <si>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</si>
  <si>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</si>
  <si>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</si>
  <si>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</si>
  <si>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</si>
  <si>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</si>
  <si>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</si>
  <si>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</si>
  <si>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</si>
  <si>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</si>
  <si>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</si>
  <si>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</si>
  <si>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</si>
  <si>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</si>
  <si>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</si>
  <si>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</si>
  <si>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</si>
  <si>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</si>
  <si>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</si>
  <si>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</si>
  <si>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</si>
  <si>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</si>
  <si>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</si>
  <si>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</si>
  <si>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</si>
  <si>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</si>
  <si>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</si>
  <si>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</si>
  <si>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</si>
  <si>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</si>
  <si>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</si>
  <si>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</si>
  <si>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</si>
  <si>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</si>
  <si>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</si>
  <si>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</si>
  <si>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</si>
  <si>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</si>
  <si>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</si>
  <si>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</si>
  <si>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</si>
  <si>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</si>
  <si>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</si>
  <si>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</si>
  <si>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</si>
  <si>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</si>
  <si>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</si>
  <si>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</si>
  <si>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</si>
  <si>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</si>
  <si>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</si>
  <si>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</si>
  <si>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</si>
  <si>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</si>
  <si>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</si>
  <si>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</si>
  <si>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</si>
  <si>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</si>
  <si>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</si>
  <si>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</si>
  <si>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</si>
  <si>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</si>
  <si>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</si>
  <si>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</si>
  <si>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</si>
  <si>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</si>
  <si>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</si>
  <si>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</si>
  <si>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</si>
  <si>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</si>
  <si>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</si>
  <si>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</si>
  <si>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</si>
  <si>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</si>
  <si>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</si>
  <si>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</si>
  <si>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</si>
  <si>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</si>
  <si>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</si>
  <si>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</si>
  <si>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</si>
  <si>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</si>
  <si>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</si>
  <si>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</si>
  <si>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</si>
  <si>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</si>
  <si>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</si>
  <si>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</si>
  <si>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</si>
  <si>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</si>
  <si>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</si>
  <si>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</si>
  <si>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</si>
  <si>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</si>
  <si>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</si>
  <si>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</si>
  <si>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</si>
  <si>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</si>
  <si>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</si>
  <si>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</si>
  <si>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</si>
  <si>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</si>
  <si>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</si>
  <si>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</si>
  <si>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</si>
  <si>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</si>
  <si>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</si>
  <si>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</si>
  <si>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</si>
  <si>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</si>
  <si>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</si>
  <si>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</si>
  <si>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</si>
  <si>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</si>
  <si>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</si>
  <si>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</si>
  <si>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</si>
  <si>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</si>
  <si>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</si>
  <si>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</si>
  <si>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</si>
  <si>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</si>
  <si>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</si>
  <si>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</si>
  <si>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</si>
  <si>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</si>
  <si>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</si>
  <si>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</si>
  <si>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</si>
  <si>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</si>
  <si>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</si>
  <si>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</si>
  <si>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</si>
  <si>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</si>
  <si>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</si>
  <si>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</si>
  <si>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</si>
  <si>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</si>
  <si>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</si>
  <si>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</si>
  <si>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</si>
  <si>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</si>
  <si>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</si>
  <si>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</si>
  <si>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</si>
  <si>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</si>
  <si>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</si>
  <si>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</si>
  <si>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</si>
  <si>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</si>
  <si>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</si>
  <si>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</si>
  <si>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</si>
  <si>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</si>
  <si>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</si>
  <si>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</si>
  <si>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</si>
  <si>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</si>
  <si>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</si>
  <si>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</si>
  <si>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</si>
  <si>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</si>
  <si>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</si>
  <si>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</si>
  <si>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</si>
  <si>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</si>
  <si>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</si>
  <si>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</si>
  <si>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</si>
  <si>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</si>
  <si>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</si>
  <si>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</si>
  <si>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</si>
  <si>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</si>
  <si>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</si>
  <si>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</si>
  <si>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</si>
  <si>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</si>
  <si>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</si>
  <si>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</si>
  <si>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</si>
  <si>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</si>
  <si>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</si>
  <si>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</si>
  <si>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</si>
  <si>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</si>
  <si>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</si>
  <si>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</si>
  <si>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</si>
  <si>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</si>
  <si>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</si>
  <si>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</si>
  <si>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</si>
  <si>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</si>
  <si>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</si>
  <si>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</si>
  <si>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</si>
  <si>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</si>
  <si>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</si>
  <si>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</si>
  <si>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</si>
  <si>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</si>
  <si>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</si>
  <si>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</si>
  <si>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</si>
  <si>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</si>
  <si>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</si>
  <si>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</si>
  <si>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</si>
  <si>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</si>
  <si>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</si>
  <si>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</si>
  <si>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</si>
  <si>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</si>
  <si>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</si>
  <si>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</si>
  <si>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</si>
  <si>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</si>
  <si>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</si>
  <si>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</si>
  <si>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</si>
  <si>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</si>
  <si>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</si>
  <si>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</si>
  <si>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</si>
  <si>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</si>
  <si>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</si>
  <si>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</si>
  <si>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</si>
  <si>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</si>
  <si>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</si>
  <si>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</si>
  <si>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</si>
  <si>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</si>
  <si>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</si>
  <si>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</si>
  <si>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</si>
  <si>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</si>
  <si>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</si>
  <si>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</si>
  <si>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</si>
  <si>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</si>
  <si>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</si>
  <si>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</si>
  <si>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</si>
  <si>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</si>
  <si>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</si>
  <si>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</si>
  <si>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</si>
  <si>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</si>
  <si>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</si>
  <si>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</si>
  <si>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</si>
  <si>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</si>
  <si>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</si>
  <si>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</si>
  <si>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</si>
  <si>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</si>
  <si>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</si>
  <si>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</si>
  <si>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</si>
  <si>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</si>
  <si>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</si>
  <si>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</si>
  <si>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</si>
  <si>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</si>
  <si>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</si>
  <si>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</si>
  <si>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</si>
  <si>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</si>
  <si>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</si>
  <si>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</si>
  <si>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</si>
  <si>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</si>
  <si>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</si>
  <si>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</si>
  <si>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</si>
  <si>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</si>
  <si>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</si>
  <si>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</si>
  <si>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</si>
  <si>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</si>
  <si>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</si>
  <si>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</si>
  <si>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</si>
  <si>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</si>
  <si>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</si>
  <si>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</si>
  <si>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</si>
  <si>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</si>
  <si>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</si>
  <si>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</si>
  <si>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</si>
  <si>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</si>
  <si>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</si>
  <si>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</si>
  <si>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</si>
  <si>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</si>
  <si>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</si>
  <si>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</si>
  <si>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</si>
  <si>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</si>
  <si>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</si>
  <si>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</si>
  <si>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</si>
  <si>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</si>
  <si>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</si>
  <si>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</si>
  <si>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</si>
  <si>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</si>
  <si>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</si>
  <si>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</si>
  <si>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</si>
  <si>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</si>
  <si>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</si>
  <si>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</si>
  <si>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</si>
  <si>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</si>
  <si>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</si>
  <si>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</si>
  <si>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</si>
  <si>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</si>
  <si>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</si>
  <si>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</si>
  <si>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</si>
  <si>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</si>
  <si>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</si>
  <si>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</si>
  <si>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</si>
  <si>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</si>
  <si>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</si>
  <si>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</si>
  <si>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</si>
  <si>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</si>
  <si>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</si>
  <si>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</si>
  <si>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</si>
  <si>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</si>
  <si>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</si>
  <si>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</si>
  <si>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</si>
  <si>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</si>
  <si>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</si>
  <si>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</si>
  <si>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</si>
  <si>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</si>
  <si>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</si>
  <si>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</si>
  <si>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</si>
  <si>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</si>
  <si>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</si>
  <si>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</si>
  <si>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</si>
  <si>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</si>
  <si>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</si>
  <si>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</si>
  <si>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</si>
  <si>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</si>
  <si>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</si>
  <si>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</si>
  <si>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</si>
  <si>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</si>
  <si>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</si>
  <si>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</si>
  <si>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</si>
  <si>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</si>
  <si>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</si>
  <si>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</si>
  <si>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</si>
  <si>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</si>
  <si>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</si>
  <si>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</si>
  <si>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</si>
  <si>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</si>
  <si>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</si>
  <si>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</si>
  <si>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</si>
  <si>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</si>
  <si>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</si>
  <si>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</si>
  <si>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</si>
  <si>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</si>
  <si>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</si>
  <si>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</si>
  <si>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</si>
  <si>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</si>
  <si>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</si>
  <si>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</si>
  <si>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</si>
  <si>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</si>
  <si>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</si>
  <si>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</si>
  <si>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</si>
  <si>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</si>
  <si>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</si>
  <si>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</si>
  <si>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</si>
  <si>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</si>
  <si>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</si>
  <si>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</si>
  <si>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</si>
  <si>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</si>
  <si>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</si>
  <si>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</si>
  <si>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</si>
  <si>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</si>
  <si>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</si>
  <si>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</si>
  <si>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</si>
  <si>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</si>
  <si>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</si>
  <si>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</si>
  <si>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</si>
  <si>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</si>
  <si>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</si>
  <si>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</si>
  <si>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</si>
  <si>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</si>
  <si>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</si>
  <si>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</si>
  <si>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</si>
  <si>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</si>
  <si>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</si>
  <si>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</si>
  <si>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</si>
  <si>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</si>
  <si>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</si>
  <si>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</si>
  <si>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</si>
  <si>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</si>
  <si>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</si>
  <si>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</si>
  <si>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</si>
  <si>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</si>
  <si>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</si>
  <si>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</si>
  <si>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</si>
  <si>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</si>
  <si>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</si>
  <si>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</si>
  <si>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</si>
  <si>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</si>
  <si>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</si>
  <si>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</si>
  <si>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</si>
  <si>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</si>
  <si>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</si>
  <si>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</si>
  <si>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</si>
  <si>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</si>
  <si>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</si>
  <si>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</si>
  <si>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</si>
  <si>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</si>
  <si>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</si>
  <si>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</si>
  <si>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</si>
  <si>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</si>
  <si>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</si>
  <si>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</si>
  <si>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</si>
  <si>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</si>
  <si>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</si>
  <si>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</si>
  <si>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</si>
  <si>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</si>
  <si>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</si>
  <si>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</si>
  <si>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</si>
  <si>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</si>
  <si>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</si>
  <si>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</si>
  <si>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</si>
  <si>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</si>
  <si>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</si>
  <si>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</si>
  <si>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</si>
  <si>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</si>
  <si>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</si>
  <si>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</si>
  <si>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</si>
  <si>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</si>
  <si>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</si>
  <si>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</si>
  <si>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</si>
  <si>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</si>
  <si>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</si>
  <si>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</si>
  <si>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</si>
  <si>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</si>
  <si>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</si>
  <si>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</si>
  <si>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</si>
  <si>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</si>
  <si>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</si>
  <si>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</si>
  <si>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</si>
  <si>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</si>
  <si>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</si>
  <si>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</si>
  <si>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</si>
  <si>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</si>
  <si>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</si>
  <si>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</si>
  <si>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</si>
  <si>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</si>
  <si>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</si>
  <si>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</si>
  <si>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</si>
  <si>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</si>
  <si>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</si>
  <si>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</si>
  <si>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</si>
  <si>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</si>
  <si>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</si>
  <si>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</si>
  <si>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</si>
  <si>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</si>
  <si>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</si>
  <si>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</si>
  <si>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</si>
  <si>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</si>
  <si>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</si>
  <si>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</si>
  <si>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</si>
  <si>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</si>
  <si>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</si>
  <si>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</si>
  <si>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</si>
  <si>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</si>
  <si>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</si>
  <si>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</si>
  <si>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</si>
  <si>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</si>
  <si>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</si>
  <si>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</si>
  <si>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</si>
  <si>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</si>
  <si>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</si>
  <si>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</si>
  <si>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</si>
  <si>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</si>
  <si>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</si>
  <si>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</si>
  <si>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</si>
  <si>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</si>
  <si>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</si>
  <si>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</si>
  <si>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</si>
  <si>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</si>
  <si>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</si>
  <si>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</si>
  <si>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</si>
  <si>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</si>
  <si>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</si>
  <si>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</si>
  <si>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</si>
  <si>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</si>
  <si>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</si>
  <si>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</si>
  <si>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</si>
  <si>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</si>
  <si>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</si>
  <si>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</si>
  <si>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</si>
  <si>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</si>
  <si>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</si>
  <si>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</si>
  <si>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</si>
  <si>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</si>
  <si>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</si>
  <si>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</si>
  <si>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</si>
  <si>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</si>
  <si>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</si>
  <si>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</si>
  <si>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</si>
  <si>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</si>
  <si>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</si>
  <si>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</si>
  <si>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</si>
  <si>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</si>
  <si>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</si>
  <si>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</si>
  <si>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</si>
  <si>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</si>
  <si>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</si>
  <si>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</si>
  <si>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</si>
  <si>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</si>
  <si>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</si>
  <si>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</si>
  <si>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</si>
  <si>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</si>
  <si>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</si>
  <si>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</si>
  <si>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</si>
  <si>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</si>
  <si>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</si>
  <si>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</si>
  <si>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</si>
  <si>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</si>
  <si>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</si>
  <si>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</si>
  <si>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</si>
  <si>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</si>
  <si>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</si>
  <si>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</si>
  <si>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</si>
  <si>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</si>
  <si>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</si>
  <si>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</si>
  <si>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</si>
  <si>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</si>
  <si>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</si>
  <si>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</si>
  <si>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</si>
  <si>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</si>
  <si>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</si>
  <si>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</si>
  <si>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</si>
  <si>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</si>
  <si>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</si>
  <si>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</si>
  <si>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</si>
  <si>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</si>
  <si>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</si>
  <si>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</si>
  <si>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</si>
  <si>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</si>
  <si>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</si>
  <si>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</si>
  <si>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</si>
  <si>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</si>
  <si>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</si>
  <si>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</si>
  <si>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</si>
  <si>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</si>
  <si>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</si>
  <si>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</si>
  <si>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</si>
  <si>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</si>
  <si>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</si>
  <si>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</si>
  <si>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</si>
  <si>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</si>
  <si>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</si>
  <si>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</si>
  <si>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</si>
  <si>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</si>
  <si>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</si>
  <si>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</si>
  <si>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</si>
  <si>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</si>
  <si>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</si>
  <si>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</si>
  <si>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</si>
  <si>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</si>
  <si>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</si>
  <si>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</si>
  <si>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</si>
  <si>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</si>
  <si>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</si>
  <si>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</si>
  <si>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</si>
  <si>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</si>
  <si>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</si>
  <si>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</si>
  <si>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</si>
  <si>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</si>
  <si>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</si>
  <si>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</si>
  <si>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</si>
  <si>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</si>
  <si>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</si>
  <si>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</si>
  <si>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</si>
  <si>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</si>
  <si>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</si>
  <si>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</si>
  <si>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</si>
  <si>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</si>
  <si>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</si>
  <si>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</si>
  <si>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</si>
  <si>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</si>
  <si>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</si>
  <si>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</si>
  <si>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</si>
  <si>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</si>
  <si>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</si>
  <si>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</si>
  <si>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</si>
  <si>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</si>
  <si>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</si>
  <si>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</si>
  <si>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</si>
  <si>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</si>
  <si>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</si>
  <si>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</si>
  <si>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</si>
  <si>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</si>
  <si>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</si>
  <si>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</si>
  <si>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</si>
  <si>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</si>
  <si>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</si>
  <si>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</si>
  <si>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</si>
  <si>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</si>
  <si>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</si>
  <si>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</si>
  <si>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</si>
  <si>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</si>
  <si>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</si>
  <si>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</si>
  <si>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</si>
  <si>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</si>
  <si>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</si>
  <si>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</si>
  <si>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</si>
  <si>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</si>
  <si>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</si>
  <si>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</si>
  <si>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</si>
  <si>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</si>
  <si>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</si>
  <si>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</si>
  <si>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</si>
  <si>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</si>
  <si>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</si>
  <si>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</si>
  <si>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</si>
  <si>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</si>
  <si>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</si>
  <si>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</si>
  <si>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</si>
  <si>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</si>
  <si>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</si>
  <si>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</si>
  <si>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</si>
  <si>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</si>
  <si>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</si>
  <si>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</si>
  <si>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</si>
  <si>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</si>
  <si>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</si>
  <si>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</si>
  <si>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</si>
  <si>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</si>
  <si>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</si>
  <si>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</si>
  <si>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</si>
  <si>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</si>
  <si>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</si>
  <si>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</si>
  <si>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</si>
  <si>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</si>
  <si>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</si>
  <si>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</si>
  <si>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</si>
  <si>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</si>
  <si>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</si>
  <si>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</si>
  <si>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</si>
  <si>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</si>
  <si>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</si>
  <si>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</si>
  <si>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</si>
  <si>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</si>
  <si>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</si>
  <si>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</si>
  <si>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</si>
  <si>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</si>
  <si>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</si>
  <si>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</si>
  <si>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</si>
  <si>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</si>
  <si>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</si>
  <si>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</si>
  <si>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</si>
  <si>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</si>
  <si>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</si>
  <si>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</si>
  <si>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</si>
  <si>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</si>
  <si>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</si>
  <si>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</si>
  <si>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</si>
  <si>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</si>
  <si>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</si>
  <si>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</si>
  <si>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</si>
  <si>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</si>
  <si>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</si>
  <si>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</si>
  <si>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</si>
  <si>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</si>
  <si>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</si>
  <si>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</si>
  <si>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</si>
  <si>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</si>
  <si>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</si>
  <si>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</si>
  <si>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</si>
  <si>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</si>
  <si>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</si>
  <si>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</si>
  <si>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</si>
  <si>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</si>
  <si>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</si>
  <si>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</si>
  <si>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</si>
  <si>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</si>
  <si>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</si>
  <si>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</si>
  <si>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</si>
  <si>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</si>
  <si>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</si>
  <si>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</si>
  <si>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</si>
  <si>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</si>
  <si>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</si>
  <si>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</si>
  <si>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</si>
  <si>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</si>
  <si>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</si>
  <si>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</si>
  <si>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</si>
  <si>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</si>
  <si>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</si>
  <si>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</si>
  <si>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</si>
  <si>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</si>
  <si>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</si>
  <si>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</si>
  <si>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</si>
  <si>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</si>
  <si>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</si>
  <si>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</si>
  <si>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</si>
  <si>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</si>
  <si>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</si>
  <si>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</si>
  <si>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</si>
  <si>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</si>
  <si>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</si>
  <si>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</si>
  <si>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</si>
  <si>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</si>
  <si>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</si>
  <si>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</si>
  <si>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</si>
  <si>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</si>
  <si>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</si>
  <si>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</si>
  <si>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</si>
  <si>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</si>
  <si>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</si>
  <si>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</si>
  <si>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</si>
  <si>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</si>
  <si>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</si>
  <si>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</si>
  <si>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</si>
  <si>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</si>
  <si>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</si>
  <si>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</si>
  <si>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</si>
  <si>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</si>
  <si>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</si>
  <si>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</si>
  <si>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</si>
  <si>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</si>
  <si>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</si>
  <si>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</si>
  <si>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</si>
  <si>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</si>
  <si>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</si>
  <si>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</si>
  <si>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</si>
  <si>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</si>
  <si>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</si>
  <si>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</si>
  <si>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</si>
  <si>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</si>
  <si>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</si>
  <si>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</si>
  <si>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</si>
  <si>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</si>
  <si>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</si>
  <si>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</si>
  <si>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</si>
  <si>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</si>
  <si>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</si>
  <si>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</si>
  <si>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</si>
  <si>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</si>
  <si>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</si>
  <si>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</si>
  <si>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</si>
  <si>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</si>
  <si>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</si>
  <si>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</si>
  <si>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</si>
  <si>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</si>
  <si>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</si>
  <si>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</si>
  <si>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</si>
  <si>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</si>
  <si>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</si>
  <si>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</si>
  <si>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</si>
  <si>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</si>
  <si>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</si>
  <si>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</si>
  <si>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</si>
  <si>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</si>
  <si>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</si>
  <si>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</si>
  <si>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</si>
  <si>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</si>
  <si>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</si>
  <si>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</si>
  <si>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</si>
  <si>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</si>
  <si>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</si>
  <si>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</si>
  <si>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</si>
  <si>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</si>
  <si>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</si>
  <si>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</si>
  <si>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</si>
  <si>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</si>
  <si>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</si>
  <si>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</si>
  <si>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</si>
  <si>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</si>
  <si>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</si>
  <si>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</si>
  <si>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</si>
  <si>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</si>
  <si>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</si>
  <si>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</si>
  <si>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</si>
  <si>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</si>
  <si>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</si>
  <si>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</si>
  <si>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</si>
  <si>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</si>
  <si>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</si>
  <si>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</si>
  <si>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</si>
  <si>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</si>
  <si>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</si>
  <si>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</si>
  <si>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</si>
  <si>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</si>
  <si>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</si>
  <si>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</si>
  <si>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</si>
  <si>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</si>
  <si>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</si>
  <si>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</si>
  <si>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</si>
  <si>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</si>
  <si>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</si>
  <si>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</si>
  <si>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</si>
  <si>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</si>
  <si>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</si>
  <si>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</si>
  <si>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</si>
  <si>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</si>
  <si>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</si>
  <si>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</si>
  <si>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</si>
  <si>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</si>
  <si>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</si>
  <si>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</si>
  <si>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</si>
  <si>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</si>
  <si>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</si>
  <si>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</si>
  <si>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</si>
  <si>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</si>
  <si>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</si>
  <si>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</si>
  <si>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</si>
  <si>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</si>
  <si>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</si>
  <si>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</si>
  <si>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</si>
  <si>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</si>
  <si>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</si>
  <si>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</si>
  <si>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</si>
  <si>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</si>
  <si>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</si>
  <si>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</si>
  <si>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</si>
  <si>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</si>
  <si>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</si>
  <si>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</si>
  <si>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</si>
  <si>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</si>
  <si>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</si>
  <si>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</si>
  <si>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</si>
  <si>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</si>
  <si>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</si>
  <si>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</si>
  <si>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</si>
  <si>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</si>
  <si>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</si>
  <si>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</si>
  <si>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</si>
  <si>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</si>
  <si>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</si>
  <si>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</si>
  <si>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</si>
  <si>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</si>
  <si>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</si>
  <si>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</si>
  <si>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</si>
  <si>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</si>
  <si>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</si>
  <si>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</si>
  <si>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</si>
  <si>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</si>
  <si>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</si>
  <si>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</si>
  <si>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</si>
  <si>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</si>
  <si>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</si>
  <si>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</si>
  <si>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</si>
  <si>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</si>
  <si>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</si>
  <si>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</si>
  <si>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</si>
  <si>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</si>
  <si>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</si>
  <si>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</si>
  <si>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</si>
  <si>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</si>
  <si>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</si>
  <si>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</si>
  <si>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</si>
  <si>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</si>
  <si>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</si>
  <si>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</si>
  <si>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</si>
  <si>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</si>
  <si>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</si>
  <si>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</si>
  <si>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</si>
  <si>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</si>
  <si>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</si>
  <si>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</si>
  <si>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</si>
  <si>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</si>
  <si>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</si>
  <si>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</si>
  <si>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</si>
  <si>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</si>
  <si>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</si>
  <si>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</si>
  <si>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</si>
  <si>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</si>
  <si>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</si>
  <si>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</si>
  <si>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</si>
  <si>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</si>
  <si>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</si>
  <si>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</si>
  <si>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</si>
  <si>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</si>
  <si>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</si>
  <si>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</si>
  <si>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</si>
  <si>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</si>
  <si>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</si>
  <si>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</si>
  <si>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</si>
  <si>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</si>
  <si>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</si>
  <si>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</si>
  <si>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</si>
  <si>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</si>
  <si>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</si>
  <si>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</si>
  <si>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</si>
  <si>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</si>
  <si>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</si>
  <si>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</si>
  <si>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</si>
  <si>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</si>
  <si>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</si>
  <si>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</si>
  <si>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</si>
  <si>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</si>
  <si>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</si>
  <si>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</si>
  <si>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</si>
  <si>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</si>
  <si>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</si>
  <si>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</si>
  <si>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</si>
  <si>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</si>
  <si>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</si>
  <si>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</si>
  <si>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</si>
  <si>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</si>
  <si>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</si>
  <si>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</si>
  <si>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</si>
  <si>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</si>
  <si>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</si>
  <si>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</si>
  <si>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</si>
  <si>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</si>
  <si>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</si>
  <si>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</si>
  <si>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</si>
  <si>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</si>
  <si>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</si>
  <si>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</si>
  <si>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</si>
  <si>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</si>
  <si>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</si>
  <si>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</si>
  <si>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</si>
  <si>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</si>
  <si>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</si>
  <si>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</si>
  <si>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</si>
  <si>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</si>
  <si>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</si>
  <si>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</si>
  <si>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</si>
  <si>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</si>
  <si>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</si>
  <si>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</si>
  <si>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</si>
  <si>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</si>
  <si>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</si>
  <si>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</si>
  <si>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</si>
  <si>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</si>
  <si>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</si>
  <si>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</si>
  <si>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</si>
  <si>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</si>
  <si>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</si>
  <si>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</si>
  <si>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</si>
  <si>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</si>
  <si>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</si>
  <si>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</si>
  <si>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</si>
  <si>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</si>
  <si>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</si>
  <si>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</si>
  <si>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</si>
  <si>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</si>
  <si>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</si>
  <si>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</si>
  <si>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</si>
  <si>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</si>
  <si>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</si>
  <si>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</si>
  <si>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</si>
  <si>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</si>
  <si>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</si>
  <si>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</si>
  <si>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</si>
  <si>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</si>
  <si>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</si>
  <si>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</si>
  <si>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</si>
  <si>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</si>
  <si>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</si>
  <si>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</si>
  <si>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</si>
  <si>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</si>
  <si>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</si>
  <si>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</si>
  <si>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</si>
  <si>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</si>
  <si>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</si>
  <si>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</si>
  <si>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</si>
  <si>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</si>
  <si>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</si>
  <si>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</si>
  <si>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</si>
  <si>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</si>
  <si>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</si>
  <si>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</si>
  <si>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</si>
  <si>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</si>
  <si>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</si>
  <si>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</si>
  <si>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</si>
  <si>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</si>
  <si>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</si>
  <si>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</si>
  <si>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</si>
  <si>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</si>
  <si>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</si>
  <si>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</si>
  <si>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</si>
  <si>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</si>
  <si>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</si>
  <si>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</si>
  <si>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</si>
  <si>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</si>
  <si>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</si>
  <si>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</si>
  <si>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</si>
  <si>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</si>
  <si>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</si>
  <si>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</si>
  <si>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</si>
  <si>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</si>
  <si>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</si>
  <si>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</si>
  <si>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</si>
  <si>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</si>
  <si>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</si>
  <si>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</si>
  <si>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</si>
  <si>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</si>
  <si>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</si>
  <si>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</si>
  <si>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</si>
  <si>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</si>
  <si>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</si>
  <si>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</si>
  <si>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</si>
  <si>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</si>
  <si>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</si>
  <si>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</si>
  <si>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</si>
  <si>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</si>
  <si>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</si>
  <si>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</si>
  <si>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</si>
  <si>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</si>
  <si>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</si>
  <si>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</si>
  <si>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</si>
  <si>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</si>
  <si>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</si>
  <si>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</si>
  <si>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</si>
  <si>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</si>
  <si>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</si>
  <si>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</si>
  <si>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</si>
  <si>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</si>
  <si>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</si>
  <si>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</si>
  <si>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</si>
  <si>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</si>
  <si>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</si>
  <si>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</si>
  <si>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</si>
  <si>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</si>
  <si>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</si>
  <si>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</si>
  <si>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</si>
  <si>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</si>
  <si>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</si>
  <si>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</si>
  <si>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</si>
  <si>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</si>
  <si>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</si>
  <si>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</si>
  <si>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</si>
  <si>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</si>
  <si>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</si>
  <si>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</si>
  <si>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</si>
  <si>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</si>
  <si>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</si>
  <si>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</si>
  <si>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</si>
  <si>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</si>
  <si>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</si>
  <si>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</si>
  <si>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</si>
  <si>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</si>
  <si>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</si>
  <si>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</si>
  <si>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</si>
  <si>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</si>
  <si>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</si>
  <si>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</si>
  <si>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</si>
  <si>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</si>
  <si>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</si>
  <si>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</si>
  <si>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</si>
  <si>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</si>
  <si>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</si>
  <si>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</si>
  <si>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</si>
  <si>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</si>
  <si>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</si>
  <si>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</si>
  <si>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</si>
  <si>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</si>
  <si>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</si>
  <si>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</si>
  <si>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</si>
  <si>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</si>
  <si>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</si>
  <si>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</si>
  <si>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</si>
  <si>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</si>
  <si>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</si>
  <si>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</si>
  <si>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</si>
  <si>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</si>
  <si>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</si>
  <si>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</si>
  <si>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</si>
  <si>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</si>
  <si>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</si>
  <si>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</si>
  <si>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</si>
  <si>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</si>
  <si>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</si>
  <si>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</si>
  <si>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</si>
  <si>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</si>
  <si>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</si>
  <si>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</si>
  <si>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</si>
  <si>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</si>
  <si>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</si>
  <si>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</si>
  <si>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</si>
  <si>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</si>
  <si>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</si>
  <si>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</si>
  <si>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</si>
  <si>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</si>
  <si>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</si>
  <si>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</si>
  <si>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</si>
  <si>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</si>
  <si>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</si>
  <si>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</si>
  <si>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</si>
  <si>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</si>
  <si>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</si>
  <si>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</si>
  <si>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</si>
  <si>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</si>
  <si>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</si>
  <si>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</si>
  <si>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</si>
  <si>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</si>
  <si>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</si>
  <si>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</si>
  <si>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</si>
  <si>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</si>
  <si>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</si>
  <si>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</si>
  <si>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</si>
  <si>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</si>
  <si>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</si>
  <si>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</si>
  <si>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</si>
  <si>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</si>
  <si>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</si>
  <si>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</si>
  <si>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</si>
  <si>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</si>
  <si>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</si>
  <si>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</si>
  <si>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</si>
  <si>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</si>
  <si>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</si>
  <si>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</si>
  <si>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</si>
  <si>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</si>
  <si>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</si>
  <si>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</si>
  <si>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</si>
  <si>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</si>
  <si>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</si>
  <si>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</si>
  <si>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</si>
  <si>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</si>
  <si>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</si>
  <si>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</si>
  <si>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</si>
  <si>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</si>
  <si>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</si>
  <si>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</si>
  <si>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</si>
  <si>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</si>
  <si>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</si>
  <si>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</si>
  <si>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</si>
  <si>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</si>
  <si>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</si>
  <si>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</si>
  <si>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</si>
  <si>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</si>
  <si>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</si>
  <si>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</si>
  <si>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</si>
  <si>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</si>
  <si>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</si>
  <si>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</si>
  <si>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</si>
  <si>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</si>
  <si>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</si>
  <si>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</si>
  <si>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</si>
  <si>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</si>
  <si>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</si>
  <si>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</si>
  <si>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</si>
  <si>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</si>
  <si>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</si>
  <si>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</si>
  <si>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</si>
  <si>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</si>
  <si>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</si>
  <si>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</si>
  <si>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</si>
  <si>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</si>
  <si>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</si>
  <si>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</si>
  <si>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</si>
  <si>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</si>
  <si>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</si>
  <si>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</si>
  <si>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</si>
  <si>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</si>
  <si>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</si>
  <si>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</si>
  <si>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</si>
  <si>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</si>
  <si>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</si>
  <si>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</si>
  <si>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</si>
  <si>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</si>
  <si>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</si>
  <si>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</si>
  <si>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</si>
  <si>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</si>
  <si>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</si>
  <si>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</si>
  <si>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</si>
  <si>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</si>
  <si>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</si>
  <si>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</si>
  <si>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</si>
  <si>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</si>
  <si>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</si>
  <si>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</si>
  <si>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</si>
  <si>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</si>
  <si>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</si>
  <si>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</si>
  <si>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</si>
  <si>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</si>
  <si>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</si>
  <si>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</si>
  <si>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</si>
  <si>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</si>
  <si>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</si>
  <si>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</si>
  <si>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</si>
  <si>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</si>
  <si>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</si>
  <si>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</si>
  <si>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</si>
  <si>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</si>
  <si>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</si>
  <si>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</si>
  <si>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</si>
  <si>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</si>
  <si>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</si>
  <si>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</si>
  <si>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</si>
  <si>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</si>
  <si>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</si>
  <si>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</si>
  <si>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</si>
  <si>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</si>
  <si>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</si>
  <si>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</si>
  <si>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</si>
  <si>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</si>
  <si>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</si>
  <si>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</si>
  <si>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</si>
  <si>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</si>
  <si>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</si>
  <si>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</si>
  <si>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</si>
  <si>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</si>
  <si>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</si>
  <si>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</si>
  <si>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</si>
  <si>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</si>
  <si>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</si>
  <si>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</si>
  <si>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</si>
  <si>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</si>
  <si>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</si>
  <si>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</si>
  <si>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</si>
  <si>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</si>
  <si>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</si>
  <si>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</si>
  <si>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</si>
  <si>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</si>
  <si>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</si>
  <si>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</si>
  <si>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</si>
  <si>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</si>
  <si>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</si>
  <si>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</si>
  <si>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</si>
  <si>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</si>
  <si>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</si>
  <si>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</si>
  <si>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</si>
  <si>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</si>
  <si>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</si>
  <si>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</si>
  <si>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</si>
  <si>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</si>
  <si>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</si>
  <si>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</si>
  <si>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</si>
  <si>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</si>
  <si>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</si>
  <si>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</si>
  <si>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</si>
  <si>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</si>
  <si>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</si>
  <si>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</si>
  <si>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</si>
  <si>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</si>
  <si>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</si>
  <si>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</si>
  <si>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</si>
  <si>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</si>
  <si>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</si>
  <si>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</si>
  <si>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</si>
  <si>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</si>
  <si>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</si>
  <si>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</si>
  <si>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</si>
  <si>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</si>
  <si>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</si>
  <si>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</si>
  <si>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</si>
  <si>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</si>
  <si>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</si>
  <si>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</si>
  <si>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</si>
  <si>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</si>
  <si>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</si>
  <si>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</si>
  <si>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</si>
  <si>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</si>
  <si>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</si>
  <si>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</si>
  <si>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</si>
  <si>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</si>
  <si>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</si>
  <si>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</si>
  <si>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</si>
  <si>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</si>
  <si>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</si>
  <si>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</si>
  <si>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</si>
  <si>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</si>
  <si>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</si>
  <si>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</si>
  <si>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</si>
  <si>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</si>
  <si>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</si>
  <si>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</si>
  <si>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</si>
  <si>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</si>
  <si>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</si>
  <si>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</si>
  <si>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</si>
  <si>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</si>
  <si>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</si>
  <si>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</si>
  <si>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</si>
  <si>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</si>
  <si>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</si>
  <si>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</si>
  <si>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</si>
  <si>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</si>
  <si>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</si>
  <si>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</si>
  <si>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</si>
  <si>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</si>
  <si>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</si>
  <si>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</si>
  <si>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</si>
  <si>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</si>
  <si>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</si>
  <si>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</si>
  <si>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</si>
  <si>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</si>
  <si>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</si>
  <si>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</si>
  <si>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</si>
  <si>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</si>
  <si>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</si>
  <si>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</si>
  <si>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</si>
  <si>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</si>
  <si>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</si>
  <si>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</si>
  <si>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</si>
  <si>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</si>
  <si>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</si>
  <si>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</si>
  <si>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</si>
  <si>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</si>
  <si>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</si>
  <si>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</si>
  <si>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</si>
  <si>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</si>
  <si>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</si>
  <si>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</si>
  <si>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</si>
  <si>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</si>
  <si>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</si>
  <si>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</si>
  <si>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</si>
  <si>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</si>
  <si>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</si>
  <si>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</si>
  <si>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</si>
  <si>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</si>
  <si>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</si>
  <si>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</si>
  <si>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</si>
  <si>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</si>
  <si>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</si>
  <si>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</si>
  <si>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</si>
  <si>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</si>
  <si>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</si>
  <si>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</si>
  <si>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</si>
  <si>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</si>
  <si>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</si>
  <si>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</si>
  <si>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</si>
  <si>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</si>
  <si>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</si>
  <si>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</si>
  <si>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</si>
  <si>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</si>
  <si>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</si>
  <si>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</si>
  <si>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</si>
  <si>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</si>
  <si>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</si>
  <si>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</si>
  <si>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</si>
  <si>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</si>
  <si>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</si>
  <si>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</si>
  <si>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</si>
  <si>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</si>
  <si>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</si>
  <si>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</si>
  <si>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</si>
  <si>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</si>
  <si>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</si>
  <si>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</si>
  <si>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</si>
  <si>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</si>
  <si>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</si>
  <si>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</si>
  <si>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</si>
  <si>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</si>
  <si>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</si>
  <si>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</si>
  <si>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</si>
  <si>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</si>
  <si>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</si>
  <si>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</si>
  <si>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</si>
  <si>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</si>
  <si>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</si>
  <si>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</si>
  <si>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</si>
  <si>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</si>
  <si>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</si>
  <si>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</si>
  <si>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</si>
  <si>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</si>
  <si>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</si>
  <si>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</si>
  <si>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</si>
  <si>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</si>
  <si>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</si>
  <si>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</si>
  <si>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</si>
  <si>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</si>
  <si>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</si>
  <si>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</si>
  <si>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</si>
  <si>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</si>
  <si>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</si>
  <si>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</si>
  <si>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</si>
  <si>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</si>
  <si>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</si>
  <si>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</si>
  <si>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</si>
  <si>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</si>
  <si>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</si>
  <si>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</si>
  <si>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</si>
  <si>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</si>
  <si>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</si>
  <si>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</si>
  <si>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</si>
  <si>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</si>
  <si>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</si>
  <si>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</si>
  <si>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</si>
  <si>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</si>
  <si>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</si>
  <si>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</si>
  <si>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</si>
  <si>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</si>
  <si>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</si>
  <si>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</si>
  <si>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</si>
  <si>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</si>
  <si>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</si>
  <si>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</si>
  <si>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</si>
  <si>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</si>
  <si>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</si>
  <si>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</si>
  <si>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</si>
  <si>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</si>
  <si>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</si>
  <si>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</si>
  <si>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</si>
  <si>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</si>
  <si>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</si>
  <si>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</si>
  <si>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</si>
  <si>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</si>
  <si>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</si>
  <si>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</si>
  <si>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</si>
  <si>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</si>
  <si>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</si>
  <si>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</si>
  <si>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</si>
  <si>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</si>
  <si>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</si>
  <si>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</si>
  <si>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</si>
  <si>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</si>
  <si>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</si>
  <si>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</si>
  <si>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</si>
  <si>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</si>
  <si>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</si>
  <si>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</si>
  <si>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</si>
  <si>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</si>
  <si>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</si>
  <si>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</si>
  <si>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</si>
  <si>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</si>
  <si>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</si>
  <si>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</si>
  <si>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</si>
  <si>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</si>
  <si>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</si>
  <si>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</si>
  <si>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</si>
  <si>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</si>
  <si>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</si>
  <si>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</si>
  <si>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</si>
  <si>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</si>
  <si>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</si>
  <si>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</si>
  <si>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</si>
  <si>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</si>
  <si>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</si>
  <si>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</si>
  <si>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</si>
  <si>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</si>
  <si>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</si>
  <si>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</si>
  <si>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</si>
  <si>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</si>
  <si>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</si>
  <si>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</si>
  <si>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</si>
  <si>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</si>
  <si>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</si>
  <si>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</si>
  <si>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</si>
  <si>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</si>
  <si>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</si>
  <si>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</si>
  <si>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</si>
  <si>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</si>
  <si>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</si>
  <si>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</si>
  <si>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</si>
  <si>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</si>
  <si>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</si>
  <si>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</si>
  <si>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</si>
  <si>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</si>
  <si>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</si>
  <si>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</si>
  <si>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</si>
  <si>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</si>
  <si>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</si>
  <si>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</si>
  <si>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</si>
  <si>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</si>
  <si>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</si>
  <si>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</si>
  <si>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</si>
  <si>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</si>
  <si>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</si>
  <si>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</si>
  <si>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</si>
  <si>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</si>
  <si>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</si>
  <si>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</si>
  <si>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</si>
  <si>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</si>
  <si>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</si>
  <si>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</si>
  <si>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</si>
  <si>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</si>
  <si>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</si>
  <si>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</si>
  <si>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</si>
  <si>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</si>
  <si>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</si>
  <si>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</si>
  <si>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</si>
  <si>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</si>
  <si>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</si>
  <si>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</si>
  <si>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</si>
  <si>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</si>
  <si>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</si>
  <si>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</si>
  <si>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</si>
  <si>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</si>
  <si>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</si>
  <si>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</si>
  <si>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</si>
  <si>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</si>
  <si>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</si>
  <si>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</si>
  <si>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</si>
  <si>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</si>
  <si>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</si>
  <si>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</si>
  <si>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</si>
  <si>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</si>
  <si>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</si>
  <si>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</si>
  <si>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</si>
  <si>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</si>
  <si>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</si>
  <si>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</si>
  <si>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</si>
  <si>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</si>
  <si>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</si>
  <si>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</si>
  <si>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</si>
  <si>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</si>
  <si>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</si>
  <si>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</si>
  <si>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</si>
  <si>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</si>
  <si>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</si>
  <si>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</si>
  <si>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</si>
  <si>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</si>
  <si>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</si>
  <si>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</si>
  <si>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</si>
  <si>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</si>
  <si>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</si>
  <si>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</si>
  <si>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</si>
  <si>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</si>
  <si>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</si>
  <si>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</si>
  <si>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</si>
  <si>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</si>
  <si>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</si>
  <si>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</si>
  <si>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</si>
  <si>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</si>
  <si>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</si>
  <si>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</si>
  <si>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</si>
  <si>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</si>
  <si>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</si>
  <si>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</si>
  <si>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</si>
  <si>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</si>
  <si>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</si>
  <si>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</si>
  <si>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</si>
  <si>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</si>
  <si>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</si>
  <si>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</si>
  <si>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</si>
  <si>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</si>
  <si>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</si>
  <si>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</si>
  <si>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</si>
  <si>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</si>
  <si>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</si>
  <si>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</si>
  <si>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</si>
  <si>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</si>
  <si>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</si>
  <si>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</si>
  <si>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</si>
  <si>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</si>
  <si>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</si>
  <si>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</si>
  <si>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</si>
  <si>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</si>
  <si>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</si>
  <si>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</si>
  <si>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</si>
  <si>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</si>
  <si>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</si>
  <si>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</si>
  <si>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</si>
  <si>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</si>
  <si>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</si>
  <si>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</si>
  <si>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</si>
  <si>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</si>
  <si>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</si>
  <si>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</si>
  <si>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</si>
  <si>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</si>
  <si>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</si>
  <si>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</si>
  <si>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</si>
  <si>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</si>
  <si>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</si>
  <si>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</si>
  <si>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</si>
  <si>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</si>
  <si>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</si>
  <si>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</si>
  <si>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</si>
  <si>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</si>
  <si>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</si>
  <si>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</si>
  <si>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</si>
  <si>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</si>
  <si>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</si>
  <si>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</si>
  <si>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</si>
  <si>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</si>
  <si>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</si>
  <si>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</si>
  <si>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</si>
  <si>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</si>
  <si>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</si>
  <si>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</si>
  <si>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</si>
  <si>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</si>
  <si>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</si>
  <si>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</si>
  <si>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</si>
  <si>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</si>
  <si>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</si>
  <si>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</si>
  <si>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</si>
  <si>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</si>
  <si>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</si>
  <si>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</si>
  <si>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</si>
  <si>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</si>
  <si>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</si>
  <si>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</si>
  <si>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</si>
  <si>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</si>
  <si>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</si>
  <si>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</si>
  <si>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</si>
  <si>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</si>
  <si>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</si>
  <si>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</si>
  <si>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</si>
  <si>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</si>
  <si>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</si>
  <si>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</si>
  <si>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</si>
  <si>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</si>
  <si>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</si>
  <si>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</si>
  <si>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</si>
  <si>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</si>
  <si>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</si>
  <si>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</si>
  <si>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</si>
  <si>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</si>
  <si>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</si>
  <si>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</si>
  <si>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</si>
  <si>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</si>
  <si>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</si>
  <si>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</si>
  <si>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</si>
  <si>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</si>
  <si>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</si>
  <si>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</si>
  <si>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</si>
  <si>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</si>
  <si>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</si>
  <si>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</si>
  <si>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</si>
  <si>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</si>
  <si>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</si>
  <si>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</si>
  <si>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</si>
  <si>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</si>
  <si>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</si>
  <si>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</si>
  <si>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</si>
  <si>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</si>
  <si>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</si>
  <si>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</si>
  <si>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</si>
  <si>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</si>
  <si>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</si>
  <si>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</si>
  <si>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</si>
  <si>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</si>
  <si>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</si>
  <si>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</si>
  <si>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</si>
  <si>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</si>
  <si>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</si>
  <si>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</si>
  <si>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</si>
  <si>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</si>
  <si>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</si>
  <si>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</si>
  <si>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</si>
  <si>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</si>
  <si>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</si>
  <si>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</si>
  <si>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</si>
  <si>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</si>
  <si>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</si>
  <si>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</si>
  <si>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</si>
  <si>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</si>
  <si>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</si>
  <si>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</si>
  <si>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</si>
  <si>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</si>
  <si>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</si>
  <si>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</si>
  <si>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</si>
  <si>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</si>
  <si>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</si>
  <si>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</si>
  <si>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</si>
  <si>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</si>
  <si>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</si>
  <si>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</si>
  <si>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</si>
  <si>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</si>
  <si>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</si>
  <si>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</si>
  <si>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</si>
  <si>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</si>
  <si>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</si>
  <si>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</si>
  <si>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</si>
  <si>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</si>
  <si>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</si>
  <si>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</si>
  <si>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</si>
  <si>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</si>
  <si>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</si>
  <si>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</si>
  <si>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</si>
  <si>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</si>
  <si>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</si>
  <si>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</si>
  <si>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</si>
  <si>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</si>
  <si>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</si>
  <si>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</si>
  <si>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</si>
  <si>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</si>
  <si>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</si>
  <si>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</si>
  <si>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</si>
  <si>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</si>
  <si>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</si>
  <si>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</si>
  <si>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</si>
  <si>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</si>
  <si>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</si>
  <si>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</si>
  <si>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</si>
  <si>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</si>
  <si>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</si>
  <si>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</si>
  <si>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</si>
  <si>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</si>
  <si>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</si>
  <si>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</si>
  <si>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</si>
  <si>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</si>
  <si>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</si>
  <si>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</si>
  <si>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</si>
  <si>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</si>
  <si>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</si>
  <si>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</si>
  <si>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</si>
  <si>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</si>
  <si>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</si>
  <si>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</si>
  <si>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</si>
  <si>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</si>
  <si>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</si>
  <si>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</si>
  <si>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</si>
  <si>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</si>
  <si>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</si>
  <si>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</si>
  <si>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</si>
  <si>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</si>
  <si>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</si>
  <si>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</si>
  <si>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</si>
  <si>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</si>
  <si>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</si>
  <si>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</si>
  <si>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</si>
  <si>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</si>
  <si>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</si>
  <si>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</si>
  <si>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</si>
  <si>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</si>
  <si>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</si>
  <si>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</si>
  <si>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</si>
  <si>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</si>
  <si>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</si>
  <si>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</si>
  <si>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</si>
  <si>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</si>
  <si>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</si>
  <si>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</si>
  <si>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</si>
  <si>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</si>
  <si>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</si>
  <si>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</si>
  <si>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</si>
  <si>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</si>
  <si>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</si>
  <si>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</si>
  <si>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</si>
  <si>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</si>
  <si>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</si>
  <si>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</si>
  <si>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</si>
  <si>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</si>
  <si>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</si>
  <si>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</si>
  <si>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</si>
  <si>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</si>
  <si>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</si>
  <si>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</si>
  <si>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</si>
  <si>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</si>
  <si>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</si>
  <si>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</si>
  <si>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</si>
  <si>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</si>
  <si>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</si>
  <si>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</si>
  <si>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</si>
  <si>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</si>
  <si>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</si>
  <si>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</si>
  <si>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</si>
  <si>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</si>
  <si>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</si>
  <si>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</si>
  <si>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</si>
  <si>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</si>
  <si>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</si>
  <si>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</si>
  <si>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</si>
  <si>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</si>
  <si>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</si>
  <si>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</si>
  <si>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</si>
  <si>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</si>
  <si>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</si>
  <si>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</si>
  <si>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</si>
  <si>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</si>
  <si>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</si>
  <si>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</si>
  <si>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</si>
  <si>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</si>
  <si>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</si>
  <si>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</si>
  <si>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</si>
  <si>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</si>
  <si>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</si>
  <si>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</si>
  <si>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</si>
  <si>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</si>
  <si>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</si>
  <si>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</si>
  <si>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</si>
  <si>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</si>
  <si>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</si>
  <si>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</si>
  <si>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</si>
  <si>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</si>
  <si>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</si>
  <si>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</si>
  <si>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</si>
  <si>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</si>
  <si>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</si>
  <si>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</si>
  <si>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</si>
  <si>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</si>
  <si>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</si>
  <si>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</si>
  <si>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</si>
  <si>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</si>
  <si>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</si>
  <si>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</si>
  <si>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</si>
  <si>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</si>
  <si>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</si>
  <si>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</si>
  <si>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</si>
  <si>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</si>
  <si>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</si>
  <si>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</si>
  <si>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</si>
  <si>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</si>
  <si>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</si>
  <si>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</si>
  <si>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</si>
  <si>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</si>
  <si>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</si>
  <si>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</si>
  <si>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</si>
  <si>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</si>
  <si>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</si>
  <si>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</si>
  <si>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</si>
  <si>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</si>
  <si>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</si>
  <si>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</si>
  <si>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</si>
  <si>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</si>
  <si>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</si>
  <si>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</si>
  <si>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</si>
  <si>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</si>
  <si>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</si>
  <si>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</si>
  <si>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</si>
  <si>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</si>
  <si>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</si>
  <si>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</si>
  <si>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</si>
  <si>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</si>
  <si>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</si>
  <si>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</si>
  <si>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</si>
  <si>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</si>
  <si>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</si>
  <si>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</si>
  <si>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</si>
  <si>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</si>
  <si>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</si>
  <si>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</si>
  <si>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</si>
  <si>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</si>
  <si>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</si>
  <si>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</si>
  <si>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</si>
  <si>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</si>
  <si>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</si>
  <si>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</si>
  <si>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</si>
  <si>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</si>
  <si>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</si>
  <si>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</si>
  <si>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</si>
  <si>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</si>
  <si>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</si>
  <si>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</si>
  <si>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</si>
  <si>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</si>
  <si>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</si>
  <si>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</si>
  <si>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</si>
  <si>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</si>
  <si>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</si>
  <si>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</si>
  <si>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</si>
  <si>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</si>
  <si>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</si>
  <si>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</si>
  <si>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</si>
  <si>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</si>
  <si>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</si>
  <si>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</si>
  <si>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</si>
  <si>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</si>
  <si>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</si>
  <si>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</si>
  <si>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</si>
  <si>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</si>
  <si>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</si>
  <si>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</si>
  <si>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</si>
  <si>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</si>
  <si>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</si>
  <si>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</si>
  <si>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</si>
  <si>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</si>
  <si>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</si>
  <si>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</si>
  <si>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</si>
  <si>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</si>
  <si>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</si>
  <si>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</si>
  <si>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</si>
  <si>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</si>
  <si>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</si>
  <si>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</si>
  <si>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</si>
  <si>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</si>
  <si>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</si>
  <si>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</si>
  <si>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</si>
  <si>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</si>
  <si>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</si>
  <si>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</si>
  <si>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</si>
  <si>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</si>
  <si>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</si>
  <si>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</si>
  <si>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</si>
  <si>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</si>
  <si>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</si>
  <si>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</si>
  <si>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</si>
  <si>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</si>
  <si>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</si>
  <si>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</si>
  <si>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</si>
  <si>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</si>
  <si>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</si>
  <si>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</si>
  <si>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</si>
  <si>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</si>
  <si>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</si>
  <si>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</si>
  <si>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</si>
  <si>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</si>
  <si>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</si>
  <si>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</si>
  <si>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</si>
  <si>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</si>
  <si>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</si>
  <si>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</si>
  <si>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</si>
  <si>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</si>
  <si>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</si>
  <si>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</si>
  <si>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</si>
  <si>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</si>
  <si>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</si>
  <si>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</si>
  <si>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</si>
  <si>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</si>
  <si>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</si>
  <si>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</si>
  <si>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</si>
  <si>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</si>
  <si>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</si>
  <si>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</si>
  <si>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</si>
  <si>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</si>
  <si>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</si>
  <si>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</si>
  <si>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</si>
  <si>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</si>
  <si>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</si>
  <si>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</si>
  <si>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</si>
  <si>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</si>
  <si>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</si>
  <si>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</si>
  <si>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</si>
  <si>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</si>
  <si>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</si>
  <si>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</si>
  <si>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</si>
  <si>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</si>
  <si>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</si>
  <si>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</si>
  <si>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</si>
  <si>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</si>
  <si>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</si>
  <si>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</si>
  <si>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</si>
  <si>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</si>
  <si>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</si>
  <si>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</si>
  <si>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</si>
  <si>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</si>
  <si>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</si>
  <si>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</si>
  <si>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</si>
  <si>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</si>
  <si>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</si>
  <si>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</si>
  <si>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</si>
  <si>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</si>
  <si>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</si>
  <si>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</si>
  <si>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</si>
  <si>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</si>
  <si>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</si>
  <si>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</si>
  <si>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</si>
  <si>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</si>
  <si>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</si>
  <si>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</si>
  <si>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</si>
  <si>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</si>
  <si>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</si>
  <si>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</si>
  <si>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</si>
  <si>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</si>
  <si>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</si>
  <si>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</si>
  <si>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</si>
  <si>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</si>
  <si>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</si>
  <si>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</si>
  <si>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</si>
  <si>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</si>
  <si>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</si>
  <si>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</si>
  <si>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</si>
  <si>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</si>
  <si>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</si>
  <si>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</si>
  <si>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</si>
  <si>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</si>
  <si>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</si>
  <si>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</si>
  <si>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</si>
  <si>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</si>
  <si>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</si>
  <si>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</si>
  <si>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</si>
  <si>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</si>
  <si>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</si>
  <si>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</si>
  <si>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</si>
  <si>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</si>
  <si>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</si>
  <si>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</si>
  <si>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</si>
  <si>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</si>
  <si>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</si>
  <si>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</si>
  <si>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</si>
  <si>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</si>
  <si>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</si>
  <si>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</si>
  <si>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</si>
  <si>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</si>
  <si>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</si>
  <si>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</si>
  <si>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</si>
  <si>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</si>
  <si>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</si>
  <si>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</si>
  <si>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</si>
  <si>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</si>
  <si>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</si>
  <si>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</si>
  <si>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</si>
  <si>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</si>
  <si>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</si>
  <si>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</si>
  <si>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</si>
  <si>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</si>
  <si>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</si>
  <si>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</si>
  <si>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</si>
  <si>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</si>
  <si>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</si>
  <si>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</si>
  <si>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</si>
  <si>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</si>
  <si>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</si>
  <si>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</si>
  <si>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</si>
  <si>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</si>
  <si>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</si>
  <si>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</si>
  <si>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</si>
  <si>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</si>
  <si>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</si>
  <si>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</si>
  <si>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</si>
  <si>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</si>
  <si>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</si>
  <si>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</si>
  <si>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</si>
  <si>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</si>
  <si>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</si>
  <si>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</si>
  <si>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</si>
  <si>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</si>
  <si>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</si>
  <si>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</si>
  <si>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</si>
  <si>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</si>
  <si>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</si>
  <si>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</si>
  <si>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</si>
  <si>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</si>
  <si>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</si>
  <si>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</si>
  <si>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</si>
  <si>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</si>
  <si>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</si>
  <si>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</si>
  <si>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</si>
  <si>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</si>
  <si>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</si>
  <si>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</si>
  <si>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</si>
  <si>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</si>
  <si>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</si>
  <si>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</si>
  <si>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</si>
  <si>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</si>
  <si>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</si>
  <si>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</si>
  <si>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</si>
  <si>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</si>
  <si>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</si>
  <si>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</si>
  <si>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</si>
  <si>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</si>
  <si>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</si>
  <si>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</si>
  <si>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</si>
  <si>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</si>
  <si>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</si>
  <si>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</si>
  <si>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</si>
  <si>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</si>
  <si>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</si>
  <si>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</si>
  <si>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</si>
  <si>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</si>
  <si>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</si>
  <si>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</si>
  <si>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</si>
  <si>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</si>
  <si>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</si>
  <si>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</si>
  <si>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</si>
  <si>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</si>
  <si>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</si>
  <si>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</si>
  <si>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</si>
  <si>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</si>
  <si>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</si>
  <si>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</si>
  <si>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</si>
  <si>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</si>
  <si>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</si>
  <si>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</si>
  <si>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</si>
  <si>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</si>
  <si>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</si>
  <si>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</si>
  <si>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</si>
  <si>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</si>
  <si>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</si>
  <si>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</si>
  <si>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</si>
  <si>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</si>
  <si>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</si>
  <si>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</si>
  <si>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</si>
  <si>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</si>
  <si>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</si>
  <si>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</si>
  <si>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</si>
  <si>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</si>
  <si>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</si>
  <si>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</si>
  <si>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</si>
  <si>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</si>
  <si>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</si>
  <si>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</si>
  <si>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</si>
  <si>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</si>
  <si>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</si>
  <si>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</si>
  <si>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</si>
  <si>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</si>
  <si>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</si>
  <si>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</si>
  <si>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</si>
  <si>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</si>
  <si>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</si>
  <si>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</si>
  <si>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</si>
  <si>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</si>
  <si>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</si>
  <si>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</si>
  <si>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</si>
  <si>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</si>
  <si>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</si>
  <si>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</si>
  <si>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</si>
  <si>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</si>
  <si>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</si>
  <si>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</si>
  <si>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</si>
  <si>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</si>
  <si>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</si>
  <si>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</si>
  <si>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</si>
  <si>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</si>
  <si>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</si>
  <si>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</si>
  <si>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</si>
  <si>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</si>
  <si>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</si>
  <si>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</si>
  <si>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</si>
  <si>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</si>
  <si>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</si>
  <si>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</si>
  <si>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</si>
  <si>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</si>
  <si>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</si>
  <si>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</si>
  <si>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</si>
  <si>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</si>
  <si>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</si>
  <si>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</si>
  <si>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</si>
  <si>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</si>
  <si>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</si>
  <si>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</si>
  <si>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</si>
  <si>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</si>
  <si>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</si>
  <si>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</si>
  <si>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</si>
  <si>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</si>
  <si>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</si>
  <si>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</si>
  <si>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</si>
  <si>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</si>
  <si>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</si>
  <si>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</si>
  <si>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</si>
  <si>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</si>
  <si>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</si>
  <si>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</si>
  <si>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</si>
  <si>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</si>
  <si>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</si>
  <si>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</si>
  <si>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</si>
  <si>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</si>
  <si>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</si>
  <si>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</si>
  <si>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</si>
  <si>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</si>
  <si>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</si>
  <si>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</si>
  <si>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</si>
  <si>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</si>
  <si>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</si>
  <si>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</si>
  <si>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</si>
  <si>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</si>
  <si>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</si>
  <si>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</si>
  <si>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</si>
  <si>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</si>
  <si>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</si>
  <si>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</si>
  <si>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</si>
  <si>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</si>
  <si>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</si>
  <si>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</si>
  <si>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</si>
  <si>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</si>
  <si>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</si>
  <si>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</si>
  <si>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</si>
  <si>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</si>
  <si>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</si>
  <si>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</si>
  <si>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</si>
  <si>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</si>
  <si>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</si>
  <si>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</si>
  <si>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</si>
  <si>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</si>
  <si>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</si>
  <si>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</si>
  <si>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</si>
  <si>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</si>
  <si>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</si>
  <si>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</si>
  <si>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</si>
  <si>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</si>
  <si>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</si>
  <si>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</si>
  <si>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</si>
  <si>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</si>
  <si>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</si>
  <si>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</si>
  <si>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</si>
  <si>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</si>
  <si>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</si>
  <si>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</si>
  <si>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</si>
  <si>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</si>
  <si>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</si>
  <si>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</si>
  <si>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</si>
  <si>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</si>
  <si>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</si>
  <si>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</si>
  <si>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</si>
  <si>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</si>
  <si>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</si>
  <si>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</si>
  <si>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</si>
  <si>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</si>
  <si>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</si>
  <si>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</si>
  <si>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</si>
  <si>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</si>
  <si>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</si>
  <si>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</si>
  <si>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</si>
  <si>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</si>
  <si>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</si>
  <si>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</si>
  <si>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</si>
  <si>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</si>
  <si>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</si>
  <si>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</si>
  <si>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</si>
  <si>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</si>
  <si>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</si>
  <si>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</si>
  <si>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</si>
  <si>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</si>
  <si>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</si>
  <si>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</si>
  <si>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</si>
  <si>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</si>
  <si>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</si>
  <si>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</si>
  <si>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</si>
  <si>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</si>
  <si>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</si>
  <si>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</si>
  <si>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</si>
  <si>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</si>
  <si>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</si>
  <si>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</si>
  <si>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</si>
  <si>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</si>
  <si>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</si>
  <si>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</si>
  <si>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</si>
  <si>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</si>
  <si>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</si>
  <si>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</si>
  <si>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</si>
  <si>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</si>
  <si>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</si>
  <si>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</si>
  <si>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</si>
  <si>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</si>
  <si>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</si>
  <si>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</si>
  <si>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</si>
  <si>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</si>
  <si>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</si>
  <si>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</si>
  <si>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</si>
  <si>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</si>
  <si>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</si>
  <si>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</si>
  <si>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</si>
  <si>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</si>
  <si>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</si>
  <si>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</si>
  <si>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</si>
  <si>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</si>
  <si>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</si>
  <si>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</si>
  <si>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</si>
  <si>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</si>
  <si>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</si>
  <si>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</si>
  <si>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</si>
  <si>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</si>
  <si>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</si>
  <si>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</si>
  <si>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</si>
  <si>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</si>
  <si>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</si>
  <si>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</si>
  <si>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</si>
  <si>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</si>
  <si>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</si>
  <si>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</si>
  <si>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</si>
  <si>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</si>
  <si>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</si>
  <si>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</si>
  <si>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</si>
  <si>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</si>
  <si>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</si>
  <si>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</si>
  <si>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</si>
  <si>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</si>
  <si>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</si>
  <si>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</si>
  <si>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</si>
  <si>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</si>
  <si>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</si>
  <si>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</si>
  <si>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</si>
  <si>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</si>
  <si>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</si>
  <si>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</si>
  <si>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</si>
  <si>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</si>
  <si>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</si>
  <si>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</si>
  <si>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</si>
  <si>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</si>
  <si>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</si>
  <si>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</si>
  <si>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</si>
  <si>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</si>
  <si>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</si>
  <si>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</si>
  <si>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</si>
  <si>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</si>
  <si>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</si>
  <si>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</si>
  <si>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</si>
  <si>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</si>
  <si>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</si>
  <si>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</si>
  <si>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</si>
  <si>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</si>
  <si>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</si>
  <si>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</si>
  <si>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</si>
  <si>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</si>
  <si>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</si>
  <si>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</si>
  <si>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</si>
  <si>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</si>
  <si>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</si>
  <si>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</si>
  <si>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</si>
  <si>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</si>
  <si>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</si>
  <si>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</si>
  <si>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</si>
  <si>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</si>
  <si>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</si>
  <si>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</si>
  <si>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</si>
  <si>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</si>
  <si>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</si>
  <si>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</si>
  <si>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</si>
  <si>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</si>
  <si>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</si>
  <si>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</si>
  <si>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</si>
  <si>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</si>
  <si>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</si>
  <si>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</si>
  <si>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</si>
  <si>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</si>
  <si>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</si>
  <si>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</si>
  <si>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</si>
  <si>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</si>
  <si>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</si>
  <si>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</si>
  <si>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</si>
  <si>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</si>
  <si>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</si>
  <si>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</si>
  <si>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</si>
  <si>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</si>
  <si>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</si>
  <si>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</si>
  <si>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</si>
  <si>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</si>
  <si>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</si>
  <si>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</si>
  <si>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</si>
  <si>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</si>
  <si>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</si>
  <si>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</si>
  <si>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</si>
  <si>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</si>
  <si>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</si>
  <si>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</si>
  <si>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</si>
  <si>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</si>
  <si>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</si>
  <si>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</si>
  <si>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</si>
  <si>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</si>
  <si>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</si>
  <si>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</si>
  <si>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</si>
  <si>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</si>
  <si>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</si>
  <si>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</si>
  <si>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</si>
  <si>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</si>
  <si>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</si>
  <si>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</si>
  <si>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</si>
  <si>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</si>
  <si>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</si>
  <si>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</si>
  <si>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</si>
  <si>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</si>
  <si>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</si>
  <si>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</si>
  <si>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</si>
  <si>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</si>
  <si>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</si>
  <si>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</si>
  <si>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</si>
  <si>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</si>
  <si>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</si>
  <si>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</si>
  <si>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</si>
  <si>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</si>
  <si>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</si>
  <si>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</si>
  <si>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</si>
  <si>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</si>
  <si>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</si>
  <si>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</si>
  <si>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</si>
  <si>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</si>
  <si>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</si>
  <si>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</si>
  <si>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</si>
  <si>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</si>
  <si>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</si>
  <si>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</si>
  <si>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</si>
  <si>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</si>
  <si>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</si>
  <si>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</si>
  <si>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</si>
  <si>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</si>
  <si>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</si>
  <si>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</si>
  <si>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</si>
  <si>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</si>
  <si>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</si>
  <si>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</si>
  <si>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</si>
  <si>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</si>
  <si>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</si>
  <si>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</si>
  <si>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</si>
  <si>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</si>
  <si>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</si>
  <si>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</si>
  <si>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</si>
  <si>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</si>
  <si>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</si>
  <si>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</si>
  <si>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</si>
  <si>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</si>
  <si>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</si>
  <si>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</si>
  <si>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</si>
  <si>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</si>
  <si>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</si>
  <si>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</si>
  <si>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</si>
  <si>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</si>
  <si>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</si>
  <si>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</si>
  <si>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</si>
  <si>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</si>
  <si>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</si>
  <si>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</si>
  <si>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</si>
  <si>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</si>
  <si>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</si>
  <si>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</si>
  <si>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</si>
  <si>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</si>
  <si>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</si>
  <si>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</si>
  <si>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</si>
  <si>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</si>
  <si>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</si>
  <si>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</si>
  <si>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</si>
  <si>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</si>
  <si>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</si>
  <si>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</si>
  <si>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</si>
  <si>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</si>
  <si>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</si>
  <si>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</si>
  <si>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</si>
  <si>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</si>
  <si>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</si>
  <si>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</si>
  <si>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</si>
  <si>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</si>
  <si>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</si>
  <si>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</si>
  <si>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</si>
  <si>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</si>
  <si>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</si>
  <si>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</si>
  <si>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</si>
  <si>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</si>
  <si>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</si>
  <si>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</si>
  <si>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</si>
  <si>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</si>
  <si>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</si>
  <si>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</si>
  <si>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</si>
  <si>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</si>
  <si>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</si>
  <si>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</si>
  <si>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</si>
  <si>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</si>
  <si>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</si>
  <si>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</si>
  <si>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</si>
  <si>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</si>
  <si>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</si>
  <si>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</si>
  <si>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</si>
  <si>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</si>
  <si>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</si>
  <si>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</si>
  <si>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</si>
  <si>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</si>
  <si>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</si>
  <si>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</si>
  <si>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</si>
  <si>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</si>
  <si>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</si>
  <si>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</si>
  <si>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</si>
  <si>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</si>
  <si>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</si>
  <si>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</si>
  <si>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</si>
  <si>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</si>
  <si>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</si>
  <si>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</si>
  <si>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</si>
  <si>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</si>
  <si>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</si>
  <si>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</si>
  <si>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</si>
  <si>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</si>
  <si>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</si>
  <si>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</si>
  <si>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</si>
  <si>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</si>
  <si>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</si>
  <si>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</si>
  <si>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</si>
  <si>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</si>
  <si>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</si>
  <si>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</si>
  <si>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</si>
  <si>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</si>
  <si>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</si>
  <si>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</si>
  <si>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</si>
  <si>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</si>
  <si>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</si>
  <si>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</si>
  <si>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</si>
  <si>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</si>
  <si>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</si>
  <si>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</si>
  <si>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</si>
  <si>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</si>
  <si>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</si>
  <si>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</si>
  <si>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</si>
  <si>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</si>
  <si>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</si>
  <si>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</si>
  <si>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</si>
  <si>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</si>
  <si>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</si>
  <si>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</si>
  <si>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</si>
  <si>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</si>
  <si>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</si>
  <si>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</si>
  <si>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</si>
  <si>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</si>
  <si>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</si>
  <si>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</si>
  <si>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</si>
  <si>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</si>
  <si>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</si>
  <si>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</si>
  <si>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</si>
  <si>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</si>
  <si>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</si>
  <si>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</si>
  <si>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</si>
  <si>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</si>
  <si>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</si>
  <si>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</si>
  <si>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</si>
  <si>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</si>
  <si>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</si>
  <si>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</si>
  <si>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</si>
  <si>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</si>
  <si>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</si>
  <si>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</si>
  <si>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</si>
  <si>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</si>
  <si>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</si>
  <si>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</si>
  <si>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</si>
  <si>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</si>
  <si>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</si>
  <si>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</si>
  <si>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</si>
  <si>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</si>
  <si>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</si>
  <si>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</si>
  <si>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</si>
  <si>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</si>
  <si>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</si>
  <si>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</si>
  <si>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</si>
  <si>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</si>
  <si>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</si>
  <si>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</si>
  <si>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</si>
  <si>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</si>
  <si>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</si>
  <si>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</si>
  <si>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</si>
  <si>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</si>
  <si>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</si>
  <si>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</si>
  <si>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</si>
  <si>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</si>
  <si>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</si>
  <si>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</si>
  <si>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</si>
  <si>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</si>
  <si>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</si>
  <si>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</si>
  <si>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</si>
  <si>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</si>
  <si>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</si>
  <si>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</si>
  <si>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</si>
  <si>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</si>
  <si>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</si>
  <si>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</si>
  <si>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</si>
  <si>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</si>
  <si>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</si>
  <si>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</si>
  <si>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</si>
  <si>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</si>
  <si>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</si>
  <si>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</si>
  <si>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</si>
  <si>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</si>
  <si>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</si>
  <si>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</si>
  <si>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</si>
  <si>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</si>
  <si>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</si>
  <si>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</si>
  <si>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</si>
  <si>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</si>
  <si>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</si>
  <si>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</si>
  <si>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</si>
  <si>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</si>
  <si>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</si>
  <si>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</si>
  <si>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</si>
  <si>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</si>
  <si>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</si>
  <si>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</si>
  <si>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</si>
  <si>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</si>
  <si>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</si>
  <si>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</si>
  <si>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</si>
  <si>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</si>
  <si>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</si>
  <si>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</si>
  <si>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</si>
  <si>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</si>
  <si>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</si>
  <si>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</si>
  <si>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</si>
  <si>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</si>
  <si>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</si>
  <si>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</si>
  <si>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</si>
  <si>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</si>
  <si>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</si>
  <si>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</si>
  <si>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</si>
  <si>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</si>
  <si>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</si>
  <si>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</si>
  <si>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</si>
  <si>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</si>
  <si>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</si>
  <si>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</si>
  <si>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</si>
  <si>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</si>
  <si>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</si>
  <si>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</si>
  <si>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</si>
  <si>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</si>
  <si>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</si>
  <si>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</si>
  <si>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</si>
  <si>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</si>
  <si>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</si>
  <si>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</si>
  <si>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</si>
  <si>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</si>
  <si>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</si>
  <si>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</si>
  <si>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</si>
  <si>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</si>
  <si>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</si>
  <si>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</si>
  <si>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</si>
  <si>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</si>
  <si>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</si>
  <si>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</si>
  <si>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</si>
  <si>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</si>
  <si>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</si>
  <si>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</si>
  <si>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</si>
  <si>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</si>
  <si>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</si>
  <si>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</si>
  <si>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</si>
  <si>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</si>
  <si>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</si>
  <si>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</si>
  <si>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</si>
  <si>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</si>
  <si>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</si>
  <si>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</si>
  <si>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</si>
  <si>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</si>
  <si>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</si>
  <si>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</si>
  <si>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</si>
  <si>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</si>
  <si>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</si>
  <si>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</si>
  <si>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</si>
  <si>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</si>
  <si>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</si>
  <si>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</si>
  <si>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</si>
  <si>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</si>
  <si>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</si>
  <si>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</si>
  <si>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</si>
  <si>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</si>
  <si>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</si>
  <si>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</si>
  <si>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</si>
  <si>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</si>
  <si>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</si>
  <si>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</si>
  <si>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</si>
  <si>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</si>
  <si>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</si>
  <si>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</si>
  <si>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</si>
  <si>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</si>
  <si>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</si>
  <si>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</si>
  <si>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</si>
  <si>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</si>
  <si>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</si>
  <si>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</si>
  <si>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</si>
  <si>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</si>
  <si>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</si>
  <si>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</si>
  <si>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</si>
  <si>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</si>
  <si>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</si>
  <si>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</si>
  <si>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</si>
  <si>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</si>
  <si>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</si>
  <si>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</si>
  <si>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</si>
  <si>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</si>
  <si>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</si>
  <si>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</si>
  <si>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</si>
  <si>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</si>
  <si>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</si>
  <si>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</si>
  <si>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</si>
  <si>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</si>
  <si>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</si>
  <si>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</si>
  <si>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</si>
  <si>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</si>
  <si>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</si>
  <si>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</si>
  <si>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</si>
  <si>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</si>
  <si>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</si>
  <si>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</si>
  <si>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</si>
  <si>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</si>
  <si>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</si>
  <si>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</si>
  <si>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</si>
  <si>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</si>
  <si>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</si>
  <si>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</si>
  <si>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</si>
  <si>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</si>
  <si>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</si>
  <si>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</si>
  <si>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</si>
  <si>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</si>
  <si>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</si>
  <si>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</si>
  <si>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</si>
  <si>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</si>
  <si>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</si>
  <si>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</si>
  <si>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</si>
  <si>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</si>
  <si>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</si>
  <si>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</si>
  <si>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</si>
  <si>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</si>
  <si>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</si>
  <si>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</si>
  <si>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</si>
  <si>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</si>
  <si>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</si>
  <si>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</si>
  <si>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</si>
  <si>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</si>
  <si>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</si>
  <si>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</si>
  <si>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</si>
  <si>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</si>
  <si>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</si>
  <si>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</si>
  <si>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</si>
  <si>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</si>
  <si>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</si>
  <si>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</si>
  <si>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</si>
  <si>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</si>
  <si>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</si>
  <si>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</si>
  <si>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</si>
  <si>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</si>
  <si>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</si>
  <si>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</si>
  <si>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</si>
  <si>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</si>
  <si>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</si>
  <si>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</si>
  <si>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</si>
  <si>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</si>
  <si>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</si>
  <si>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</si>
  <si>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</si>
  <si>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</si>
  <si>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</si>
  <si>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</si>
  <si>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</si>
  <si>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</si>
  <si>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</si>
  <si>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</si>
  <si>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</si>
  <si>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</si>
  <si>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</si>
  <si>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</si>
  <si>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</si>
  <si>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</si>
  <si>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</si>
  <si>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</si>
  <si>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</si>
  <si>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</si>
  <si>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</si>
  <si>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</si>
  <si>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</si>
  <si>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</si>
  <si>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</si>
  <si>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</si>
  <si>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</si>
  <si>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</si>
  <si>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</si>
  <si>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</si>
  <si>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</si>
  <si>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</si>
  <si>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</si>
  <si>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</si>
  <si>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</si>
  <si>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</si>
  <si>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</si>
  <si>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</si>
  <si>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</si>
  <si>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</si>
  <si>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</si>
  <si>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</si>
  <si>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</si>
  <si>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</si>
  <si>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</si>
  <si>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</si>
  <si>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</si>
  <si>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</si>
  <si>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</si>
  <si>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</si>
  <si>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</si>
  <si>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</si>
  <si>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</si>
  <si>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</si>
  <si>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</si>
  <si>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</si>
  <si>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</si>
  <si>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</si>
  <si>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</si>
  <si>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</si>
  <si>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</si>
  <si>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</si>
  <si>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</si>
  <si>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</si>
  <si>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</si>
  <si>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</si>
  <si>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</si>
  <si>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</si>
  <si>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</si>
  <si>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</si>
  <si>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</si>
  <si>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</si>
  <si>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</si>
  <si>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</si>
  <si>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</si>
  <si>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</si>
  <si>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</si>
  <si>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</si>
  <si>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</si>
  <si>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</si>
  <si>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</si>
  <si>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</si>
  <si>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</si>
  <si>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</si>
  <si>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</si>
  <si>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</si>
  <si>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</si>
  <si>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</si>
  <si>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</si>
  <si>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</si>
  <si>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</si>
  <si>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</si>
  <si>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</si>
  <si>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</si>
  <si>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</si>
  <si>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</si>
  <si>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</si>
  <si>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</si>
  <si>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</si>
  <si>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</si>
  <si>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</si>
  <si>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</si>
  <si>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</si>
  <si>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</si>
  <si>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</si>
  <si>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</si>
  <si>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</si>
  <si>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</si>
  <si>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</si>
  <si>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</si>
  <si>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</si>
  <si>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</si>
  <si>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</si>
  <si>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</si>
  <si>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</si>
  <si>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</si>
  <si>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</si>
  <si>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</si>
  <si>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</si>
  <si>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</si>
  <si>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</si>
  <si>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</si>
  <si>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</si>
  <si>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</si>
  <si>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</si>
  <si>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</si>
  <si>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</si>
  <si>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</si>
  <si>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</si>
  <si>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</si>
  <si>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</si>
  <si>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</si>
  <si>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</si>
  <si>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</si>
  <si>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</si>
  <si>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</si>
  <si>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</si>
  <si>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</si>
  <si>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</si>
  <si>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</si>
  <si>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</si>
  <si>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</si>
  <si>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</si>
  <si>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</si>
  <si>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</si>
  <si>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</si>
  <si>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</si>
  <si>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</si>
  <si>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</si>
  <si>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</si>
  <si>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</si>
  <si>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</si>
  <si>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</si>
  <si>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</si>
  <si>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</si>
  <si>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</si>
  <si>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</si>
  <si>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</si>
  <si>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</si>
  <si>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</si>
  <si>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</si>
  <si>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</si>
  <si>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</si>
  <si>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</si>
  <si>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</si>
  <si>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</si>
  <si>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</si>
  <si>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</si>
  <si>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</si>
  <si>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</si>
  <si>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</si>
  <si>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</si>
  <si>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</si>
  <si>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</si>
  <si>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</si>
  <si>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</si>
  <si>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</si>
  <si>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</si>
  <si>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</si>
  <si>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</si>
  <si>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</si>
  <si>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</si>
  <si>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</si>
  <si>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</si>
  <si>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</si>
  <si>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</si>
  <si>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</si>
  <si>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</si>
  <si>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</si>
  <si>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</si>
  <si>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</si>
  <si>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</si>
  <si>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</si>
  <si>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</si>
  <si>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</si>
  <si>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</si>
  <si>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</si>
  <si>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</si>
  <si>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</si>
  <si>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</si>
  <si>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</si>
  <si>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</si>
  <si>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</si>
  <si>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</si>
  <si>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</si>
  <si>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</si>
  <si>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</si>
  <si>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</si>
  <si>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</si>
  <si>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</si>
  <si>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</si>
  <si>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</si>
  <si>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</si>
  <si>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</si>
  <si>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</si>
  <si>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</si>
  <si>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</si>
  <si>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</si>
  <si>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</si>
  <si>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</si>
  <si>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</si>
  <si>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</si>
  <si>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</si>
  <si>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</si>
  <si>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</si>
  <si>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</si>
  <si>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</si>
  <si>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</si>
  <si>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</si>
  <si>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</si>
  <si>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</si>
  <si>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</si>
  <si>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</si>
  <si>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</si>
  <si>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</si>
  <si>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</si>
  <si>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</si>
  <si>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</si>
  <si>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</si>
  <si>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</si>
  <si>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</si>
  <si>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</si>
  <si>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</si>
  <si>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</si>
  <si>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</si>
  <si>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</si>
  <si>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</si>
  <si>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</si>
  <si>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</si>
  <si>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</si>
  <si>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</si>
  <si>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</si>
  <si>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</si>
  <si>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</si>
  <si>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</si>
  <si>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</si>
  <si>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</si>
  <si>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</si>
  <si>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</si>
  <si>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</si>
  <si>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</si>
  <si>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</si>
  <si>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</si>
  <si>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</si>
  <si>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</si>
  <si>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</si>
  <si>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</si>
  <si>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</si>
  <si>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</si>
  <si>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</si>
  <si>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</si>
  <si>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</si>
  <si>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</si>
  <si>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</si>
  <si>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</si>
  <si>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</si>
  <si>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</si>
  <si>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</si>
  <si>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</si>
  <si>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</si>
  <si>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</si>
  <si>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</si>
  <si>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</si>
  <si>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</si>
  <si>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</si>
  <si>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</si>
  <si>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</si>
  <si>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</si>
  <si>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</si>
  <si>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</si>
  <si>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</si>
  <si>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</si>
  <si>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</si>
  <si>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</si>
  <si>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</si>
  <si>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</si>
  <si>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</si>
  <si>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</si>
  <si>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</si>
  <si>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</si>
  <si>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</si>
  <si>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</si>
  <si>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</si>
  <si>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</si>
  <si>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</si>
  <si>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</si>
  <si>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</si>
  <si>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</si>
  <si>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</si>
  <si>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</si>
  <si>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</si>
  <si>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</si>
  <si>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</si>
  <si>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</si>
  <si>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</si>
  <si>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</si>
  <si>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</si>
  <si>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</si>
  <si>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</si>
  <si>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</si>
  <si>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</si>
  <si>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</si>
  <si>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</si>
  <si>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</si>
  <si>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</si>
  <si>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</si>
  <si>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</si>
  <si>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</si>
  <si>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</si>
  <si>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</si>
  <si>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</si>
  <si>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</si>
  <si>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</si>
  <si>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</si>
  <si>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</si>
  <si>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</si>
  <si>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</si>
  <si>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</si>
  <si>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</si>
  <si>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</si>
  <si>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</si>
  <si>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</si>
  <si>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</si>
  <si>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</si>
  <si>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</si>
  <si>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</si>
  <si>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</si>
  <si>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</si>
  <si>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</si>
  <si>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</si>
  <si>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</si>
  <si>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</si>
  <si>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</si>
  <si>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</si>
  <si>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</si>
  <si>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</si>
  <si>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</si>
  <si>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</si>
  <si>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</si>
  <si>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</si>
  <si>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</si>
  <si>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</si>
  <si>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</si>
  <si>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</si>
  <si>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</si>
  <si>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</si>
  <si>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</si>
  <si>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</si>
  <si>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</si>
  <si>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</si>
  <si>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</si>
  <si>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</si>
  <si>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</si>
  <si>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</si>
  <si>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</si>
  <si>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</si>
  <si>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</si>
  <si>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</si>
  <si>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</si>
  <si>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</si>
  <si>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</si>
  <si>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</si>
  <si>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</si>
  <si>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</si>
  <si>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</si>
  <si>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</si>
  <si>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</si>
  <si>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</si>
  <si>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</si>
  <si>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</si>
  <si>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</si>
  <si>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</si>
  <si>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</si>
  <si>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</si>
  <si>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</si>
  <si>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</si>
  <si>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</si>
  <si>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</si>
  <si>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</si>
  <si>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</si>
  <si>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</si>
  <si>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</si>
  <si>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</si>
  <si>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</si>
  <si>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</si>
  <si>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</si>
  <si>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</si>
  <si>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</si>
  <si>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</si>
  <si>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</si>
  <si>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</si>
  <si>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</si>
  <si>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</si>
  <si>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</si>
  <si>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</si>
  <si>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</si>
  <si>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</si>
  <si>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</si>
  <si>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</si>
  <si>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</si>
  <si>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</si>
  <si>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</si>
  <si>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</si>
  <si>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</si>
  <si>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</si>
  <si>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</si>
  <si>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</si>
  <si>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</si>
  <si>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</si>
  <si>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</si>
  <si>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</si>
  <si>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</si>
  <si>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</si>
  <si>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</si>
  <si>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</si>
  <si>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</si>
  <si>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</si>
  <si>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</si>
  <si>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</si>
  <si>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</si>
  <si>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</si>
  <si>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</si>
  <si>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</si>
  <si>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</si>
  <si>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</si>
  <si>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</si>
  <si>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</si>
  <si>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</si>
  <si>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</si>
  <si>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</si>
  <si>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</si>
  <si>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</si>
  <si>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</si>
  <si>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</si>
  <si>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</si>
  <si>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</si>
  <si>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</si>
  <si>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</si>
  <si>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</si>
  <si>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</si>
  <si>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</si>
  <si>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</si>
  <si>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</si>
  <si>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</si>
  <si>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</si>
  <si>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</si>
  <si>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</si>
  <si>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</si>
  <si>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</si>
  <si>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</si>
  <si>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</si>
  <si>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</si>
  <si>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</si>
  <si>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</si>
  <si>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</si>
  <si>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</si>
  <si>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</si>
  <si>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</si>
  <si>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</si>
  <si>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</si>
  <si>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</si>
  <si>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</si>
  <si>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</si>
  <si>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</si>
  <si>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</si>
  <si>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</si>
  <si>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</si>
  <si>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</si>
  <si>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</si>
  <si>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</si>
  <si>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</si>
  <si>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</si>
  <si>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</si>
  <si>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</si>
  <si>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</si>
  <si>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</si>
  <si>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</si>
  <si>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</si>
  <si>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</si>
  <si>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</si>
  <si>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</si>
  <si>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</si>
  <si>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</si>
  <si>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</si>
  <si>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</si>
  <si>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</si>
  <si>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</si>
  <si>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</si>
  <si>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</si>
  <si>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</si>
  <si>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</si>
  <si>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</si>
  <si>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</si>
  <si>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</si>
  <si>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</si>
  <si>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</si>
  <si>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</si>
  <si>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</si>
  <si>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</si>
  <si>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</si>
  <si>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</si>
  <si>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</si>
  <si>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</si>
  <si>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</si>
  <si>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</si>
  <si>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</si>
  <si>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</si>
  <si>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</si>
  <si>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</si>
  <si>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</si>
  <si>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</si>
  <si>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</si>
  <si>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</si>
  <si>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</si>
  <si>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</si>
  <si>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</si>
  <si>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</si>
  <si>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</si>
  <si>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</si>
  <si>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</si>
  <si>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</si>
  <si>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</si>
  <si>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</si>
  <si>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</si>
  <si>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</si>
  <si>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</si>
  <si>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</si>
  <si>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</si>
  <si>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</si>
  <si>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</si>
  <si>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</si>
  <si>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</si>
  <si>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</si>
  <si>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</si>
  <si>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</si>
  <si>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</si>
  <si>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</si>
  <si>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</si>
  <si>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</si>
  <si>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</si>
  <si>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</si>
  <si>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</si>
  <si>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</si>
  <si>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</si>
  <si>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</si>
  <si>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</si>
  <si>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</si>
  <si>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</si>
  <si>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</si>
  <si>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</si>
  <si>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</si>
  <si>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</si>
  <si>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</si>
  <si>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</si>
  <si>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</si>
  <si>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</si>
  <si>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</si>
  <si>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</si>
  <si>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</si>
  <si>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</si>
  <si>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</si>
  <si>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</si>
  <si>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</si>
  <si>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</si>
  <si>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</si>
  <si>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</si>
  <si>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</si>
  <si>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</si>
  <si>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</si>
  <si>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</si>
  <si>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</si>
  <si>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</si>
  <si>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</si>
  <si>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</si>
  <si>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</si>
  <si>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</si>
  <si>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</si>
  <si>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</si>
  <si>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</si>
  <si>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</si>
  <si>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</si>
  <si>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</si>
  <si>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</si>
  <si>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</si>
  <si>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</si>
  <si>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</si>
  <si>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</si>
  <si>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</si>
  <si>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</si>
  <si>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</si>
  <si>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</si>
  <si>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</si>
  <si>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</si>
  <si>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</si>
  <si>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</si>
  <si>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</si>
  <si>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</si>
  <si>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</si>
  <si>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</si>
  <si>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</si>
  <si>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</si>
  <si>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</si>
  <si>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</si>
  <si>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</si>
  <si>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</si>
  <si>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</si>
  <si>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</si>
  <si>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</si>
  <si>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</si>
  <si>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</si>
  <si>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</si>
  <si>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</si>
  <si>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</si>
  <si>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</si>
  <si>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</si>
  <si>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</si>
  <si>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</si>
  <si>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</si>
  <si>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</si>
  <si>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</si>
  <si>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</si>
  <si>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</si>
  <si>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</si>
  <si>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</si>
  <si>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</si>
  <si>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</si>
  <si>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</si>
  <si>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</si>
  <si>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</si>
  <si>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</si>
  <si>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</si>
  <si>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</si>
  <si>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</si>
  <si>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</si>
  <si>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</si>
  <si>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</si>
  <si>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</si>
  <si>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</si>
  <si>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</si>
  <si>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</si>
  <si>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</si>
  <si>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</si>
  <si>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</si>
  <si>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</si>
  <si>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</si>
  <si>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</si>
  <si>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</si>
  <si>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</si>
  <si>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</si>
  <si>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</si>
  <si>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</si>
  <si>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</si>
  <si>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</si>
  <si>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</si>
  <si>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</si>
  <si>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</si>
  <si>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</si>
  <si>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</si>
  <si>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</si>
  <si>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</si>
  <si>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</si>
  <si>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</si>
  <si>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</si>
  <si>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</si>
  <si>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</si>
  <si>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</si>
  <si>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</si>
  <si>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</si>
  <si>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</si>
  <si>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</si>
  <si>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</si>
  <si>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</si>
  <si>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</si>
  <si>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</si>
  <si>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</si>
  <si>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</si>
  <si>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</si>
  <si>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</si>
  <si>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</si>
  <si>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</si>
  <si>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</si>
  <si>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</si>
  <si>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</si>
  <si>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</si>
  <si>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</si>
  <si>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</si>
  <si>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</si>
  <si>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</si>
  <si>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</si>
  <si>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</si>
  <si>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</si>
  <si>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</si>
  <si>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</si>
  <si>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</si>
  <si>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</si>
  <si>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</si>
  <si>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</si>
  <si>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</si>
  <si>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</si>
  <si>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</si>
  <si>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</si>
  <si>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</si>
  <si>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</si>
  <si>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</si>
  <si>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</si>
  <si>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</si>
  <si>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</si>
  <si>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</si>
  <si>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</si>
  <si>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</si>
  <si>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</si>
  <si>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</si>
  <si>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</si>
  <si>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</si>
  <si>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</si>
  <si>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</si>
  <si>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</si>
  <si>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</si>
  <si>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</si>
  <si>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</si>
  <si>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</si>
  <si>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</si>
  <si>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</si>
  <si>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</si>
  <si>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</si>
  <si>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</si>
  <si>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</si>
  <si>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</si>
  <si>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</si>
  <si>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</si>
  <si>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</si>
  <si>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</si>
  <si>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</si>
  <si>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</si>
  <si>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</si>
  <si>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</si>
  <si>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</si>
  <si>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</si>
  <si>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</si>
  <si>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</si>
  <si>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</si>
  <si>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</si>
  <si>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</si>
  <si>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</si>
  <si>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</si>
  <si>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</si>
  <si>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</si>
  <si>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</si>
  <si>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</si>
  <si>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</si>
  <si>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</si>
  <si>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</si>
  <si>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</si>
  <si>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</si>
  <si>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</si>
  <si>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</si>
  <si>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</si>
  <si>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</si>
  <si>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</si>
  <si>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</si>
  <si>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</si>
  <si>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</si>
  <si>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</si>
  <si>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</si>
  <si>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</si>
  <si>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</si>
  <si>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</si>
  <si>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</si>
  <si>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</si>
  <si>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</si>
  <si>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</si>
  <si>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</si>
  <si>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</si>
  <si>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</si>
  <si>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</si>
  <si>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</si>
  <si>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</si>
  <si>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</si>
  <si>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</si>
  <si>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</si>
  <si>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</si>
  <si>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</si>
  <si>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</si>
  <si>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</si>
  <si>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</si>
  <si>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</si>
  <si>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</si>
  <si>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</si>
  <si>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</si>
  <si>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</si>
  <si>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</si>
  <si>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</si>
  <si>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</si>
  <si>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</si>
  <si>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</si>
  <si>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</si>
  <si>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</si>
  <si>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</si>
  <si>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</si>
  <si>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</si>
  <si>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</si>
  <si>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</si>
  <si>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</si>
  <si>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</si>
  <si>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</si>
  <si>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</si>
  <si>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</si>
  <si>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</si>
  <si>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</si>
  <si>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</si>
  <si>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</si>
  <si>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</si>
  <si>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</si>
  <si>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</si>
  <si>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</si>
  <si>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</si>
  <si>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</si>
  <si>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</si>
  <si>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</si>
  <si>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</si>
  <si>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</si>
  <si>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</si>
  <si>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</si>
  <si>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</si>
  <si>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</si>
  <si>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</si>
  <si>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</si>
  <si>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</si>
  <si>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</si>
  <si>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</si>
  <si>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</si>
  <si>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</si>
  <si>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</si>
  <si>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</si>
  <si>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</si>
  <si>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</si>
  <si>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</si>
  <si>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</si>
  <si>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</si>
  <si>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</si>
  <si>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</si>
  <si>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</si>
  <si>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</si>
  <si>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</si>
  <si>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</si>
  <si>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</si>
  <si>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</si>
  <si>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</si>
  <si>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</si>
  <si>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</si>
  <si>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</si>
  <si>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</si>
  <si>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</si>
  <si>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</si>
  <si>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</si>
  <si>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</si>
  <si>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</si>
  <si>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</si>
  <si>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</si>
  <si>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</si>
  <si>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</si>
  <si>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</si>
  <si>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</si>
  <si>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</si>
  <si>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</si>
  <si>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</si>
  <si>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</si>
  <si>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</si>
  <si>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</si>
  <si>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</si>
  <si>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</si>
  <si>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</si>
  <si>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</si>
  <si>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</si>
  <si>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</si>
  <si>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</si>
  <si>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</si>
  <si>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</si>
  <si>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</si>
  <si>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</si>
  <si>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</si>
  <si>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</si>
  <si>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</si>
  <si>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</si>
  <si>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</si>
  <si>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</si>
  <si>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</si>
  <si>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</si>
  <si>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</si>
  <si>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</si>
  <si>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</si>
  <si>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</si>
  <si>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</si>
  <si>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</si>
  <si>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</si>
  <si>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</si>
  <si>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</si>
  <si>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</si>
  <si>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</si>
  <si>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</si>
  <si>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</si>
  <si>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</si>
  <si>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</si>
  <si>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</si>
  <si>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</si>
  <si>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</si>
  <si>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</si>
  <si>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</si>
  <si>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</si>
  <si>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</si>
  <si>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</si>
  <si>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</si>
  <si>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</si>
  <si>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</si>
  <si>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</si>
  <si>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</si>
  <si>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</si>
  <si>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</si>
  <si>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</si>
  <si>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</si>
  <si>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</si>
  <si>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</si>
  <si>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</si>
  <si>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</si>
  <si>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</si>
  <si>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</si>
  <si>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</si>
  <si>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</si>
  <si>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</si>
  <si>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</si>
  <si>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</si>
  <si>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</si>
  <si>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</si>
  <si>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</si>
  <si>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</si>
  <si>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</si>
  <si>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</si>
  <si>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</si>
  <si>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</si>
  <si>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</si>
  <si>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</si>
  <si>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</si>
  <si>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</si>
  <si>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</si>
  <si>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</si>
  <si>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</si>
  <si>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</si>
  <si>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</si>
  <si>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</si>
  <si>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</si>
  <si>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</si>
  <si>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</si>
  <si>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</si>
  <si>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</si>
  <si>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</si>
  <si>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</si>
  <si>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</si>
  <si>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</si>
  <si>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</si>
  <si>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</si>
  <si>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</si>
  <si>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</si>
  <si>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</si>
  <si>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</si>
  <si>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</si>
  <si>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</si>
  <si>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</si>
  <si>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</si>
  <si>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</si>
  <si>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</si>
  <si>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</si>
  <si>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</si>
  <si>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</si>
  <si>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</si>
  <si>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</si>
  <si>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</si>
  <si>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</si>
  <si>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</si>
  <si>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</si>
  <si>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</si>
  <si>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</si>
  <si>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</si>
  <si>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</si>
  <si>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</si>
  <si>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</si>
  <si>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</si>
  <si>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</si>
  <si>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</si>
  <si>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</si>
  <si>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</si>
  <si>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</si>
  <si>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</si>
  <si>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</si>
  <si>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</si>
  <si>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</si>
  <si>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</si>
  <si>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</si>
  <si>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</si>
  <si>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</si>
  <si>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</si>
  <si>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</si>
  <si>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</si>
  <si>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</si>
  <si>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</si>
  <si>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</si>
  <si>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</si>
  <si>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</si>
  <si>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</si>
  <si>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</si>
  <si>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</si>
  <si>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</si>
  <si>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</si>
  <si>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</si>
  <si>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</si>
  <si>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</si>
  <si>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</si>
  <si>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</si>
  <si>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</si>
  <si>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</si>
  <si>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</si>
  <si>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</si>
  <si>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</si>
  <si>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</si>
  <si>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</si>
  <si>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</si>
  <si>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</si>
  <si>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</si>
  <si>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</si>
  <si>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</si>
  <si>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</si>
  <si>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</si>
  <si>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</si>
  <si>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</si>
  <si>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</si>
  <si>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</si>
  <si>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</si>
  <si>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</si>
  <si>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</si>
  <si>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</si>
  <si>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</si>
  <si>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</si>
  <si>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</si>
  <si>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</si>
  <si>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</si>
  <si>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</si>
  <si>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</si>
  <si>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</si>
  <si>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</si>
  <si>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</si>
  <si>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</si>
  <si>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</si>
  <si>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</si>
  <si>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</si>
  <si>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</si>
  <si>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</si>
  <si>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</si>
  <si>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</si>
  <si>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</si>
  <si>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</si>
  <si>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</si>
  <si>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</si>
  <si>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</si>
  <si>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</si>
  <si>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</si>
  <si>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</si>
  <si>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</si>
  <si>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Du Lịch</t>
  </si>
  <si>
    <t>Giới tính Nam</t>
  </si>
  <si>
    <t>03/07/2023</t>
  </si>
  <si>
    <t>Nguyễn Úy</t>
  </si>
  <si>
    <t>05/07/2023</t>
  </si>
  <si>
    <t>04/07/1966</t>
  </si>
  <si>
    <t>Dương Văn Hùng</t>
  </si>
  <si>
    <t>04/03/1959</t>
  </si>
  <si>
    <t>035059008169</t>
  </si>
  <si>
    <t>Hà Khánh Linh</t>
  </si>
  <si>
    <t>23/09/1963</t>
  </si>
  <si>
    <t>035063803569</t>
  </si>
  <si>
    <t>Lý Công Thủy</t>
  </si>
  <si>
    <t>18/11/1967</t>
  </si>
  <si>
    <t>035067345615</t>
  </si>
  <si>
    <t>Bùi Nhật Hiếu</t>
  </si>
  <si>
    <t>11/08/1969</t>
  </si>
  <si>
    <t>035069087909</t>
  </si>
  <si>
    <t>Dương Quốc Bình</t>
  </si>
  <si>
    <t>27/05/1964</t>
  </si>
  <si>
    <t>035064768738</t>
  </si>
  <si>
    <t>Lý Nhật Hưng</t>
  </si>
  <si>
    <t>13/02/1968</t>
  </si>
  <si>
    <t>035068912245</t>
  </si>
  <si>
    <t>Vũ Đức Phúc</t>
  </si>
  <si>
    <t>03/10/1967</t>
  </si>
  <si>
    <t>035067810786</t>
  </si>
  <si>
    <t>Hồ Phước Thành</t>
  </si>
  <si>
    <t>15/06/1967</t>
  </si>
  <si>
    <t>035067645007</t>
  </si>
  <si>
    <t>Vũ Đức Bình</t>
  </si>
  <si>
    <t>035066313555</t>
  </si>
  <si>
    <t>Ngô Gia Long</t>
  </si>
  <si>
    <t>22/08/1960</t>
  </si>
  <si>
    <t>035060078011</t>
  </si>
  <si>
    <t>Võ Hữu Bình</t>
  </si>
  <si>
    <t>21/07/1966</t>
  </si>
  <si>
    <t>035066953784</t>
  </si>
  <si>
    <t>Vũ Phúc Bình</t>
  </si>
  <si>
    <t>19/01/1963</t>
  </si>
  <si>
    <t>035063295793</t>
  </si>
  <si>
    <t>Thái Văn Kiên</t>
  </si>
  <si>
    <t>10/07/1964</t>
  </si>
  <si>
    <t>035064061798</t>
  </si>
  <si>
    <t>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</si>
</sst>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V15" sqref="V15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22049</v>
      </c>
      <c r="C3" s="16" t="s">
        <v>22050</v>
      </c>
      <c r="D3" s="16" t="s">
        <v>38</v>
      </c>
      <c r="E3" s="16" t="s">
        <v>22051</v>
      </c>
      <c r="I3" s="16" t="s">
        <v>369</v>
      </c>
      <c r="J3" s="17" t="s">
        <v>22046</v>
      </c>
      <c r="K3" s="16" t="s">
        <v>743</v>
      </c>
      <c r="L3" s="16" t="s">
        <v>1826</v>
      </c>
      <c r="M3" s="16" t="s">
        <v>1917</v>
      </c>
      <c r="N3" s="16" t="s">
        <v>1940</v>
      </c>
      <c r="O3" s="16" t="s">
        <v>6087</v>
      </c>
      <c r="P3" s="19" t="s">
        <v>6145</v>
      </c>
      <c r="Q3" s="17" t="s">
        <v>22046</v>
      </c>
      <c r="R3" s="16" t="s">
        <v>13</v>
      </c>
      <c r="S3" s="19" t="s">
        <v>22045</v>
      </c>
      <c r="T3" s="19" t="s">
        <v>22047</v>
      </c>
      <c r="U3" s="16" t="s">
        <v>22043</v>
      </c>
      <c r="V3" s="4">
        <v>201</v>
      </c>
    </row>
    <row r="4" spans="1:23" x14ac:dyDescent="0.3">
      <c r="A4" s="15">
        <v>2</v>
      </c>
      <c r="B4" s="16" t="s">
        <v>22052</v>
      </c>
      <c r="C4" s="16" t="s">
        <v>22053</v>
      </c>
      <c r="D4" s="16" t="s">
        <v>22044</v>
      </c>
      <c r="E4" s="16" t="s">
        <v>22054</v>
      </c>
      <c r="I4" s="16" t="s">
        <v>369</v>
      </c>
      <c r="J4" s="17" t="s">
        <v>22046</v>
      </c>
      <c r="K4" s="16" t="s">
        <v>743</v>
      </c>
      <c r="L4" s="16" t="s">
        <v>1826</v>
      </c>
      <c r="M4" s="16" t="s">
        <v>1917</v>
      </c>
      <c r="N4" s="16" t="s">
        <v>1940</v>
      </c>
      <c r="O4" s="16" t="s">
        <v>6087</v>
      </c>
      <c r="P4" s="19" t="s">
        <v>6145</v>
      </c>
      <c r="Q4" s="17" t="s">
        <v>22046</v>
      </c>
      <c r="R4" s="16" t="s">
        <v>13</v>
      </c>
      <c r="S4" s="19" t="s">
        <v>22045</v>
      </c>
      <c r="T4" s="19" t="s">
        <v>22047</v>
      </c>
      <c r="U4" s="17" t="s">
        <v>22043</v>
      </c>
      <c r="V4" s="4">
        <v>201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22044</v>
      </c>
      <c r="E5" s="16" t="s">
        <v>22057</v>
      </c>
      <c r="I5" s="16" t="s">
        <v>369</v>
      </c>
      <c r="J5" s="17" t="s">
        <v>22046</v>
      </c>
      <c r="K5" s="16" t="s">
        <v>743</v>
      </c>
      <c r="L5" s="16" t="s">
        <v>1826</v>
      </c>
      <c r="M5" s="16" t="s">
        <v>1917</v>
      </c>
      <c r="N5" s="16" t="s">
        <v>1940</v>
      </c>
      <c r="O5" s="16" t="s">
        <v>6087</v>
      </c>
      <c r="P5" s="19" t="s">
        <v>6145</v>
      </c>
      <c r="Q5" s="17" t="s">
        <v>22046</v>
      </c>
      <c r="R5" s="16" t="s">
        <v>13</v>
      </c>
      <c r="S5" s="19" t="s">
        <v>22045</v>
      </c>
      <c r="T5" s="19" t="s">
        <v>22047</v>
      </c>
      <c r="U5" s="17" t="s">
        <v>22043</v>
      </c>
      <c r="V5" s="4">
        <v>201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22044</v>
      </c>
      <c r="E6" s="16" t="s">
        <v>22060</v>
      </c>
      <c r="I6" s="16" t="s">
        <v>369</v>
      </c>
      <c r="J6" s="17" t="s">
        <v>22046</v>
      </c>
      <c r="K6" s="16" t="s">
        <v>743</v>
      </c>
      <c r="L6" s="16" t="s">
        <v>1826</v>
      </c>
      <c r="M6" s="16" t="s">
        <v>1917</v>
      </c>
      <c r="N6" s="16" t="s">
        <v>1940</v>
      </c>
      <c r="O6" s="16" t="s">
        <v>6087</v>
      </c>
      <c r="P6" s="19" t="s">
        <v>6145</v>
      </c>
      <c r="Q6" s="17" t="s">
        <v>22046</v>
      </c>
      <c r="R6" s="16" t="s">
        <v>13</v>
      </c>
      <c r="S6" s="19" t="s">
        <v>22045</v>
      </c>
      <c r="T6" s="19" t="s">
        <v>22047</v>
      </c>
      <c r="U6" s="17" t="s">
        <v>22043</v>
      </c>
      <c r="V6" s="4">
        <v>201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22044</v>
      </c>
      <c r="E7" s="16" t="s">
        <v>22063</v>
      </c>
      <c r="I7" s="16" t="s">
        <v>369</v>
      </c>
      <c r="J7" s="17" t="s">
        <v>22046</v>
      </c>
      <c r="K7" s="16" t="s">
        <v>743</v>
      </c>
      <c r="L7" s="16" t="s">
        <v>1826</v>
      </c>
      <c r="M7" s="16" t="s">
        <v>1917</v>
      </c>
      <c r="N7" s="16" t="s">
        <v>1940</v>
      </c>
      <c r="O7" s="16" t="s">
        <v>6087</v>
      </c>
      <c r="P7" s="19" t="s">
        <v>6145</v>
      </c>
      <c r="Q7" s="17" t="s">
        <v>22046</v>
      </c>
      <c r="R7" s="16" t="s">
        <v>13</v>
      </c>
      <c r="S7" s="19" t="s">
        <v>22045</v>
      </c>
      <c r="T7" s="19" t="s">
        <v>22047</v>
      </c>
      <c r="U7" s="17" t="s">
        <v>22043</v>
      </c>
      <c r="V7" s="4">
        <v>202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22044</v>
      </c>
      <c r="E8" s="16" t="s">
        <v>22066</v>
      </c>
      <c r="I8" s="16" t="s">
        <v>369</v>
      </c>
      <c r="J8" s="17" t="s">
        <v>22046</v>
      </c>
      <c r="K8" s="16" t="s">
        <v>743</v>
      </c>
      <c r="L8" s="16" t="s">
        <v>1826</v>
      </c>
      <c r="M8" s="16" t="s">
        <v>1917</v>
      </c>
      <c r="N8" s="16" t="s">
        <v>1940</v>
      </c>
      <c r="O8" s="16" t="s">
        <v>6087</v>
      </c>
      <c r="P8" s="19" t="s">
        <v>6145</v>
      </c>
      <c r="Q8" s="17" t="s">
        <v>22046</v>
      </c>
      <c r="R8" s="16" t="s">
        <v>13</v>
      </c>
      <c r="S8" s="19" t="s">
        <v>22045</v>
      </c>
      <c r="T8" s="19" t="s">
        <v>22047</v>
      </c>
      <c r="U8" s="17" t="s">
        <v>22043</v>
      </c>
      <c r="V8" s="4">
        <v>202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22044</v>
      </c>
      <c r="E9" s="16" t="s">
        <v>22069</v>
      </c>
      <c r="I9" s="16" t="s">
        <v>369</v>
      </c>
      <c r="J9" s="17" t="s">
        <v>22046</v>
      </c>
      <c r="K9" s="16" t="s">
        <v>743</v>
      </c>
      <c r="L9" s="16" t="s">
        <v>1826</v>
      </c>
      <c r="M9" s="16" t="s">
        <v>1917</v>
      </c>
      <c r="N9" s="16" t="s">
        <v>1940</v>
      </c>
      <c r="O9" s="16" t="s">
        <v>6087</v>
      </c>
      <c r="P9" s="19" t="s">
        <v>6145</v>
      </c>
      <c r="Q9" s="17" t="s">
        <v>22046</v>
      </c>
      <c r="R9" s="16" t="s">
        <v>13</v>
      </c>
      <c r="S9" s="19" t="s">
        <v>22045</v>
      </c>
      <c r="T9" s="19" t="s">
        <v>22047</v>
      </c>
      <c r="U9" s="17" t="s">
        <v>22043</v>
      </c>
      <c r="V9" s="4">
        <v>202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22044</v>
      </c>
      <c r="E10" s="16" t="s">
        <v>22072</v>
      </c>
      <c r="I10" s="16" t="s">
        <v>369</v>
      </c>
      <c r="J10" s="17" t="s">
        <v>22046</v>
      </c>
      <c r="K10" s="16" t="s">
        <v>743</v>
      </c>
      <c r="L10" s="16" t="s">
        <v>1826</v>
      </c>
      <c r="M10" s="16" t="s">
        <v>1917</v>
      </c>
      <c r="N10" s="16" t="s">
        <v>1940</v>
      </c>
      <c r="O10" s="16" t="s">
        <v>6087</v>
      </c>
      <c r="P10" s="19" t="s">
        <v>6145</v>
      </c>
      <c r="Q10" s="17" t="s">
        <v>22046</v>
      </c>
      <c r="R10" s="16" t="s">
        <v>13</v>
      </c>
      <c r="S10" s="19" t="s">
        <v>22045</v>
      </c>
      <c r="T10" s="19" t="s">
        <v>22047</v>
      </c>
      <c r="U10" s="17" t="s">
        <v>22043</v>
      </c>
      <c r="V10" s="4">
        <v>203</v>
      </c>
    </row>
    <row r="11" spans="1:23" x14ac:dyDescent="0.3">
      <c r="A11" s="15">
        <v>9</v>
      </c>
      <c r="B11" s="16" t="s">
        <v>22073</v>
      </c>
      <c r="C11" s="16" t="s">
        <v>22048</v>
      </c>
      <c r="D11" s="16" t="s">
        <v>22044</v>
      </c>
      <c r="E11" s="16" t="s">
        <v>22074</v>
      </c>
      <c r="I11" s="16" t="s">
        <v>369</v>
      </c>
      <c r="J11" s="17" t="s">
        <v>22046</v>
      </c>
      <c r="K11" s="16" t="s">
        <v>743</v>
      </c>
      <c r="L11" s="16" t="s">
        <v>1826</v>
      </c>
      <c r="M11" s="16" t="s">
        <v>1917</v>
      </c>
      <c r="N11" s="16" t="s">
        <v>1940</v>
      </c>
      <c r="O11" s="16" t="s">
        <v>6087</v>
      </c>
      <c r="P11" s="19" t="s">
        <v>6145</v>
      </c>
      <c r="Q11" s="17" t="s">
        <v>22046</v>
      </c>
      <c r="R11" s="16" t="s">
        <v>13</v>
      </c>
      <c r="S11" s="19" t="s">
        <v>22045</v>
      </c>
      <c r="T11" s="19" t="s">
        <v>22047</v>
      </c>
      <c r="U11" s="17" t="s">
        <v>22043</v>
      </c>
      <c r="V11" s="4">
        <v>203</v>
      </c>
    </row>
    <row r="12" spans="1:23" x14ac:dyDescent="0.3">
      <c r="A12" s="15">
        <v>10</v>
      </c>
      <c r="B12" s="16" t="s">
        <v>22075</v>
      </c>
      <c r="C12" s="16" t="s">
        <v>22076</v>
      </c>
      <c r="D12" s="16" t="s">
        <v>22044</v>
      </c>
      <c r="E12" s="16" t="s">
        <v>22077</v>
      </c>
      <c r="I12" s="16" t="s">
        <v>369</v>
      </c>
      <c r="J12" s="17" t="s">
        <v>22046</v>
      </c>
      <c r="K12" s="16" t="s">
        <v>743</v>
      </c>
      <c r="L12" s="16" t="s">
        <v>1826</v>
      </c>
      <c r="M12" s="16" t="s">
        <v>1917</v>
      </c>
      <c r="N12" s="16" t="s">
        <v>1940</v>
      </c>
      <c r="O12" s="16" t="s">
        <v>6087</v>
      </c>
      <c r="P12" s="19" t="s">
        <v>6145</v>
      </c>
      <c r="Q12" s="17" t="s">
        <v>22046</v>
      </c>
      <c r="R12" s="16" t="s">
        <v>13</v>
      </c>
      <c r="S12" s="19" t="s">
        <v>22045</v>
      </c>
      <c r="T12" s="19" t="s">
        <v>22047</v>
      </c>
      <c r="U12" s="17" t="s">
        <v>22043</v>
      </c>
      <c r="V12" s="4">
        <v>203</v>
      </c>
    </row>
    <row r="13" spans="1:23" x14ac:dyDescent="0.3">
      <c r="A13" s="15">
        <v>11</v>
      </c>
      <c r="B13" s="16" t="s">
        <v>22078</v>
      </c>
      <c r="C13" s="16" t="s">
        <v>22079</v>
      </c>
      <c r="D13" s="16" t="s">
        <v>22044</v>
      </c>
      <c r="E13" s="16" t="s">
        <v>22080</v>
      </c>
      <c r="I13" s="16" t="s">
        <v>369</v>
      </c>
      <c r="J13" s="17" t="s">
        <v>22046</v>
      </c>
      <c r="K13" s="16" t="s">
        <v>743</v>
      </c>
      <c r="L13" s="16" t="s">
        <v>1826</v>
      </c>
      <c r="M13" s="16" t="s">
        <v>1917</v>
      </c>
      <c r="N13" s="16" t="s">
        <v>1940</v>
      </c>
      <c r="O13" s="16" t="s">
        <v>6087</v>
      </c>
      <c r="P13" s="19" t="s">
        <v>6145</v>
      </c>
      <c r="Q13" s="17" t="s">
        <v>22046</v>
      </c>
      <c r="R13" s="16" t="s">
        <v>13</v>
      </c>
      <c r="S13" s="19" t="s">
        <v>22045</v>
      </c>
      <c r="T13" s="19" t="s">
        <v>22047</v>
      </c>
      <c r="U13" s="17" t="s">
        <v>22043</v>
      </c>
      <c r="V13" s="4" t="s">
        <v>22087</v>
      </c>
    </row>
    <row r="14" spans="1:23" x14ac:dyDescent="0.3">
      <c r="A14" s="15">
        <v>12</v>
      </c>
      <c r="B14" s="16" t="s">
        <v>22081</v>
      </c>
      <c r="C14" s="16" t="s">
        <v>22082</v>
      </c>
      <c r="D14" s="16" t="s">
        <v>22044</v>
      </c>
      <c r="E14" s="16" t="s">
        <v>22083</v>
      </c>
      <c r="I14" s="16" t="s">
        <v>369</v>
      </c>
      <c r="J14" s="17" t="s">
        <v>22046</v>
      </c>
      <c r="K14" s="16" t="s">
        <v>743</v>
      </c>
      <c r="L14" s="16" t="s">
        <v>1826</v>
      </c>
      <c r="M14" s="16" t="s">
        <v>1917</v>
      </c>
      <c r="N14" s="16" t="s">
        <v>1940</v>
      </c>
      <c r="O14" s="16" t="s">
        <v>6087</v>
      </c>
      <c r="P14" s="19" t="s">
        <v>6145</v>
      </c>
      <c r="Q14" s="17" t="s">
        <v>22046</v>
      </c>
      <c r="R14" s="16" t="s">
        <v>13</v>
      </c>
      <c r="S14" s="19" t="s">
        <v>22045</v>
      </c>
      <c r="T14" s="19" t="s">
        <v>22047</v>
      </c>
      <c r="U14" s="17" t="s">
        <v>22043</v>
      </c>
      <c r="V14" s="4" t="s">
        <v>22087</v>
      </c>
    </row>
    <row r="15" spans="1:23" x14ac:dyDescent="0.3">
      <c r="A15" s="15">
        <v>13</v>
      </c>
      <c r="B15" s="16" t="s">
        <v>22084</v>
      </c>
      <c r="C15" s="16" t="s">
        <v>22085</v>
      </c>
      <c r="D15" s="16" t="s">
        <v>22044</v>
      </c>
      <c r="E15" s="16" t="s">
        <v>22086</v>
      </c>
      <c r="I15" s="16" t="s">
        <v>369</v>
      </c>
      <c r="J15" s="17" t="s">
        <v>22046</v>
      </c>
      <c r="K15" s="16" t="s">
        <v>743</v>
      </c>
      <c r="L15" s="16" t="s">
        <v>1826</v>
      </c>
      <c r="M15" s="16" t="s">
        <v>1917</v>
      </c>
      <c r="N15" s="16" t="s">
        <v>1940</v>
      </c>
      <c r="O15" s="16" t="s">
        <v>6087</v>
      </c>
      <c r="P15" s="19" t="s">
        <v>6145</v>
      </c>
      <c r="Q15" s="17" t="s">
        <v>22046</v>
      </c>
      <c r="R15" s="16" t="s">
        <v>13</v>
      </c>
      <c r="S15" s="19" t="s">
        <v>22045</v>
      </c>
      <c r="T15" s="19" t="s">
        <v>22047</v>
      </c>
      <c r="U15" s="17" t="s">
        <v>22043</v>
      </c>
      <c r="V15" s="4" t="s">
        <v>22087</v>
      </c>
    </row>
    <row r="16" spans="1:23" x14ac:dyDescent="0.3">
      <c r="A16" s="15">
        <v>14</v>
      </c>
      <c r="J16" s="16"/>
      <c r="P16" s="19"/>
      <c r="Q16" s="16"/>
      <c r="S16" s="19"/>
      <c r="T16" s="19"/>
      <c r="U16" s="16"/>
    </row>
    <row r="17" spans="1:21" x14ac:dyDescent="0.3">
      <c r="A17" s="15">
        <v>15</v>
      </c>
      <c r="J17" s="16"/>
      <c r="P17" s="19"/>
      <c r="Q17" s="16"/>
      <c r="S17" s="19"/>
      <c r="T17" s="19"/>
      <c r="U17" s="16"/>
    </row>
    <row r="18" spans="1:21" x14ac:dyDescent="0.3">
      <c r="A18" s="15">
        <v>16</v>
      </c>
      <c r="J18" s="16"/>
      <c r="P18" s="19"/>
      <c r="Q18" s="16"/>
      <c r="S18" s="19"/>
      <c r="T18" s="19"/>
      <c r="U18" s="16"/>
    </row>
    <row r="19" spans="1:21" x14ac:dyDescent="0.3">
      <c r="A19" s="15">
        <v>17</v>
      </c>
      <c r="J19" s="16"/>
      <c r="Q19" s="16"/>
      <c r="S19" s="19"/>
      <c r="T19" s="19"/>
      <c r="U19" s="16"/>
    </row>
    <row r="20" spans="1:21" x14ac:dyDescent="0.3">
      <c r="A20" s="15">
        <v>18</v>
      </c>
      <c r="J20" s="16"/>
      <c r="Q20" s="16"/>
      <c r="S20" s="19"/>
      <c r="T20" s="19"/>
      <c r="U20" s="16"/>
    </row>
    <row r="21" spans="1:21" x14ac:dyDescent="0.3">
      <c r="A21" s="15">
        <v>19</v>
      </c>
      <c r="J21" s="16"/>
      <c r="Q21" s="16"/>
      <c r="S21" s="19"/>
      <c r="T21" s="19"/>
      <c r="U21" s="16"/>
    </row>
    <row r="22" spans="1:21" x14ac:dyDescent="0.3">
      <c r="A22" s="15">
        <v>20</v>
      </c>
      <c r="J22" s="16"/>
      <c r="Q22" s="16"/>
      <c r="S22" s="19"/>
      <c r="T22" s="19"/>
      <c r="U22" s="16"/>
    </row>
    <row r="23" spans="1:21" x14ac:dyDescent="0.3">
      <c r="A23" s="15">
        <v>21</v>
      </c>
      <c r="J23" s="16"/>
      <c r="Q23" s="16"/>
      <c r="S23" s="19"/>
      <c r="T23" s="19"/>
      <c r="U23" s="16"/>
    </row>
    <row r="24" spans="1:21" x14ac:dyDescent="0.3">
      <c r="A24" s="15">
        <v>22</v>
      </c>
      <c r="J24" s="16"/>
      <c r="Q24" s="16"/>
      <c r="S24" s="19"/>
      <c r="T24" s="19"/>
      <c r="U24" s="16"/>
    </row>
    <row r="25" spans="1:21" x14ac:dyDescent="0.3">
      <c r="A25" s="15">
        <v>23</v>
      </c>
      <c r="J25" s="16"/>
      <c r="Q25" s="16"/>
      <c r="S25" s="19"/>
      <c r="T25" s="19"/>
      <c r="U25" s="16"/>
    </row>
    <row r="26" spans="1:21" x14ac:dyDescent="0.3">
      <c r="A26" s="15">
        <v>24</v>
      </c>
      <c r="J26" s="16"/>
      <c r="Q26" s="16"/>
      <c r="S26" s="19"/>
      <c r="T26" s="19"/>
      <c r="U26" s="16"/>
    </row>
    <row r="27" spans="1:21" x14ac:dyDescent="0.3">
      <c r="A27" s="15">
        <v>25</v>
      </c>
      <c r="J27" s="16"/>
      <c r="Q27" s="16"/>
      <c r="S27" s="19"/>
      <c r="T27" s="19"/>
      <c r="U27" s="16"/>
    </row>
    <row r="28" spans="1:21" x14ac:dyDescent="0.3">
      <c r="A28" s="15">
        <v>26</v>
      </c>
      <c r="J28" s="16"/>
      <c r="Q28" s="16"/>
      <c r="S28" s="19"/>
      <c r="T28" s="19"/>
      <c r="U28" s="16"/>
    </row>
    <row r="29" spans="1:21" x14ac:dyDescent="0.3">
      <c r="A29" s="15">
        <v>27</v>
      </c>
      <c r="J29" s="16"/>
      <c r="Q29" s="16"/>
      <c r="S29" s="19"/>
      <c r="T29" s="19"/>
      <c r="U29" s="16"/>
    </row>
    <row r="30" spans="1:21" x14ac:dyDescent="0.3">
      <c r="A30" s="15">
        <v>28</v>
      </c>
      <c r="J30" s="16"/>
      <c r="Q30" s="16"/>
      <c r="S30" s="19"/>
      <c r="T30" s="19"/>
      <c r="U30" s="16"/>
    </row>
    <row r="31" spans="1:21" x14ac:dyDescent="0.3">
      <c r="A31" s="15">
        <v>29</v>
      </c>
      <c r="J31" s="16"/>
      <c r="Q31" s="16"/>
      <c r="S31" s="19"/>
      <c r="T31" s="19"/>
      <c r="U31" s="16"/>
    </row>
    <row r="32" spans="1:21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P6X1fp7DbySJN3Y6YaSFCwTwlPeuBoFhWtVJTG8MOzve5AEzzPwpwi/Cv3Zr2juzxr1nLGD7BKvkSw1so9PlfQ==" saltValue="zsk90Mk0/e5yo7PB7AS5kg==" spinCount="100000" sheet="1" objects="1" scenarios="1"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Dương Văn Hùng</v>
      </c>
      <c r="B1" s="18" t="str">
        <f>DanhsachNguoiluutru!C3</f>
        <v>04/03/1959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035059008169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Nguyễn Úy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35</v>
      </c>
      <c r="S1" s="18" t="str">
        <f ca="1">INDEX(OFFSET(QuanHuyen!$C$1,MATCH(extracted!$R1,QuanHuyen!$A:$A,0)-1,0,10000,1),MATCH(DanhsachNguoiluutru!$O3,OFFSET(QuanHuyen!$B$1,MATCH(extracted!$R1,QuanHuyen!$A:$A,0)-1,0,10000,1), 0))</f>
        <v>350</v>
      </c>
      <c r="T1" s="18" t="str">
        <f ca="1">INDEX(OFFSET(PhuongXa!$C$1,MATCH(extracted!$S1,PhuongXa!$A:$A,0)-1,0,10000,1),MATCH(DanhsachNguoiluutru!$P3,OFFSET(PhuongXa!$B$1,MATCH(extracted!$S1,PhuongXa!$A:$A,0)-1,0,10000,1), 0))</f>
        <v>13387</v>
      </c>
      <c r="U1" s="18" t="str">
        <f>DanhsachNguoiluutru!Q3</f>
        <v>Nguyễn Úy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Nguyễn Úy, Xã Nguyễn Úy, Huyện Kim Bảng, Tỉnh Hà Nam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03/07/2023</v>
      </c>
      <c r="Z1" s="18" t="str">
        <f>DanhsachNguoiluutru!T3</f>
        <v>05/07/2023</v>
      </c>
      <c r="AA1" s="18" t="str">
        <f>DanhsachNguoiluutru!U3</f>
        <v>Du Lịch</v>
      </c>
      <c r="AB1" s="18">
        <f>DanhsachNguoiluutru!V3</f>
        <v>201</v>
      </c>
    </row>
    <row r="2" spans="1:28" x14ac:dyDescent="0.3">
      <c r="A2" s="18" t="str">
        <f>DanhsachNguoiluutru!B4</f>
        <v>Hà Khánh Linh</v>
      </c>
      <c r="B2" s="18" t="str">
        <f>DanhsachNguoiluutru!C4</f>
        <v>23/09/1963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035063803569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Nguyễn Úy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35</v>
      </c>
      <c r="S2" s="18" t="str">
        <f ca="1">INDEX(OFFSET(QuanHuyen!$C$1,MATCH(extracted!$R2,QuanHuyen!$A:$A,0)-1,0,10000,1),MATCH(DanhsachNguoiluutru!$O4,OFFSET(QuanHuyen!$B$1,MATCH(extracted!$R2,QuanHuyen!$A:$A,0)-1,0,10000,1), 0))</f>
        <v>350</v>
      </c>
      <c r="T2" s="18" t="str">
        <f ca="1">INDEX(OFFSET(PhuongXa!$C$1,MATCH(extracted!$S2,PhuongXa!$A:$A,0)-1,0,10000,1),MATCH(DanhsachNguoiluutru!$P4,OFFSET(PhuongXa!$B$1,MATCH(extracted!$S2,PhuongXa!$A:$A,0)-1,0,10000,1), 0))</f>
        <v>13387</v>
      </c>
      <c r="U2" s="18" t="str">
        <f>DanhsachNguoiluutru!Q4</f>
        <v>Nguyễn Úy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Nguyễn Úy, Xã Nguyễn Úy, Huyện Kim Bảng, Tỉnh Hà Nam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03/07/2023</v>
      </c>
      <c r="Z2" s="18" t="str">
        <f>DanhsachNguoiluutru!T4</f>
        <v>05/07/2023</v>
      </c>
      <c r="AA2" s="18" t="str">
        <f>DanhsachNguoiluutru!U4</f>
        <v>Du Lịch</v>
      </c>
      <c r="AB2" s="18">
        <f>DanhsachNguoiluutru!V4</f>
        <v>201</v>
      </c>
    </row>
    <row r="3" spans="1:28" x14ac:dyDescent="0.3">
      <c r="A3" s="18" t="str">
        <f>DanhsachNguoiluutru!B5</f>
        <v>Lý Công Thủy</v>
      </c>
      <c r="B3" s="18" t="str">
        <f>DanhsachNguoiluutru!C5</f>
        <v>18/11/1967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035067345615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Nguyễn Úy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35</v>
      </c>
      <c r="S3" s="18" t="str">
        <f ca="1">INDEX(OFFSET(QuanHuyen!$C$1,MATCH(extracted!$R3,QuanHuyen!$A:$A,0)-1,0,10000,1),MATCH(DanhsachNguoiluutru!$O5,OFFSET(QuanHuyen!$B$1,MATCH(extracted!$R3,QuanHuyen!$A:$A,0)-1,0,10000,1), 0))</f>
        <v>350</v>
      </c>
      <c r="T3" s="18" t="str">
        <f ca="1">INDEX(OFFSET(PhuongXa!$C$1,MATCH(extracted!$S3,PhuongXa!$A:$A,0)-1,0,10000,1),MATCH(DanhsachNguoiluutru!$P5,OFFSET(PhuongXa!$B$1,MATCH(extracted!$S3,PhuongXa!$A:$A,0)-1,0,10000,1), 0))</f>
        <v>13387</v>
      </c>
      <c r="U3" s="18" t="str">
        <f>DanhsachNguoiluutru!Q5</f>
        <v>Nguyễn Úy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Nguyễn Úy, Xã Nguyễn Úy, Huyện Kim Bảng, Tỉnh Hà Nam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03/07/2023</v>
      </c>
      <c r="Z3" s="18" t="str">
        <f>DanhsachNguoiluutru!T5</f>
        <v>05/07/2023</v>
      </c>
      <c r="AA3" s="18" t="str">
        <f>DanhsachNguoiluutru!U5</f>
        <v>Du Lịch</v>
      </c>
      <c r="AB3" s="18">
        <f>DanhsachNguoiluutru!V5</f>
        <v>201</v>
      </c>
    </row>
    <row r="4" spans="1:28" x14ac:dyDescent="0.3">
      <c r="A4" s="18" t="str">
        <f>DanhsachNguoiluutru!B6</f>
        <v>Bùi Nhật Hiếu</v>
      </c>
      <c r="B4" s="18" t="str">
        <f>DanhsachNguoiluutru!C6</f>
        <v>11/08/1969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035069087909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Nguyễn Úy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35</v>
      </c>
      <c r="S4" s="18" t="str">
        <f ca="1">INDEX(OFFSET(QuanHuyen!$C$1,MATCH(extracted!$R4,QuanHuyen!$A:$A,0)-1,0,10000,1),MATCH(DanhsachNguoiluutru!$O6,OFFSET(QuanHuyen!$B$1,MATCH(extracted!$R4,QuanHuyen!$A:$A,0)-1,0,10000,1), 0))</f>
        <v>350</v>
      </c>
      <c r="T4" s="18" t="str">
        <f ca="1">INDEX(OFFSET(PhuongXa!$C$1,MATCH(extracted!$S4,PhuongXa!$A:$A,0)-1,0,10000,1),MATCH(DanhsachNguoiluutru!$P6,OFFSET(PhuongXa!$B$1,MATCH(extracted!$S4,PhuongXa!$A:$A,0)-1,0,10000,1), 0))</f>
        <v>13387</v>
      </c>
      <c r="U4" s="18" t="str">
        <f>DanhsachNguoiluutru!Q6</f>
        <v>Nguyễn Úy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Nguyễn Úy, Xã Nguyễn Úy, Huyện Kim Bảng, Tỉnh Hà Nam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03/07/2023</v>
      </c>
      <c r="Z4" s="18" t="str">
        <f>DanhsachNguoiluutru!T6</f>
        <v>05/07/2023</v>
      </c>
      <c r="AA4" s="18" t="str">
        <f>DanhsachNguoiluutru!U6</f>
        <v>Du Lịch</v>
      </c>
      <c r="AB4" s="18">
        <f>DanhsachNguoiluutru!V6</f>
        <v>201</v>
      </c>
    </row>
    <row r="5" spans="1:28" x14ac:dyDescent="0.3">
      <c r="A5" s="18" t="str">
        <f>DanhsachNguoiluutru!B7</f>
        <v>Dương Quốc Bình</v>
      </c>
      <c r="B5" s="18" t="str">
        <f>DanhsachNguoiluutru!C7</f>
        <v>27/05/1964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035064768738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Nguyễn Úy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35</v>
      </c>
      <c r="S5" s="18" t="str">
        <f ca="1">INDEX(OFFSET(QuanHuyen!$C$1,MATCH(extracted!$R5,QuanHuyen!$A:$A,0)-1,0,10000,1),MATCH(DanhsachNguoiluutru!$O7,OFFSET(QuanHuyen!$B$1,MATCH(extracted!$R5,QuanHuyen!$A:$A,0)-1,0,10000,1), 0))</f>
        <v>350</v>
      </c>
      <c r="T5" s="18" t="str">
        <f ca="1">INDEX(OFFSET(PhuongXa!$C$1,MATCH(extracted!$S5,PhuongXa!$A:$A,0)-1,0,10000,1),MATCH(DanhsachNguoiluutru!$P7,OFFSET(PhuongXa!$B$1,MATCH(extracted!$S5,PhuongXa!$A:$A,0)-1,0,10000,1), 0))</f>
        <v>13387</v>
      </c>
      <c r="U5" s="18" t="str">
        <f>DanhsachNguoiluutru!Q7</f>
        <v>Nguyễn Úy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Nguyễn Úy, Xã Nguyễn Úy, Huyện Kim Bảng, Tỉnh Hà Nam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03/07/2023</v>
      </c>
      <c r="Z5" s="18" t="str">
        <f>DanhsachNguoiluutru!T7</f>
        <v>05/07/2023</v>
      </c>
      <c r="AA5" s="18" t="str">
        <f>DanhsachNguoiluutru!U7</f>
        <v>Du Lịch</v>
      </c>
      <c r="AB5" s="18">
        <f>DanhsachNguoiluutru!V7</f>
        <v>202</v>
      </c>
    </row>
    <row r="6" spans="1:28" x14ac:dyDescent="0.3">
      <c r="A6" s="18" t="str">
        <f>DanhsachNguoiluutru!B8</f>
        <v>Lý Nhật Hưng</v>
      </c>
      <c r="B6" s="18" t="str">
        <f>DanhsachNguoiluutru!C8</f>
        <v>13/02/1968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035068912245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Nguyễn Úy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35</v>
      </c>
      <c r="S6" s="18" t="str">
        <f ca="1">INDEX(OFFSET(QuanHuyen!$C$1,MATCH(extracted!$R6,QuanHuyen!$A:$A,0)-1,0,10000,1),MATCH(DanhsachNguoiluutru!$O8,OFFSET(QuanHuyen!$B$1,MATCH(extracted!$R6,QuanHuyen!$A:$A,0)-1,0,10000,1), 0))</f>
        <v>350</v>
      </c>
      <c r="T6" s="18" t="str">
        <f ca="1">INDEX(OFFSET(PhuongXa!$C$1,MATCH(extracted!$S6,PhuongXa!$A:$A,0)-1,0,10000,1),MATCH(DanhsachNguoiluutru!$P8,OFFSET(PhuongXa!$B$1,MATCH(extracted!$S6,PhuongXa!$A:$A,0)-1,0,10000,1), 0))</f>
        <v>13387</v>
      </c>
      <c r="U6" s="18" t="str">
        <f>DanhsachNguoiluutru!Q8</f>
        <v>Nguyễn Úy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Nguyễn Úy, Xã Nguyễn Úy, Huyện Kim Bảng, Tỉnh Hà Nam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03/07/2023</v>
      </c>
      <c r="Z6" s="18" t="str">
        <f>DanhsachNguoiluutru!T8</f>
        <v>05/07/2023</v>
      </c>
      <c r="AA6" s="18" t="str">
        <f>DanhsachNguoiluutru!U8</f>
        <v>Du Lịch</v>
      </c>
      <c r="AB6" s="18">
        <f>DanhsachNguoiluutru!V8</f>
        <v>202</v>
      </c>
    </row>
    <row r="7" spans="1:28" x14ac:dyDescent="0.3">
      <c r="A7" s="18" t="str">
        <f>DanhsachNguoiluutru!B9</f>
        <v>Vũ Đức Phúc</v>
      </c>
      <c r="B7" s="18" t="str">
        <f>DanhsachNguoiluutru!C9</f>
        <v>03/10/1967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035067810786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Nguyễn Úy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35</v>
      </c>
      <c r="S7" s="18" t="str">
        <f ca="1">INDEX(OFFSET(QuanHuyen!$C$1,MATCH(extracted!$R7,QuanHuyen!$A:$A,0)-1,0,10000,1),MATCH(DanhsachNguoiluutru!$O9,OFFSET(QuanHuyen!$B$1,MATCH(extracted!$R7,QuanHuyen!$A:$A,0)-1,0,10000,1), 0))</f>
        <v>350</v>
      </c>
      <c r="T7" s="18" t="str">
        <f ca="1">INDEX(OFFSET(PhuongXa!$C$1,MATCH(extracted!$S7,PhuongXa!$A:$A,0)-1,0,10000,1),MATCH(DanhsachNguoiluutru!$P9,OFFSET(PhuongXa!$B$1,MATCH(extracted!$S7,PhuongXa!$A:$A,0)-1,0,10000,1), 0))</f>
        <v>13387</v>
      </c>
      <c r="U7" s="18" t="str">
        <f>DanhsachNguoiluutru!Q9</f>
        <v>Nguyễn Úy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Nguyễn Úy, Xã Nguyễn Úy, Huyện Kim Bảng, Tỉnh Hà Nam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03/07/2023</v>
      </c>
      <c r="Z7" s="18" t="str">
        <f>DanhsachNguoiluutru!T9</f>
        <v>05/07/2023</v>
      </c>
      <c r="AA7" s="18" t="str">
        <f>DanhsachNguoiluutru!U9</f>
        <v>Du Lịch</v>
      </c>
      <c r="AB7" s="18">
        <f>DanhsachNguoiluutru!V9</f>
        <v>202</v>
      </c>
    </row>
    <row r="8" spans="1:28" x14ac:dyDescent="0.3">
      <c r="A8" s="18" t="str">
        <f>DanhsachNguoiluutru!B10</f>
        <v>Hồ Phước Thành</v>
      </c>
      <c r="B8" s="18" t="str">
        <f>DanhsachNguoiluutru!C10</f>
        <v>15/06/1967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035067645007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Nguyễn Úy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35</v>
      </c>
      <c r="S8" s="18" t="str">
        <f ca="1">INDEX(OFFSET(QuanHuyen!$C$1,MATCH(extracted!$R8,QuanHuyen!$A:$A,0)-1,0,10000,1),MATCH(DanhsachNguoiluutru!$O10,OFFSET(QuanHuyen!$B$1,MATCH(extracted!$R8,QuanHuyen!$A:$A,0)-1,0,10000,1), 0))</f>
        <v>350</v>
      </c>
      <c r="T8" s="18" t="str">
        <f ca="1">INDEX(OFFSET(PhuongXa!$C$1,MATCH(extracted!$S8,PhuongXa!$A:$A,0)-1,0,10000,1),MATCH(DanhsachNguoiluutru!$P10,OFFSET(PhuongXa!$B$1,MATCH(extracted!$S8,PhuongXa!$A:$A,0)-1,0,10000,1), 0))</f>
        <v>13387</v>
      </c>
      <c r="U8" s="18" t="str">
        <f>DanhsachNguoiluutru!Q10</f>
        <v>Nguyễn Úy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Nguyễn Úy, Xã Nguyễn Úy, Huyện Kim Bảng, Tỉnh Hà Nam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03/07/2023</v>
      </c>
      <c r="Z8" s="18" t="str">
        <f>DanhsachNguoiluutru!T10</f>
        <v>05/07/2023</v>
      </c>
      <c r="AA8" s="18" t="str">
        <f>DanhsachNguoiluutru!U10</f>
        <v>Du Lịch</v>
      </c>
      <c r="AB8" s="18">
        <f>DanhsachNguoiluutru!V10</f>
        <v>203</v>
      </c>
    </row>
    <row r="9" spans="1:28" x14ac:dyDescent="0.3">
      <c r="A9" s="18" t="str">
        <f>DanhsachNguoiluutru!B11</f>
        <v>Vũ Đức Bình</v>
      </c>
      <c r="B9" s="18" t="str">
        <f>DanhsachNguoiluutru!C11</f>
        <v>04/07/1966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035066313555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Nguyễn Úy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35</v>
      </c>
      <c r="S9" s="18" t="str">
        <f ca="1">INDEX(OFFSET(QuanHuyen!$C$1,MATCH(extracted!$R9,QuanHuyen!$A:$A,0)-1,0,10000,1),MATCH(DanhsachNguoiluutru!$O11,OFFSET(QuanHuyen!$B$1,MATCH(extracted!$R9,QuanHuyen!$A:$A,0)-1,0,10000,1), 0))</f>
        <v>350</v>
      </c>
      <c r="T9" s="18" t="str">
        <f ca="1">INDEX(OFFSET(PhuongXa!$C$1,MATCH(extracted!$S9,PhuongXa!$A:$A,0)-1,0,10000,1),MATCH(DanhsachNguoiluutru!$P11,OFFSET(PhuongXa!$B$1,MATCH(extracted!$S9,PhuongXa!$A:$A,0)-1,0,10000,1), 0))</f>
        <v>13387</v>
      </c>
      <c r="U9" s="18" t="str">
        <f>DanhsachNguoiluutru!Q11</f>
        <v>Nguyễn Úy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Nguyễn Úy, Xã Nguyễn Úy, Huyện Kim Bảng, Tỉnh Hà Nam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03/07/2023</v>
      </c>
      <c r="Z9" s="18" t="str">
        <f>DanhsachNguoiluutru!T11</f>
        <v>05/07/2023</v>
      </c>
      <c r="AA9" s="18" t="str">
        <f>DanhsachNguoiluutru!U11</f>
        <v>Du Lịch</v>
      </c>
      <c r="AB9" s="18">
        <f>DanhsachNguoiluutru!V11</f>
        <v>203</v>
      </c>
    </row>
    <row r="10" spans="1:28" x14ac:dyDescent="0.3">
      <c r="A10" s="18" t="str">
        <f>DanhsachNguoiluutru!B12</f>
        <v>Ngô Gia Long</v>
      </c>
      <c r="B10" s="18" t="str">
        <f>DanhsachNguoiluutru!C12</f>
        <v>22/08/1960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035060078011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Nguyễn Úy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35</v>
      </c>
      <c r="S10" s="18" t="str">
        <f ca="1">INDEX(OFFSET(QuanHuyen!$C$1,MATCH(extracted!$R10,QuanHuyen!$A:$A,0)-1,0,10000,1),MATCH(DanhsachNguoiluutru!$O12,OFFSET(QuanHuyen!$B$1,MATCH(extracted!$R10,QuanHuyen!$A:$A,0)-1,0,10000,1), 0))</f>
        <v>350</v>
      </c>
      <c r="T10" s="18" t="str">
        <f ca="1">INDEX(OFFSET(PhuongXa!$C$1,MATCH(extracted!$S10,PhuongXa!$A:$A,0)-1,0,10000,1),MATCH(DanhsachNguoiluutru!$P12,OFFSET(PhuongXa!$B$1,MATCH(extracted!$S10,PhuongXa!$A:$A,0)-1,0,10000,1), 0))</f>
        <v>13387</v>
      </c>
      <c r="U10" s="18" t="str">
        <f>DanhsachNguoiluutru!Q12</f>
        <v>Nguyễn Úy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Nguyễn Úy, Xã Nguyễn Úy, Huyện Kim Bảng, Tỉnh Hà Nam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03/07/2023</v>
      </c>
      <c r="Z10" s="18" t="str">
        <f>DanhsachNguoiluutru!T12</f>
        <v>05/07/2023</v>
      </c>
      <c r="AA10" s="18" t="str">
        <f>DanhsachNguoiluutru!U12</f>
        <v>Du Lịch</v>
      </c>
      <c r="AB10" s="18">
        <f>DanhsachNguoiluutru!V12</f>
        <v>203</v>
      </c>
    </row>
    <row r="11" spans="1:28" x14ac:dyDescent="0.3">
      <c r="A11" s="18" t="str">
        <f>DanhsachNguoiluutru!B13</f>
        <v>Võ Hữu Bình</v>
      </c>
      <c r="B11" s="18" t="str">
        <f>DanhsachNguoiluutru!C13</f>
        <v>21/07/1966</v>
      </c>
      <c r="C11" s="18" t="str">
        <f>INDEX(GioiTinh!$A:$A,MATCH(DanhsachNguoiluutru!D13,GioiTinh!$B:$B,0))</f>
        <v>2</v>
      </c>
      <c r="D11" s="18" t="str">
        <f>DanhsachNguoiluutru!D13</f>
        <v>Giới tính Nam</v>
      </c>
      <c r="E11" s="18" t="str">
        <f>DanhsachNguoiluutru!E13</f>
        <v>035066953784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Nguyễn Úy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35</v>
      </c>
      <c r="S11" s="18" t="str">
        <f ca="1">INDEX(OFFSET(QuanHuyen!$C$1,MATCH(extracted!$R11,QuanHuyen!$A:$A,0)-1,0,10000,1),MATCH(DanhsachNguoiluutru!$O13,OFFSET(QuanHuyen!$B$1,MATCH(extracted!$R11,QuanHuyen!$A:$A,0)-1,0,10000,1), 0))</f>
        <v>350</v>
      </c>
      <c r="T11" s="18" t="str">
        <f ca="1">INDEX(OFFSET(PhuongXa!$C$1,MATCH(extracted!$S11,PhuongXa!$A:$A,0)-1,0,10000,1),MATCH(DanhsachNguoiluutru!$P13,OFFSET(PhuongXa!$B$1,MATCH(extracted!$S11,PhuongXa!$A:$A,0)-1,0,10000,1), 0))</f>
        <v>13387</v>
      </c>
      <c r="U11" s="18" t="str">
        <f>DanhsachNguoiluutru!Q13</f>
        <v>Nguyễn Úy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Nguyễn Úy, Xã Nguyễn Úy, Huyện Kim Bảng, Tỉnh Hà Nam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03/07/2023</v>
      </c>
      <c r="Z11" s="18" t="str">
        <f>DanhsachNguoiluutru!T13</f>
        <v>05/07/2023</v>
      </c>
      <c r="AA11" s="18" t="str">
        <f>DanhsachNguoiluutru!U13</f>
        <v>Du Lịch</v>
      </c>
      <c r="AB11" s="18" t="str">
        <f>DanhsachNguoiluutru!V13</f>
        <v>204</v>
      </c>
    </row>
    <row r="12" spans="1:28" x14ac:dyDescent="0.3">
      <c r="A12" s="18" t="str">
        <f>DanhsachNguoiluutru!B14</f>
        <v>Vũ Phúc Bình</v>
      </c>
      <c r="B12" s="18" t="str">
        <f>DanhsachNguoiluutru!C14</f>
        <v>19/01/1963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035063295793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Nguyễn Úy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35</v>
      </c>
      <c r="S12" s="18" t="str">
        <f ca="1">INDEX(OFFSET(QuanHuyen!$C$1,MATCH(extracted!$R12,QuanHuyen!$A:$A,0)-1,0,10000,1),MATCH(DanhsachNguoiluutru!$O14,OFFSET(QuanHuyen!$B$1,MATCH(extracted!$R12,QuanHuyen!$A:$A,0)-1,0,10000,1), 0))</f>
        <v>350</v>
      </c>
      <c r="T12" s="18" t="str">
        <f ca="1">INDEX(OFFSET(PhuongXa!$C$1,MATCH(extracted!$S12,PhuongXa!$A:$A,0)-1,0,10000,1),MATCH(DanhsachNguoiluutru!$P14,OFFSET(PhuongXa!$B$1,MATCH(extracted!$S12,PhuongXa!$A:$A,0)-1,0,10000,1), 0))</f>
        <v>13387</v>
      </c>
      <c r="U12" s="18" t="str">
        <f>DanhsachNguoiluutru!Q14</f>
        <v>Nguyễn Úy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Nguyễn Úy, Xã Nguyễn Úy, Huyện Kim Bảng, Tỉnh Hà Nam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03/07/2023</v>
      </c>
      <c r="Z12" s="18" t="str">
        <f>DanhsachNguoiluutru!T14</f>
        <v>05/07/2023</v>
      </c>
      <c r="AA12" s="18" t="str">
        <f>DanhsachNguoiluutru!U14</f>
        <v>Du Lịch</v>
      </c>
      <c r="AB12" s="18" t="str">
        <f>DanhsachNguoiluutru!V14</f>
        <v>204</v>
      </c>
    </row>
    <row r="13" spans="1:28" x14ac:dyDescent="0.3">
      <c r="A13" s="18" t="str">
        <f>DanhsachNguoiluutru!B15</f>
        <v>Thái Văn Kiên</v>
      </c>
      <c r="B13" s="18" t="str">
        <f>DanhsachNguoiluutru!C15</f>
        <v>10/07/1964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035064061798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Nguyễn Úy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35</v>
      </c>
      <c r="S13" s="18" t="str">
        <f ca="1">INDEX(OFFSET(QuanHuyen!$C$1,MATCH(extracted!$R13,QuanHuyen!$A:$A,0)-1,0,10000,1),MATCH(DanhsachNguoiluutru!$O15,OFFSET(QuanHuyen!$B$1,MATCH(extracted!$R13,QuanHuyen!$A:$A,0)-1,0,10000,1), 0))</f>
        <v>350</v>
      </c>
      <c r="T13" s="18" t="str">
        <f ca="1">INDEX(OFFSET(PhuongXa!$C$1,MATCH(extracted!$S13,PhuongXa!$A:$A,0)-1,0,10000,1),MATCH(DanhsachNguoiluutru!$P15,OFFSET(PhuongXa!$B$1,MATCH(extracted!$S13,PhuongXa!$A:$A,0)-1,0,10000,1), 0))</f>
        <v>13387</v>
      </c>
      <c r="U13" s="18" t="str">
        <f>DanhsachNguoiluutru!Q15</f>
        <v>Nguyễn Úy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Nguyễn Úy, Xã Nguyễn Úy, Huyện Kim Bảng, Tỉnh Hà Nam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03/07/2023</v>
      </c>
      <c r="Z13" s="18" t="str">
        <f>DanhsachNguoiluutru!T15</f>
        <v>05/07/2023</v>
      </c>
      <c r="AA13" s="18" t="str">
        <f>DanhsachNguoiluutru!U15</f>
        <v>Du Lịch</v>
      </c>
      <c r="AB13" s="18" t="str">
        <f>DanhsachNguoiluutru!V15</f>
        <v>204</v>
      </c>
    </row>
    <row r="14" spans="1:28" x14ac:dyDescent="0.3">
      <c r="A14" s="18">
        <f>DanhsachNguoiluutru!B16</f>
        <v>0</v>
      </c>
      <c r="B14" s="18">
        <f>DanhsachNguoiluutru!C16</f>
        <v>0</v>
      </c>
      <c r="C14" s="18" t="e">
        <f>INDEX(GioiTinh!$A:$A,MATCH(DanhsachNguoiluutru!D16,GioiTinh!$B:$B,0))</f>
        <v>#N/A</v>
      </c>
      <c r="D14" s="18">
        <f>DanhsachNguoiluutru!D16</f>
        <v>0</v>
      </c>
      <c r="E14" s="18">
        <f>DanhsachNguoiluutru!E16</f>
        <v>0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e">
        <f>INDEX(NgheNghiep!$A:$A,MATCH(DanhsachNguoiluutru!I16,NgheNghiep!$B:$B,0))</f>
        <v>#N/A</v>
      </c>
      <c r="J14" s="18">
        <f>DanhsachNguoiluutru!I16</f>
        <v>0</v>
      </c>
      <c r="K14" s="18">
        <f>DanhsachNguoiluutru!J16</f>
        <v>0</v>
      </c>
      <c r="L14" s="18" t="e">
        <f>INDEX(DanToc!$A:$A,MATCH(DanhsachNguoiluutru!K16,DanToc!$B:$B,0))</f>
        <v>#N/A</v>
      </c>
      <c r="M14" s="18">
        <f>DanhsachNguoiluutru!K16</f>
        <v>0</v>
      </c>
      <c r="N14" s="18" t="e">
        <f>INDEX(QuocTich!$A:$A,MATCH(DanhsachNguoiluutru!L16,QuocTich!$B:$B,0))</f>
        <v>#N/A</v>
      </c>
      <c r="O14" s="18">
        <f>DanhsachNguoiluutru!L16</f>
        <v>0</v>
      </c>
      <c r="P14" s="18" t="e">
        <f>INDEX(QuocGia!$A:$A,MATCH(DanhsachNguoiluutru!M16,QuocGia!$B:$B,0))</f>
        <v>#N/A</v>
      </c>
      <c r="Q14" s="18">
        <f>DanhsachNguoiluutru!M16</f>
        <v>0</v>
      </c>
      <c r="R14" s="18" t="e">
        <f>INDEX(TinhThanh!$C:$C,MATCH(DanhsachNguoiluutru!N16,TinhThanh!$B:$B,0))</f>
        <v>#N/A</v>
      </c>
      <c r="S14" s="18" t="e">
        <f ca="1">INDEX(OFFSET(QuanHuyen!$C$1,MATCH(extracted!$R14,QuanHuyen!$A:$A,0)-1,0,10000,1),MATCH(DanhsachNguoiluutru!$O16,OFFSET(QuanHuyen!$B$1,MATCH(extracted!$R14,QuanHuyen!$A:$A,0)-1,0,10000,1), 0))</f>
        <v>#N/A</v>
      </c>
      <c r="T14" s="18" t="e">
        <f ca="1">INDEX(OFFSET(PhuongXa!$C$1,MATCH(extracted!$S14,PhuongXa!$A:$A,0)-1,0,10000,1),MATCH(DanhsachNguoiluutru!$P16,OFFSET(PhuongXa!$B$1,MATCH(extracted!$S14,PhuongXa!$A:$A,0)-1,0,10000,1), 0))</f>
        <v>#N/A</v>
      </c>
      <c r="U14" s="18">
        <f>DanhsachNguoiluutru!Q16</f>
        <v>0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/>
      </c>
      <c r="W14" s="18" t="e">
        <f>VLOOKUP(DanhsachNguoiluutru!$R16,DanhMuc!$A$2:$B$4,2,FALSE)</f>
        <v>#N/A</v>
      </c>
      <c r="X14" s="18">
        <f>DanhsachNguoiluutru!R16</f>
        <v>0</v>
      </c>
      <c r="Y14" s="18">
        <f>DanhsachNguoiluutru!S16</f>
        <v>0</v>
      </c>
      <c r="Z14" s="18">
        <f>DanhsachNguoiluutru!T16</f>
        <v>0</v>
      </c>
      <c r="AA14" s="18">
        <f>DanhsachNguoiluutru!U16</f>
        <v>0</v>
      </c>
      <c r="AB14" s="18">
        <f>DanhsachNguoiluutru!V16</f>
        <v>0</v>
      </c>
    </row>
    <row r="15" spans="1:28" x14ac:dyDescent="0.3">
      <c r="A15" s="18">
        <f>DanhsachNguoiluutru!B17</f>
        <v>0</v>
      </c>
      <c r="B15" s="18">
        <f>DanhsachNguoiluutru!C17</f>
        <v>0</v>
      </c>
      <c r="C15" s="18" t="e">
        <f>INDEX(GioiTinh!$A:$A,MATCH(DanhsachNguoiluutru!D17,GioiTinh!$B:$B,0))</f>
        <v>#N/A</v>
      </c>
      <c r="D15" s="18">
        <f>DanhsachNguoiluutru!D17</f>
        <v>0</v>
      </c>
      <c r="E15" s="18">
        <f>DanhsachNguoiluutru!E17</f>
        <v>0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e">
        <f>INDEX(NgheNghiep!$A:$A,MATCH(DanhsachNguoiluutru!I17,NgheNghiep!$B:$B,0))</f>
        <v>#N/A</v>
      </c>
      <c r="J15" s="18">
        <f>DanhsachNguoiluutru!I17</f>
        <v>0</v>
      </c>
      <c r="K15" s="18">
        <f>DanhsachNguoiluutru!J17</f>
        <v>0</v>
      </c>
      <c r="L15" s="18" t="e">
        <f>INDEX(DanToc!$A:$A,MATCH(DanhsachNguoiluutru!K17,DanToc!$B:$B,0))</f>
        <v>#N/A</v>
      </c>
      <c r="M15" s="18">
        <f>DanhsachNguoiluutru!K17</f>
        <v>0</v>
      </c>
      <c r="N15" s="18" t="e">
        <f>INDEX(QuocTich!$A:$A,MATCH(DanhsachNguoiluutru!L17,QuocTich!$B:$B,0))</f>
        <v>#N/A</v>
      </c>
      <c r="O15" s="18">
        <f>DanhsachNguoiluutru!L17</f>
        <v>0</v>
      </c>
      <c r="P15" s="18" t="e">
        <f>INDEX(QuocGia!$A:$A,MATCH(DanhsachNguoiluutru!M17,QuocGia!$B:$B,0))</f>
        <v>#N/A</v>
      </c>
      <c r="Q15" s="18">
        <f>DanhsachNguoiluutru!M17</f>
        <v>0</v>
      </c>
      <c r="R15" s="18" t="e">
        <f>INDEX(TinhThanh!$C:$C,MATCH(DanhsachNguoiluutru!N17,TinhThanh!$B:$B,0))</f>
        <v>#N/A</v>
      </c>
      <c r="S15" s="18" t="e">
        <f ca="1">INDEX(OFFSET(QuanHuyen!$C$1,MATCH(extracted!$R15,QuanHuyen!$A:$A,0)-1,0,10000,1),MATCH(DanhsachNguoiluutru!$O17,OFFSET(QuanHuyen!$B$1,MATCH(extracted!$R15,QuanHuyen!$A:$A,0)-1,0,10000,1), 0))</f>
        <v>#N/A</v>
      </c>
      <c r="T15" s="18" t="e">
        <f ca="1">INDEX(OFFSET(PhuongXa!$C$1,MATCH(extracted!$S15,PhuongXa!$A:$A,0)-1,0,10000,1),MATCH(DanhsachNguoiluutru!$P17,OFFSET(PhuongXa!$B$1,MATCH(extracted!$S15,PhuongXa!$A:$A,0)-1,0,10000,1), 0))</f>
        <v>#N/A</v>
      </c>
      <c r="U15" s="18">
        <f>DanhsachNguoiluutru!Q17</f>
        <v>0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/>
      </c>
      <c r="W15" s="18" t="e">
        <f>VLOOKUP(DanhsachNguoiluutru!$R17,DanhMuc!$A$2:$B$4,2,FALSE)</f>
        <v>#N/A</v>
      </c>
      <c r="X15" s="18">
        <f>DanhsachNguoiluutru!R17</f>
        <v>0</v>
      </c>
      <c r="Y15" s="18">
        <f>DanhsachNguoiluutru!S17</f>
        <v>0</v>
      </c>
      <c r="Z15" s="18">
        <f>DanhsachNguoiluutru!T17</f>
        <v>0</v>
      </c>
      <c r="AA15" s="18">
        <f>DanhsachNguoiluutru!U17</f>
        <v>0</v>
      </c>
      <c r="AB15" s="18">
        <f>DanhsachNguoiluutru!V17</f>
        <v>0</v>
      </c>
    </row>
    <row r="16" spans="1:28" x14ac:dyDescent="0.3">
      <c r="A16" s="18">
        <f>DanhsachNguoiluutru!B18</f>
        <v>0</v>
      </c>
      <c r="B16" s="18">
        <f>DanhsachNguoiluutru!C18</f>
        <v>0</v>
      </c>
      <c r="C16" s="18" t="e">
        <f>INDEX(GioiTinh!$A:$A,MATCH(DanhsachNguoiluutru!D18,GioiTinh!$B:$B,0))</f>
        <v>#N/A</v>
      </c>
      <c r="D16" s="18">
        <f>DanhsachNguoiluutru!D18</f>
        <v>0</v>
      </c>
      <c r="E16" s="18">
        <f>DanhsachNguoiluutru!E18</f>
        <v>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e">
        <f>INDEX(NgheNghiep!$A:$A,MATCH(DanhsachNguoiluutru!I18,NgheNghiep!$B:$B,0))</f>
        <v>#N/A</v>
      </c>
      <c r="J16" s="18">
        <f>DanhsachNguoiluutru!I18</f>
        <v>0</v>
      </c>
      <c r="K16" s="18">
        <f>DanhsachNguoiluutru!J18</f>
        <v>0</v>
      </c>
      <c r="L16" s="18" t="e">
        <f>INDEX(DanToc!$A:$A,MATCH(DanhsachNguoiluutru!K18,DanToc!$B:$B,0))</f>
        <v>#N/A</v>
      </c>
      <c r="M16" s="18">
        <f>DanhsachNguoiluutru!K18</f>
        <v>0</v>
      </c>
      <c r="N16" s="18" t="e">
        <f>INDEX(QuocTich!$A:$A,MATCH(DanhsachNguoiluutru!L18,QuocTich!$B:$B,0))</f>
        <v>#N/A</v>
      </c>
      <c r="O16" s="18">
        <f>DanhsachNguoiluutru!L18</f>
        <v>0</v>
      </c>
      <c r="P16" s="18" t="e">
        <f>INDEX(QuocGia!$A:$A,MATCH(DanhsachNguoiluutru!M18,QuocGia!$B:$B,0))</f>
        <v>#N/A</v>
      </c>
      <c r="Q16" s="18">
        <f>DanhsachNguoiluutru!M18</f>
        <v>0</v>
      </c>
      <c r="R16" s="18" t="e">
        <f>INDEX(TinhThanh!$C:$C,MATCH(DanhsachNguoiluutru!N18,TinhThanh!$B:$B,0))</f>
        <v>#N/A</v>
      </c>
      <c r="S16" s="18" t="e">
        <f ca="1">INDEX(OFFSET(QuanHuyen!$C$1,MATCH(extracted!$R16,QuanHuyen!$A:$A,0)-1,0,10000,1),MATCH(DanhsachNguoiluutru!$O18,OFFSET(QuanHuyen!$B$1,MATCH(extracted!$R16,QuanHuyen!$A:$A,0)-1,0,10000,1), 0))</f>
        <v>#N/A</v>
      </c>
      <c r="T16" s="18" t="e">
        <f ca="1">INDEX(OFFSET(PhuongXa!$C$1,MATCH(extracted!$S16,PhuongXa!$A:$A,0)-1,0,10000,1),MATCH(DanhsachNguoiluutru!$P18,OFFSET(PhuongXa!$B$1,MATCH(extracted!$S16,PhuongXa!$A:$A,0)-1,0,10000,1), 0))</f>
        <v>#N/A</v>
      </c>
      <c r="U16" s="18">
        <f>DanhsachNguoiluutru!Q18</f>
        <v>0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/>
      </c>
      <c r="W16" s="18" t="e">
        <f>VLOOKUP(DanhsachNguoiluutru!$R18,DanhMuc!$A$2:$B$4,2,FALSE)</f>
        <v>#N/A</v>
      </c>
      <c r="X16" s="18">
        <f>DanhsachNguoiluutru!R18</f>
        <v>0</v>
      </c>
      <c r="Y16" s="18">
        <f>DanhsachNguoiluutru!S18</f>
        <v>0</v>
      </c>
      <c r="Z16" s="18">
        <f>DanhsachNguoiluutru!T18</f>
        <v>0</v>
      </c>
      <c r="AA16" s="18">
        <f>DanhsachNguoiluutru!U18</f>
        <v>0</v>
      </c>
      <c r="AB16" s="18">
        <f>DanhsachNguoiluutru!V18</f>
        <v>0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2023-07-03T13:48:55Z</dcterms:modified>
</cp:coreProperties>
</file>