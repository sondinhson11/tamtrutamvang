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DanhSachDaDangKy\"/>
    </mc:Choice>
  </mc:AlternateContent>
  <bookViews>
    <workbookView xWindow="-120" yWindow="-120" windowWidth="51840" windowHeight="21240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<sst xmlns="http://schemas.openxmlformats.org/spreadsheetml/2006/main" count="37545" uniqueCount="22180">
  <si>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</si>
  <si>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</si>
  <si>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</si>
  <si>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</si>
  <si>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</si>
  <si>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</si>
  <si>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</si>
  <si>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</si>
  <si>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</si>
  <si>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</si>
  <si>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</si>
  <si>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</si>
  <si>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</si>
  <si>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</si>
  <si>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</si>
  <si>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</si>
  <si>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</si>
  <si>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</si>
  <si>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</si>
  <si>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</si>
  <si>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</si>
  <si>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</si>
  <si>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</si>
  <si>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</si>
  <si>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</si>
  <si>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</si>
  <si>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</si>
  <si>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</si>
  <si>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</si>
  <si>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</si>
  <si>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</si>
  <si>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</si>
  <si>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</si>
  <si>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</si>
  <si>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</si>
  <si>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</si>
  <si>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</si>
  <si>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</si>
  <si>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</si>
  <si>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</si>
  <si>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</si>
  <si>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</si>
  <si>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</si>
  <si>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</si>
  <si>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</si>
  <si>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</si>
  <si>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</si>
  <si>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</si>
  <si>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</si>
  <si>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</si>
  <si>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</si>
  <si>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</si>
  <si>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</si>
  <si>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</si>
  <si>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</si>
  <si>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</si>
  <si>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</si>
  <si>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</si>
  <si>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</si>
  <si>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</si>
  <si>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</si>
  <si>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</si>
  <si>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</si>
  <si>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</si>
  <si>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</si>
  <si>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</si>
  <si>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</si>
  <si>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</si>
  <si>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</si>
  <si>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</si>
  <si>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</si>
  <si>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</si>
  <si>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</si>
  <si>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</si>
  <si>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</si>
  <si>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</si>
  <si>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</si>
  <si>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</si>
  <si>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</si>
  <si>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</si>
  <si>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</si>
  <si>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</si>
  <si>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</si>
  <si>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</si>
  <si>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</si>
  <si>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</si>
  <si>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</si>
  <si>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</si>
  <si>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</si>
  <si>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</si>
  <si>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</si>
  <si>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</si>
  <si>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</si>
  <si>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</si>
  <si>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</si>
  <si>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</si>
  <si>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</si>
  <si>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</si>
  <si>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</si>
  <si>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</si>
  <si>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</si>
  <si>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</si>
  <si>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</si>
  <si>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</si>
  <si>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</si>
  <si>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</si>
  <si>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</si>
  <si>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</si>
  <si>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</si>
  <si>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</si>
  <si>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</si>
  <si>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</si>
  <si>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</si>
  <si>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</si>
  <si>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</si>
  <si>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</si>
  <si>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</si>
  <si>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</si>
  <si>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</si>
  <si>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</si>
  <si>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</si>
  <si>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</si>
  <si>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</si>
  <si>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</si>
  <si>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</si>
  <si>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</si>
  <si>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</si>
  <si>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</si>
  <si>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</si>
  <si>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</si>
  <si>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</si>
  <si>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</si>
  <si>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</si>
  <si>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</si>
  <si>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</si>
  <si>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</si>
  <si>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</si>
  <si>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</si>
  <si>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</si>
  <si>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</si>
  <si>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</si>
  <si>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</si>
  <si>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</si>
  <si>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</si>
  <si>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</si>
  <si>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</si>
  <si>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</si>
  <si>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</si>
  <si>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</si>
  <si>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</si>
  <si>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</si>
  <si>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</si>
  <si>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</si>
  <si>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</si>
  <si>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</si>
  <si>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</si>
  <si>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</si>
  <si>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</si>
  <si>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</si>
  <si>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</si>
  <si>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</si>
  <si>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</si>
  <si>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</si>
  <si>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</si>
  <si>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</si>
  <si>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</si>
  <si>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</si>
  <si>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</si>
  <si>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</si>
  <si>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</si>
  <si>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</si>
  <si>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</si>
  <si>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</si>
  <si>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</si>
  <si>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</si>
  <si>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</si>
  <si>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</si>
  <si>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</si>
  <si>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</si>
  <si>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</si>
  <si>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</si>
  <si>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</si>
  <si>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</si>
  <si>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</si>
  <si>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</si>
  <si>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</si>
  <si>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</si>
  <si>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</si>
  <si>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</si>
  <si>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</si>
  <si>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</si>
  <si>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</si>
  <si>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</si>
  <si>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</si>
  <si>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</si>
  <si>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</si>
  <si>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</si>
  <si>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</si>
  <si>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</si>
  <si>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</si>
  <si>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</si>
  <si>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</si>
  <si>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</si>
  <si>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</si>
  <si>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</si>
  <si>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</si>
  <si>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</si>
  <si>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</si>
  <si>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</si>
  <si>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</si>
  <si>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</si>
  <si>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</si>
  <si>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</si>
  <si>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</si>
  <si>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</si>
  <si>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</si>
  <si>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</si>
  <si>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</si>
  <si>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</si>
  <si>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</si>
  <si>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</si>
  <si>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</si>
  <si>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</si>
  <si>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</si>
  <si>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</si>
  <si>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</si>
  <si>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</si>
  <si>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</si>
  <si>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</si>
  <si>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</si>
  <si>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</si>
  <si>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</si>
  <si>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</si>
  <si>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</si>
  <si>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</si>
  <si>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</si>
  <si>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</si>
  <si>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</si>
  <si>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</si>
  <si>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</si>
  <si>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</si>
  <si>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</si>
  <si>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</si>
  <si>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</si>
  <si>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</si>
  <si>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</si>
  <si>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</si>
  <si>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</si>
  <si>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</si>
  <si>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</si>
  <si>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</si>
  <si>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</si>
  <si>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</si>
  <si>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</si>
  <si>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</si>
  <si>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</si>
  <si>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</si>
  <si>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</si>
  <si>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</si>
  <si>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</si>
  <si>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</si>
  <si>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</si>
  <si>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</si>
  <si>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</si>
  <si>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</si>
  <si>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</si>
  <si>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</si>
  <si>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</si>
  <si>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</si>
  <si>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</si>
  <si>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</si>
  <si>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</si>
  <si>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</si>
  <si>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</si>
  <si>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</si>
  <si>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</si>
  <si>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</si>
  <si>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</si>
  <si>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</si>
  <si>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</si>
  <si>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</si>
  <si>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</si>
  <si>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</si>
  <si>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</si>
  <si>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</si>
  <si>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</si>
  <si>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</si>
  <si>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</si>
  <si>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</si>
  <si>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</si>
  <si>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</si>
  <si>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</si>
  <si>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</si>
  <si>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</si>
  <si>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</si>
  <si>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</si>
  <si>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</si>
  <si>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</si>
  <si>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</si>
  <si>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</si>
  <si>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</si>
  <si>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</si>
  <si>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</si>
  <si>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</si>
  <si>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</si>
  <si>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</si>
  <si>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</si>
  <si>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</si>
  <si>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</si>
  <si>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</si>
  <si>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</si>
  <si>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</si>
  <si>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</si>
  <si>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</si>
  <si>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</si>
  <si>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</si>
  <si>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</si>
  <si>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</si>
  <si>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</si>
  <si>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</si>
  <si>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</si>
  <si>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</si>
  <si>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</si>
  <si>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</si>
  <si>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</si>
  <si>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</si>
  <si>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</si>
  <si>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</si>
  <si>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</si>
  <si>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</si>
  <si>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</si>
  <si>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</si>
  <si>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</si>
  <si>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</si>
  <si>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</si>
  <si>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</si>
  <si>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</si>
  <si>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</si>
  <si>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</si>
  <si>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</si>
  <si>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</si>
  <si>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</si>
  <si>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</si>
  <si>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</si>
  <si>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</si>
  <si>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</si>
  <si>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</si>
  <si>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</si>
  <si>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</si>
  <si>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</si>
  <si>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</si>
  <si>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</si>
  <si>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</si>
  <si>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</si>
  <si>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</si>
  <si>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</si>
  <si>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</si>
  <si>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</si>
  <si>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</si>
  <si>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</si>
  <si>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</si>
  <si>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</si>
  <si>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</si>
  <si>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</si>
  <si>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</si>
  <si>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</si>
  <si>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</si>
  <si>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</si>
  <si>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</si>
  <si>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</si>
  <si>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</si>
  <si>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</si>
  <si>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</si>
  <si>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</si>
  <si>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</si>
  <si>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</si>
  <si>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</si>
  <si>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</si>
  <si>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</si>
  <si>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</si>
  <si>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</si>
  <si>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</si>
  <si>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</si>
  <si>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</si>
  <si>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</si>
  <si>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</si>
  <si>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</si>
  <si>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</si>
  <si>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</si>
  <si>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</si>
  <si>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</si>
  <si>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</si>
  <si>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</si>
  <si>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</si>
  <si>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</si>
  <si>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</si>
  <si>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</si>
  <si>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</si>
  <si>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</si>
  <si>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</si>
  <si>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</si>
  <si>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</si>
  <si>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</si>
  <si>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</si>
  <si>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</si>
  <si>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</si>
  <si>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</si>
  <si>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</si>
  <si>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</si>
  <si>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</si>
  <si>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</si>
  <si>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</si>
  <si>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</si>
  <si>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</si>
  <si>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</si>
  <si>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</si>
  <si>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</si>
  <si>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</si>
  <si>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</si>
  <si>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</si>
  <si>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</si>
  <si>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</si>
  <si>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</si>
  <si>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</si>
  <si>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</si>
  <si>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</si>
  <si>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</si>
  <si>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</si>
  <si>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</si>
  <si>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</si>
  <si>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</si>
  <si>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</si>
  <si>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</si>
  <si>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</si>
  <si>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</si>
  <si>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</si>
  <si>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</si>
  <si>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</si>
  <si>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</si>
  <si>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</si>
  <si>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</si>
  <si>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</si>
  <si>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</si>
  <si>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</si>
  <si>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</si>
  <si>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</si>
  <si>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</si>
  <si>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</si>
  <si>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</si>
  <si>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</si>
  <si>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</si>
  <si>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</si>
  <si>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</si>
  <si>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</si>
  <si>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</si>
  <si>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</si>
  <si>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</si>
  <si>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</si>
  <si>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</si>
  <si>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</si>
  <si>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</si>
  <si>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</si>
  <si>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</si>
  <si>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</si>
  <si>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</si>
  <si>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</si>
  <si>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</si>
  <si>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</si>
  <si>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</si>
  <si>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</si>
  <si>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</si>
  <si>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</si>
  <si>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</si>
  <si>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</si>
  <si>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</si>
  <si>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</si>
  <si>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</si>
  <si>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</si>
  <si>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</si>
  <si>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</si>
  <si>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</si>
  <si>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</si>
  <si>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</si>
  <si>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</si>
  <si>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</si>
  <si>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</si>
  <si>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</si>
  <si>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</si>
  <si>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</si>
  <si>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</si>
  <si>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</si>
  <si>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</si>
  <si>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</si>
  <si>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</si>
  <si>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</si>
  <si>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</si>
  <si>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</si>
  <si>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</si>
  <si>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</si>
  <si>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</si>
  <si>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</si>
  <si>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</si>
  <si>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</si>
  <si>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</si>
  <si>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</si>
  <si>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</si>
  <si>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</si>
  <si>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</si>
  <si>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</si>
  <si>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</si>
  <si>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</si>
  <si>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</si>
  <si>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</si>
  <si>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</si>
  <si>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</si>
  <si>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</si>
  <si>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</si>
  <si>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</si>
  <si>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</si>
  <si>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</si>
  <si>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</si>
  <si>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</si>
  <si>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</si>
  <si>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</si>
  <si>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</si>
  <si>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</si>
  <si>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</si>
  <si>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</si>
  <si>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</si>
  <si>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</si>
  <si>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</si>
  <si>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</si>
  <si>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</si>
  <si>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</si>
  <si>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</si>
  <si>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</si>
  <si>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</si>
  <si>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</si>
  <si>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</si>
  <si>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</si>
  <si>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</si>
  <si>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</si>
  <si>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</si>
  <si>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</si>
  <si>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</si>
  <si>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</si>
  <si>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</si>
  <si>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</si>
  <si>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</si>
  <si>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</si>
  <si>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</si>
  <si>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</si>
  <si>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</si>
  <si>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</si>
  <si>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</si>
  <si>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</si>
  <si>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</si>
  <si>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</si>
  <si>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</si>
  <si>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</si>
  <si>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</si>
  <si>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</si>
  <si>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</si>
  <si>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</si>
  <si>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</si>
  <si>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</si>
  <si>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</si>
  <si>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</si>
  <si>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</si>
  <si>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</si>
  <si>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</si>
  <si>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</si>
  <si>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</si>
  <si>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</si>
  <si>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</si>
  <si>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</si>
  <si>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</si>
  <si>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</si>
  <si>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</si>
  <si>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</si>
  <si>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</si>
  <si>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</si>
  <si>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</si>
  <si>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</si>
  <si>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</si>
  <si>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</si>
  <si>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</si>
  <si>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</si>
  <si>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</si>
  <si>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</si>
  <si>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</si>
  <si>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</si>
  <si>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</si>
  <si>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</si>
  <si>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</si>
  <si>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</si>
  <si>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</si>
  <si>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</si>
  <si>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</si>
  <si>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</si>
  <si>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</si>
  <si>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</si>
  <si>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</si>
  <si>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</si>
  <si>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</si>
  <si>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</si>
  <si>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</si>
  <si>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</si>
  <si>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</si>
  <si>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</si>
  <si>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</si>
  <si>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</si>
  <si>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</si>
  <si>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</si>
  <si>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</si>
  <si>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</si>
  <si>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</si>
  <si>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</si>
  <si>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</si>
  <si>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</si>
  <si>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</si>
  <si>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</si>
  <si>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</si>
  <si>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</si>
  <si>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</si>
  <si>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</si>
  <si>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</si>
  <si>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</si>
  <si>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</si>
  <si>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</si>
  <si>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</si>
  <si>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</si>
  <si>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</si>
  <si>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</si>
  <si>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</si>
  <si>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</si>
  <si>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</si>
  <si>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</si>
  <si>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</si>
  <si>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</si>
  <si>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</si>
  <si>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</si>
  <si>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</si>
  <si>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</si>
  <si>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</si>
  <si>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</si>
  <si>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</si>
  <si>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</si>
  <si>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</si>
  <si>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</si>
  <si>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</si>
  <si>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</si>
  <si>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</si>
  <si>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</si>
  <si>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</si>
  <si>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</si>
  <si>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</si>
  <si>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</si>
  <si>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</si>
  <si>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</si>
  <si>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</si>
  <si>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</si>
  <si>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</si>
  <si>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</si>
  <si>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</si>
  <si>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</si>
  <si>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</si>
  <si>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</si>
  <si>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</si>
  <si>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</si>
  <si>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</si>
  <si>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</si>
  <si>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</si>
  <si>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</si>
  <si>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</si>
  <si>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</si>
  <si>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</si>
  <si>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</si>
  <si>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</si>
  <si>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</si>
  <si>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</si>
  <si>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</si>
  <si>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</si>
  <si>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</si>
  <si>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</si>
  <si>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</si>
  <si>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</si>
  <si>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</si>
  <si>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</si>
  <si>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</si>
  <si>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</si>
  <si>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</si>
  <si>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</si>
  <si>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</si>
  <si>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</si>
  <si>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</si>
  <si>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</si>
  <si>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</si>
  <si>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</si>
  <si>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</si>
  <si>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</si>
  <si>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</si>
  <si>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</si>
  <si>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</si>
  <si>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</si>
  <si>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</si>
  <si>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</si>
  <si>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</si>
  <si>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</si>
  <si>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</si>
  <si>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</si>
  <si>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</si>
  <si>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</si>
  <si>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</si>
  <si>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</si>
  <si>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</si>
  <si>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</si>
  <si>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</si>
  <si>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</si>
  <si>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</si>
  <si>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</si>
  <si>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</si>
  <si>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</si>
  <si>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</si>
  <si>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</si>
  <si>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</si>
  <si>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</si>
  <si>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</si>
  <si>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</si>
  <si>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</si>
  <si>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</si>
  <si>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</si>
  <si>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</si>
  <si>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</si>
  <si>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</si>
  <si>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</si>
  <si>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</si>
  <si>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</si>
  <si>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</si>
  <si>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</si>
  <si>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</si>
  <si>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</si>
  <si>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</si>
  <si>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</si>
  <si>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</si>
  <si>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</si>
  <si>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</si>
  <si>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</si>
  <si>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</si>
  <si>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</si>
  <si>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</si>
  <si>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</si>
  <si>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</si>
  <si>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</si>
  <si>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</si>
  <si>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</si>
  <si>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</si>
  <si>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</si>
  <si>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</si>
  <si>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</si>
  <si>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</si>
  <si>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</si>
  <si>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</si>
  <si>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</si>
  <si>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</si>
  <si>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</si>
  <si>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</si>
  <si>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</si>
  <si>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</si>
  <si>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</si>
  <si>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</si>
  <si>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</si>
  <si>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</si>
  <si>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</si>
  <si>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</si>
  <si>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</si>
  <si>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</si>
  <si>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</si>
  <si>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</si>
  <si>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</si>
  <si>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</si>
  <si>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</si>
  <si>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</si>
  <si>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</si>
  <si>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</si>
  <si>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</si>
  <si>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</si>
  <si>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</si>
  <si>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</si>
  <si>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</si>
  <si>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</si>
  <si>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</si>
  <si>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</si>
  <si>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</si>
  <si>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</si>
  <si>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</si>
  <si>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</si>
  <si>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</si>
  <si>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</si>
  <si>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</si>
  <si>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</si>
  <si>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</si>
  <si>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</si>
  <si>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</si>
  <si>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</si>
  <si>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</si>
  <si>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</si>
  <si>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</si>
  <si>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</si>
  <si>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</si>
  <si>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</si>
  <si>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</si>
  <si>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</si>
  <si>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</si>
  <si>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</si>
  <si>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</si>
  <si>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</si>
  <si>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</si>
  <si>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</si>
  <si>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</si>
  <si>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</si>
  <si>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</si>
  <si>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</si>
  <si>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</si>
  <si>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</si>
  <si>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</si>
  <si>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</si>
  <si>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</si>
  <si>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</si>
  <si>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</si>
  <si>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</si>
  <si>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</si>
  <si>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</si>
  <si>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</si>
  <si>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</si>
  <si>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</si>
  <si>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</si>
  <si>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</si>
  <si>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</si>
  <si>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</si>
  <si>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</si>
  <si>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</si>
  <si>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</si>
  <si>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</si>
  <si>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</si>
  <si>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</si>
  <si>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</si>
  <si>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</si>
  <si>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</si>
  <si>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</si>
  <si>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</si>
  <si>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</si>
  <si>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</si>
  <si>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</si>
  <si>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</si>
  <si>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</si>
  <si>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</si>
  <si>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</si>
  <si>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</si>
  <si>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</si>
  <si>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</si>
  <si>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</si>
  <si>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</si>
  <si>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</si>
  <si>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</si>
  <si>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</si>
  <si>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</si>
  <si>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</si>
  <si>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</si>
  <si>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</si>
  <si>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</si>
  <si>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</si>
  <si>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</si>
  <si>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</si>
  <si>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</si>
  <si>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</si>
  <si>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</si>
  <si>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</si>
  <si>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</si>
  <si>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</si>
  <si>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</si>
  <si>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</si>
  <si>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</si>
  <si>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</si>
  <si>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</si>
  <si>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</si>
  <si>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</si>
  <si>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</si>
  <si>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</si>
  <si>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</si>
  <si>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</si>
  <si>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</si>
  <si>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</si>
  <si>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</si>
  <si>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</si>
  <si>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</si>
  <si>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</si>
  <si>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</si>
  <si>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</si>
  <si>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</si>
  <si>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</si>
  <si>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</si>
  <si>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</si>
  <si>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</si>
  <si>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</si>
  <si>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</si>
  <si>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</si>
  <si>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</si>
  <si>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</si>
  <si>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</si>
  <si>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</si>
  <si>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</si>
  <si>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</si>
  <si>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</si>
  <si>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</si>
  <si>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</si>
  <si>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</si>
  <si>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</si>
  <si>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</si>
  <si>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</si>
  <si>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</si>
  <si>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</si>
  <si>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</si>
  <si>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</si>
  <si>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</si>
  <si>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</si>
  <si>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</si>
  <si>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</si>
  <si>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</si>
  <si>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</si>
  <si>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</si>
  <si>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</si>
  <si>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</si>
  <si>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</si>
  <si>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</si>
  <si>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</si>
  <si>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</si>
  <si>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</si>
  <si>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</si>
  <si>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</si>
  <si>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</si>
  <si>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</si>
  <si>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</si>
  <si>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</si>
  <si>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</si>
  <si>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</si>
  <si>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</si>
  <si>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</si>
  <si>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</si>
  <si>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</si>
  <si>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</si>
  <si>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</si>
  <si>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</si>
  <si>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</si>
  <si>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</si>
  <si>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</si>
  <si>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</si>
  <si>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</si>
  <si>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</si>
  <si>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</si>
  <si>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</si>
  <si>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</si>
  <si>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</si>
  <si>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</si>
  <si>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</si>
  <si>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</si>
  <si>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</si>
  <si>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</si>
  <si>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</si>
  <si>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</si>
  <si>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</si>
  <si>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</si>
  <si>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</si>
  <si>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</si>
  <si>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</si>
  <si>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</si>
  <si>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</si>
  <si>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</si>
  <si>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</si>
  <si>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</si>
  <si>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</si>
  <si>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</si>
  <si>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</si>
  <si>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</si>
  <si>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</si>
  <si>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</si>
  <si>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</si>
  <si>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</si>
  <si>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</si>
  <si>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</si>
  <si>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</si>
  <si>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</si>
  <si>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</si>
  <si>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</si>
  <si>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</si>
  <si>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</si>
  <si>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</si>
  <si>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</si>
  <si>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</si>
  <si>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</si>
  <si>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</si>
  <si>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</si>
  <si>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</si>
  <si>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</si>
  <si>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</si>
  <si>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</si>
  <si>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</si>
  <si>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</si>
  <si>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</si>
  <si>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</si>
  <si>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</si>
  <si>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</si>
  <si>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</si>
  <si>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</si>
  <si>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</si>
  <si>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</si>
  <si>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</si>
  <si>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</si>
  <si>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</si>
  <si>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</si>
  <si>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</si>
  <si>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</si>
  <si>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</si>
  <si>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</si>
  <si>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</si>
  <si>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</si>
  <si>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</si>
  <si>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</si>
  <si>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</si>
  <si>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</si>
  <si>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</si>
  <si>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</si>
  <si>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</si>
  <si>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</si>
  <si>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</si>
  <si>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</si>
  <si>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</si>
  <si>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</si>
  <si>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</si>
  <si>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</si>
  <si>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</si>
  <si>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</si>
  <si>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</si>
  <si>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</si>
  <si>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</si>
  <si>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</si>
  <si>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</si>
  <si>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</si>
  <si>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</si>
  <si>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</si>
  <si>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</si>
  <si>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</si>
  <si>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</si>
  <si>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</si>
  <si>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</si>
  <si>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</si>
  <si>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</si>
  <si>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</si>
  <si>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</si>
  <si>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</si>
  <si>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</si>
  <si>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</si>
  <si>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</si>
  <si>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</si>
  <si>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</si>
  <si>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</si>
  <si>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</si>
  <si>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</si>
  <si>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</si>
  <si>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</si>
  <si>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</si>
  <si>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</si>
  <si>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</si>
  <si>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</si>
  <si>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</si>
  <si>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</si>
  <si>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</si>
  <si>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</si>
  <si>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</si>
  <si>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</si>
  <si>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</si>
  <si>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</si>
  <si>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</si>
  <si>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</si>
  <si>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</si>
  <si>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</si>
  <si>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</si>
  <si>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</si>
  <si>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</si>
  <si>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</si>
  <si>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</si>
  <si>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</si>
  <si>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</si>
  <si>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</si>
  <si>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</si>
  <si>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</si>
  <si>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</si>
  <si>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</si>
  <si>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</si>
  <si>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</si>
  <si>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</si>
  <si>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</si>
  <si>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</si>
  <si>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</si>
  <si>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</si>
  <si>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</si>
  <si>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</si>
  <si>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</si>
  <si>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</si>
  <si>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</si>
  <si>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</si>
  <si>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</si>
  <si>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</si>
  <si>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</si>
  <si>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</si>
  <si>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</si>
  <si>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</si>
  <si>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</si>
  <si>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</si>
  <si>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</si>
  <si>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</si>
  <si>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</si>
  <si>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</si>
  <si>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</si>
  <si>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</si>
  <si>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</si>
  <si>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</si>
  <si>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</si>
  <si>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</si>
  <si>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</si>
  <si>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</si>
  <si>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</si>
  <si>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</si>
  <si>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</si>
  <si>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</si>
  <si>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</si>
  <si>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</si>
  <si>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</si>
  <si>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</si>
  <si>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</si>
  <si>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</si>
  <si>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</si>
  <si>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</si>
  <si>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</si>
  <si>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</si>
  <si>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</si>
  <si>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</si>
  <si>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</si>
  <si>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</si>
  <si>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</si>
  <si>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</si>
  <si>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</si>
  <si>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</si>
  <si>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</si>
  <si>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</si>
  <si>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</si>
  <si>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</si>
  <si>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</si>
  <si>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</si>
  <si>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</si>
  <si>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</si>
  <si>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</si>
  <si>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</si>
  <si>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</si>
  <si>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</si>
  <si>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</si>
  <si>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</si>
  <si>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</si>
  <si>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</si>
  <si>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</si>
  <si>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</si>
  <si>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</si>
  <si>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</si>
  <si>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</si>
  <si>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</si>
  <si>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</si>
  <si>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</si>
  <si>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</si>
  <si>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</si>
  <si>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</si>
  <si>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</si>
  <si>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</si>
  <si>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</si>
  <si>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</si>
  <si>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</si>
  <si>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</si>
  <si>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</si>
  <si>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</si>
  <si>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</si>
  <si>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</si>
  <si>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</si>
  <si>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</si>
  <si>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</si>
  <si>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</si>
  <si>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</si>
  <si>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</si>
  <si>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</si>
  <si>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</si>
  <si>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</si>
  <si>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</si>
  <si>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</si>
  <si>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</si>
  <si>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</si>
  <si>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</si>
  <si>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</si>
  <si>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</si>
  <si>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</si>
  <si>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</si>
  <si>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</si>
  <si>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</si>
  <si>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</si>
  <si>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</si>
  <si>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</si>
  <si>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</si>
  <si>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</si>
  <si>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</si>
  <si>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</si>
  <si>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</si>
  <si>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</si>
  <si>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</si>
  <si>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</si>
  <si>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</si>
  <si>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</si>
  <si>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</si>
  <si>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</si>
  <si>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</si>
  <si>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</si>
  <si>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</si>
  <si>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</si>
  <si>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</si>
  <si>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</si>
  <si>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</si>
  <si>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</si>
  <si>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</si>
  <si>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</si>
  <si>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</si>
  <si>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</si>
  <si>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</si>
  <si>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</si>
  <si>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</si>
  <si>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</si>
  <si>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</si>
  <si>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</si>
  <si>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</si>
  <si>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</si>
  <si>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</si>
  <si>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</si>
  <si>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</si>
  <si>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</si>
  <si>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</si>
  <si>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</si>
  <si>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</si>
  <si>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</si>
  <si>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</si>
  <si>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</si>
  <si>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</si>
  <si>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</si>
  <si>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</si>
  <si>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</si>
  <si>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</si>
  <si>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</si>
  <si>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</si>
  <si>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</si>
  <si>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</si>
  <si>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</si>
  <si>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</si>
  <si>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</si>
  <si>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</si>
  <si>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</si>
  <si>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</si>
  <si>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</si>
  <si>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</si>
  <si>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</si>
  <si>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</si>
  <si>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</si>
  <si>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</si>
  <si>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</si>
  <si>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</si>
  <si>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</si>
  <si>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</si>
  <si>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</si>
  <si>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</si>
  <si>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</si>
  <si>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</si>
  <si>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</si>
  <si>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</si>
  <si>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</si>
  <si>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</si>
  <si>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</si>
  <si>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</si>
  <si>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</si>
  <si>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</si>
  <si>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</si>
  <si>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</si>
  <si>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</si>
  <si>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</si>
  <si>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</si>
  <si>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</si>
  <si>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</si>
  <si>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</si>
  <si>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</si>
  <si>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</si>
  <si>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</si>
  <si>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</si>
  <si>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</si>
  <si>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</si>
  <si>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</si>
  <si>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</si>
  <si>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</si>
  <si>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</si>
  <si>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</si>
  <si>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</si>
  <si>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</si>
  <si>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</si>
  <si>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</si>
  <si>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</si>
  <si>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</si>
  <si>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</si>
  <si>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</si>
  <si>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</si>
  <si>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</si>
  <si>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</si>
  <si>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</si>
  <si>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</si>
  <si>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</si>
  <si>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</si>
  <si>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</si>
  <si>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</si>
  <si>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</si>
  <si>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</si>
  <si>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</si>
  <si>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</si>
  <si>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</si>
  <si>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</si>
  <si>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</si>
  <si>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</si>
  <si>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</si>
  <si>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</si>
  <si>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</si>
  <si>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</si>
  <si>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</si>
  <si>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</si>
  <si>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</si>
  <si>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</si>
  <si>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</si>
  <si>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</si>
  <si>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</si>
  <si>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</si>
  <si>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</si>
  <si>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</si>
  <si>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</si>
  <si>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</si>
  <si>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</si>
  <si>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</si>
  <si>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</si>
  <si>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</si>
  <si>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</si>
  <si>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</si>
  <si>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</si>
  <si>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</si>
  <si>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</si>
  <si>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</si>
  <si>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</si>
  <si>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</si>
  <si>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</si>
  <si>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</si>
  <si>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</si>
  <si>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</si>
  <si>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</si>
  <si>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</si>
  <si>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</si>
  <si>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</si>
  <si>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</si>
  <si>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</si>
  <si>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</si>
  <si>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</si>
  <si>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</si>
  <si>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</si>
  <si>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</si>
  <si>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</si>
  <si>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</si>
  <si>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</si>
  <si>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</si>
  <si>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</si>
  <si>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</si>
  <si>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</si>
  <si>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</si>
  <si>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</si>
  <si>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</si>
  <si>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</si>
  <si>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</si>
  <si>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</si>
  <si>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</si>
  <si>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</si>
  <si>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</si>
  <si>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</si>
  <si>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</si>
  <si>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</si>
  <si>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</si>
  <si>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</si>
  <si>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</si>
  <si>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</si>
  <si>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</si>
  <si>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</si>
  <si>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</si>
  <si>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</si>
  <si>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</si>
  <si>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</si>
  <si>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</si>
  <si>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</si>
  <si>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</si>
  <si>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</si>
  <si>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</si>
  <si>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</si>
  <si>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</si>
  <si>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</si>
  <si>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</si>
  <si>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</si>
  <si>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</si>
  <si>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</si>
  <si>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</si>
  <si>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</si>
  <si>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</si>
  <si>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</si>
  <si>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</si>
  <si>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</si>
  <si>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</si>
  <si>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</si>
  <si>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</si>
  <si>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</si>
  <si>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</si>
  <si>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</si>
  <si>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</si>
  <si>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</si>
  <si>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</si>
  <si>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</si>
  <si>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</si>
  <si>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</si>
  <si>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</si>
  <si>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</si>
  <si>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</si>
  <si>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</si>
  <si>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</si>
  <si>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</si>
  <si>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</si>
  <si>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</si>
  <si>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</si>
  <si>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</si>
  <si>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</si>
  <si>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</si>
  <si>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</si>
  <si>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</si>
  <si>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</si>
  <si>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</si>
  <si>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</si>
  <si>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</si>
  <si>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</si>
  <si>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</si>
  <si>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</si>
  <si>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</si>
  <si>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</si>
  <si>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</si>
  <si>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</si>
  <si>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</si>
  <si>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</si>
  <si>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</si>
  <si>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</si>
  <si>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</si>
  <si>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</si>
  <si>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</si>
  <si>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</si>
  <si>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</si>
  <si>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</si>
  <si>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</si>
  <si>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</si>
  <si>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</si>
  <si>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</si>
  <si>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</si>
  <si>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</si>
  <si>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</si>
  <si>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</si>
  <si>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</si>
  <si>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</si>
  <si>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</si>
  <si>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</si>
  <si>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</si>
  <si>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</si>
  <si>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</si>
  <si>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</si>
  <si>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</si>
  <si>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</si>
  <si>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</si>
  <si>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</si>
  <si>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</si>
  <si>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</si>
  <si>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</si>
  <si>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</si>
  <si>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</si>
  <si>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</si>
  <si>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</si>
  <si>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</si>
  <si>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</si>
  <si>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</si>
  <si>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</si>
  <si>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</si>
  <si>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</si>
  <si>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</si>
  <si>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</si>
  <si>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</si>
  <si>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</si>
  <si>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</si>
  <si>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</si>
  <si>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</si>
  <si>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</si>
  <si>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</si>
  <si>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</si>
  <si>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</si>
  <si>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</si>
  <si>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</si>
  <si>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</si>
  <si>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</si>
  <si>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</si>
  <si>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</si>
  <si>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</si>
  <si>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</si>
  <si>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</si>
  <si>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</si>
  <si>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</si>
  <si>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</si>
  <si>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</si>
  <si>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</si>
  <si>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</si>
  <si>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</si>
  <si>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</si>
  <si>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</si>
  <si>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</si>
  <si>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</si>
  <si>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</si>
  <si>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</si>
  <si>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</si>
  <si>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</si>
  <si>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</si>
  <si>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</si>
  <si>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</si>
  <si>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</si>
  <si>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</si>
  <si>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</si>
  <si>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</si>
  <si>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</si>
  <si>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</si>
  <si>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</si>
  <si>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</si>
  <si>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</si>
  <si>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</si>
  <si>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</si>
  <si>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</si>
  <si>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</si>
  <si>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</si>
  <si>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</si>
  <si>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</si>
  <si>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</si>
  <si>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</si>
  <si>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</si>
  <si>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</si>
  <si>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</si>
  <si>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</si>
  <si>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</si>
  <si>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</si>
  <si>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</si>
  <si>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</si>
  <si>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</si>
  <si>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</si>
  <si>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</si>
  <si>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</si>
  <si>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</si>
  <si>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</si>
  <si>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</si>
  <si>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</si>
  <si>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</si>
  <si>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</si>
  <si>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</si>
  <si>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</si>
  <si>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</si>
  <si>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</si>
  <si>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</si>
  <si>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</si>
  <si>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</si>
  <si>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</si>
  <si>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</si>
  <si>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</si>
  <si>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</si>
  <si>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</si>
  <si>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</si>
  <si>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</si>
  <si>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</si>
  <si>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</si>
  <si>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</si>
  <si>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</si>
  <si>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</si>
  <si>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</si>
  <si>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</si>
  <si>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</si>
  <si>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</si>
  <si>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</si>
  <si>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</si>
  <si>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</si>
  <si>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</si>
  <si>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</si>
  <si>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</si>
  <si>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</si>
  <si>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</si>
  <si>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</si>
  <si>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</si>
  <si>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</si>
  <si>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</si>
  <si>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</si>
  <si>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</si>
  <si>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</si>
  <si>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</si>
  <si>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</si>
  <si>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</si>
  <si>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</si>
  <si>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</si>
  <si>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</si>
  <si>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</si>
  <si>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</si>
  <si>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</si>
  <si>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</si>
  <si>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</si>
  <si>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</si>
  <si>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</si>
  <si>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</si>
  <si>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</si>
  <si>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</si>
  <si>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</si>
  <si>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</si>
  <si>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</si>
  <si>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</si>
  <si>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</si>
  <si>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</si>
  <si>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</si>
  <si>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</si>
  <si>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</si>
  <si>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</si>
  <si>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</si>
  <si>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</si>
  <si>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</si>
  <si>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</si>
  <si>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</si>
  <si>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</si>
  <si>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</si>
  <si>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</si>
  <si>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</si>
  <si>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</si>
  <si>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</si>
  <si>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</si>
  <si>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</si>
  <si>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</si>
  <si>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</si>
  <si>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</si>
  <si>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</si>
  <si>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</si>
  <si>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</si>
  <si>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</si>
  <si>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</si>
  <si>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</si>
  <si>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</si>
  <si>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</si>
  <si>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</si>
  <si>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</si>
  <si>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</si>
  <si>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</si>
  <si>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</si>
  <si>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</si>
  <si>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</si>
  <si>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</si>
  <si>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</si>
  <si>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</si>
  <si>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</si>
  <si>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</si>
  <si>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</si>
  <si>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</si>
  <si>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</si>
  <si>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</si>
  <si>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</si>
  <si>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</si>
  <si>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</si>
  <si>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</si>
  <si>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</si>
  <si>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</si>
  <si>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</si>
  <si>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</si>
  <si>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</si>
  <si>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</si>
  <si>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</si>
  <si>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</si>
  <si>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</si>
  <si>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</si>
  <si>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</si>
  <si>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</si>
  <si>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</si>
  <si>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</si>
  <si>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</si>
  <si>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</si>
  <si>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</si>
  <si>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</si>
  <si>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</si>
  <si>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</si>
  <si>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</si>
  <si>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</si>
  <si>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</si>
  <si>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</si>
  <si>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</si>
  <si>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</si>
  <si>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</si>
  <si>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</si>
  <si>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</si>
  <si>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</si>
  <si>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</si>
  <si>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</si>
  <si>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</si>
  <si>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</si>
  <si>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</si>
  <si>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</si>
  <si>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</si>
  <si>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</si>
  <si>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</si>
  <si>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</si>
  <si>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</si>
  <si>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</si>
  <si>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</si>
  <si>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</si>
  <si>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</si>
  <si>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</si>
  <si>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</si>
  <si>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</si>
  <si>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</si>
  <si>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</si>
  <si>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</si>
  <si>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</si>
  <si>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</si>
  <si>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</si>
  <si>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</si>
  <si>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</si>
  <si>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</si>
  <si>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</si>
  <si>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</si>
  <si>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</si>
  <si>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</si>
  <si>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</si>
  <si>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</si>
  <si>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</si>
  <si>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</si>
  <si>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</si>
  <si>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</si>
  <si>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</si>
  <si>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</si>
  <si>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</si>
  <si>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</si>
  <si>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</si>
  <si>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</si>
  <si>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</si>
  <si>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</si>
  <si>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</si>
  <si>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</si>
  <si>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</si>
  <si>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</si>
  <si>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</si>
  <si>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</si>
  <si>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</si>
  <si>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</si>
  <si>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</si>
  <si>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</si>
  <si>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</si>
  <si>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</si>
  <si>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</si>
  <si>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</si>
  <si>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</si>
  <si>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</si>
  <si>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</si>
  <si>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</si>
  <si>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</si>
  <si>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</si>
  <si>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</si>
  <si>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</si>
  <si>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</si>
  <si>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</si>
  <si>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</si>
  <si>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</si>
  <si>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</si>
  <si>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</si>
  <si>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</si>
  <si>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</si>
  <si>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</si>
  <si>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</si>
  <si>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</si>
  <si>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</si>
  <si>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</si>
  <si>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</si>
  <si>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</si>
  <si>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</si>
  <si>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</si>
  <si>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</si>
  <si>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</si>
  <si>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</si>
  <si>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</si>
  <si>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</si>
  <si>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</si>
  <si>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</si>
  <si>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</si>
  <si>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</si>
  <si>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</si>
  <si>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</si>
  <si>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</si>
  <si>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</si>
  <si>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</si>
  <si>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</si>
  <si>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</si>
  <si>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</si>
  <si>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</si>
  <si>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</si>
  <si>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</si>
  <si>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</si>
  <si>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</si>
  <si>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</si>
  <si>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</si>
  <si>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</si>
  <si>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</si>
  <si>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</si>
  <si>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</si>
  <si>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</si>
  <si>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</si>
  <si>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</si>
  <si>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</si>
  <si>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</si>
  <si>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</si>
  <si>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</si>
  <si>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</si>
  <si>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</si>
  <si>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</si>
  <si>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</si>
  <si>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</si>
  <si>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</si>
  <si>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</si>
  <si>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</si>
  <si>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</si>
  <si>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</si>
  <si>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</si>
  <si>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</si>
  <si>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</si>
  <si>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</si>
  <si>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</si>
  <si>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</si>
  <si>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</si>
  <si>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</si>
  <si>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</si>
  <si>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</si>
  <si>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</si>
  <si>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</si>
  <si>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</si>
  <si>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</si>
  <si>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</si>
  <si>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</si>
  <si>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</si>
  <si>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</si>
  <si>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</si>
  <si>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</si>
  <si>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</si>
  <si>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</si>
  <si>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</si>
  <si>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</si>
  <si>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</si>
  <si>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</si>
  <si>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</si>
  <si>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</si>
  <si>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</si>
  <si>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</si>
  <si>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</si>
  <si>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</si>
  <si>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</si>
  <si>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</si>
  <si>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</si>
  <si>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</si>
  <si>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</si>
  <si>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</si>
  <si>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</si>
  <si>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</si>
  <si>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</si>
  <si>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</si>
  <si>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</si>
  <si>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</si>
  <si>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</si>
  <si>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</si>
  <si>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</si>
  <si>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</si>
  <si>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</si>
  <si>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</si>
  <si>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</si>
  <si>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</si>
  <si>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</si>
  <si>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</si>
  <si>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</si>
  <si>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</si>
  <si>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</si>
  <si>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</si>
  <si>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</si>
  <si>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</si>
  <si>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</si>
  <si>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</si>
  <si>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</si>
  <si>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</si>
  <si>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</si>
  <si>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</si>
  <si>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</si>
  <si>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</si>
  <si>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</si>
  <si>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</si>
  <si>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</si>
  <si>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</si>
  <si>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</si>
  <si>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</si>
  <si>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</si>
  <si>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</si>
  <si>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</si>
  <si>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</si>
  <si>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</si>
  <si>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</si>
  <si>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</si>
  <si>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</si>
  <si>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</si>
  <si>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</si>
  <si>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</si>
  <si>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</si>
  <si>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</si>
  <si>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</si>
  <si>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</si>
  <si>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</si>
  <si>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</si>
  <si>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</si>
  <si>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</si>
  <si>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</si>
  <si>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</si>
  <si>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</si>
  <si>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</si>
  <si>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</si>
  <si>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</si>
  <si>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</si>
  <si>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</si>
  <si>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</si>
  <si>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</si>
  <si>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</si>
  <si>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</si>
  <si>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</si>
  <si>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</si>
  <si>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</si>
  <si>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</si>
  <si>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</si>
  <si>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</si>
  <si>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</si>
  <si>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</si>
  <si>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</si>
  <si>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</si>
  <si>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</si>
  <si>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</si>
  <si>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</si>
  <si>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</si>
  <si>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</si>
  <si>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</si>
  <si>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</si>
  <si>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</si>
  <si>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</si>
  <si>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</si>
  <si>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</si>
  <si>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</si>
  <si>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</si>
  <si>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</si>
  <si>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</si>
  <si>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</si>
  <si>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</si>
  <si>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</si>
  <si>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</si>
  <si>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</si>
  <si>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</si>
  <si>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</si>
  <si>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</si>
  <si>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</si>
  <si>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</si>
  <si>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</si>
  <si>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</si>
  <si>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</si>
  <si>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</si>
  <si>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</si>
  <si>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</si>
  <si>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</si>
  <si>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</si>
  <si>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</si>
  <si>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</si>
  <si>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</si>
  <si>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</si>
  <si>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</si>
  <si>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</si>
  <si>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</si>
  <si>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</si>
  <si>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</si>
  <si>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</si>
  <si>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</si>
  <si>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</si>
  <si>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</si>
  <si>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</si>
  <si>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</si>
  <si>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</si>
  <si>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</si>
  <si>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</si>
  <si>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</si>
  <si>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</si>
  <si>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</si>
  <si>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</si>
  <si>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</si>
  <si>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</si>
  <si>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</si>
  <si>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</si>
  <si>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</si>
  <si>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</si>
  <si>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</si>
  <si>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</si>
  <si>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</si>
  <si>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</si>
  <si>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</si>
  <si>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</si>
  <si>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</si>
  <si>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</si>
  <si>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</si>
  <si>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</si>
  <si>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</si>
  <si>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</si>
  <si>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</si>
  <si>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</si>
  <si>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</si>
  <si>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</si>
  <si>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</si>
  <si>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</si>
  <si>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</si>
  <si>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</si>
  <si>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</si>
  <si>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</si>
  <si>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</si>
  <si>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</si>
  <si>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</si>
  <si>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</si>
  <si>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</si>
  <si>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</si>
  <si>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</si>
  <si>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</si>
  <si>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</si>
  <si>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</si>
  <si>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</si>
  <si>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</si>
  <si>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</si>
  <si>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</si>
  <si>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</si>
  <si>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</si>
  <si>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</si>
  <si>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</si>
  <si>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</si>
  <si>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</si>
  <si>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</si>
  <si>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</si>
  <si>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</si>
  <si>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</si>
  <si>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</si>
  <si>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</si>
  <si>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</si>
  <si>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</si>
  <si>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</si>
  <si>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</si>
  <si>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</si>
  <si>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</si>
  <si>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</si>
  <si>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</si>
  <si>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</si>
  <si>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</si>
  <si>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</si>
  <si>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</si>
  <si>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</si>
  <si>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</si>
  <si>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</si>
  <si>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</si>
  <si>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</si>
  <si>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</si>
  <si>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</si>
  <si>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</si>
  <si>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</si>
  <si>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</si>
  <si>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</si>
  <si>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</si>
  <si>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</si>
  <si>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</si>
  <si>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</si>
  <si>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</si>
  <si>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</si>
  <si>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</si>
  <si>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</si>
  <si>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</si>
  <si>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</si>
  <si>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</si>
  <si>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</si>
  <si>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</si>
  <si>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</si>
  <si>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</si>
  <si>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</si>
  <si>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</si>
  <si>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</si>
  <si>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</si>
  <si>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</si>
  <si>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</si>
  <si>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</si>
  <si>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</si>
  <si>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</si>
  <si>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</si>
  <si>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</si>
  <si>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</si>
  <si>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</si>
  <si>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</si>
  <si>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</si>
  <si>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</si>
  <si>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</si>
  <si>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</si>
  <si>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</si>
  <si>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</si>
  <si>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</si>
  <si>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</si>
  <si>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</si>
  <si>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</si>
  <si>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</si>
  <si>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</si>
  <si>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</si>
  <si>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</si>
  <si>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</si>
  <si>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</si>
  <si>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</si>
  <si>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</si>
  <si>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</si>
  <si>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</si>
  <si>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</si>
  <si>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</si>
  <si>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</si>
  <si>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</si>
  <si>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</si>
  <si>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</si>
  <si>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</si>
  <si>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</si>
  <si>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</si>
  <si>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</si>
  <si>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</si>
  <si>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</si>
  <si>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</si>
  <si>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</si>
  <si>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</si>
  <si>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</si>
  <si>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</si>
  <si>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</si>
  <si>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</si>
  <si>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</si>
  <si>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</si>
  <si>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</si>
  <si>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</si>
  <si>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</si>
  <si>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</si>
  <si>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</si>
  <si>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</si>
  <si>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</si>
  <si>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</si>
  <si>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</si>
  <si>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</si>
  <si>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</si>
  <si>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</si>
  <si>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</si>
  <si>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</si>
  <si>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</si>
  <si>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</si>
  <si>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</si>
  <si>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</si>
  <si>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</si>
  <si>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</si>
  <si>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</si>
  <si>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</si>
  <si>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</si>
  <si>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</si>
  <si>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</si>
  <si>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</si>
  <si>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</si>
  <si>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</si>
  <si>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</si>
  <si>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</si>
  <si>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</si>
  <si>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</si>
  <si>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</si>
  <si>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</si>
  <si>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</si>
  <si>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</si>
  <si>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</si>
  <si>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</si>
  <si>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</si>
  <si>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</si>
  <si>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</si>
  <si>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</si>
  <si>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</si>
  <si>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</si>
  <si>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</si>
  <si>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</si>
  <si>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</si>
  <si>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</si>
  <si>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</si>
  <si>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</si>
  <si>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</si>
  <si>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</si>
  <si>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</si>
  <si>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</si>
  <si>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</si>
  <si>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</si>
  <si>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</si>
  <si>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</si>
  <si>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</si>
  <si>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</si>
  <si>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</si>
  <si>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</si>
  <si>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</si>
  <si>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</si>
  <si>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</si>
  <si>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</si>
  <si>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</si>
  <si>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</si>
  <si>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</si>
  <si>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</si>
  <si>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</si>
  <si>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</si>
  <si>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</si>
  <si>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</si>
  <si>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</si>
  <si>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</si>
  <si>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</si>
  <si>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</si>
  <si>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</si>
  <si>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</si>
  <si>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</si>
  <si>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</si>
  <si>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</si>
  <si>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</si>
  <si>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</si>
  <si>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</si>
  <si>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</si>
  <si>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</si>
  <si>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</si>
  <si>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</si>
  <si>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</si>
  <si>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</si>
  <si>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</si>
  <si>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</si>
  <si>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</si>
  <si>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</si>
  <si>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</si>
  <si>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</si>
  <si>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</si>
  <si>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</si>
  <si>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</si>
  <si>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</si>
  <si>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</si>
  <si>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</si>
  <si>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</si>
  <si>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</si>
  <si>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</si>
  <si>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</si>
  <si>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</si>
  <si>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</si>
  <si>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</si>
  <si>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</si>
  <si>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</si>
  <si>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</si>
  <si>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</si>
  <si>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</si>
  <si>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</si>
  <si>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</si>
  <si>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</si>
  <si>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</si>
  <si>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</si>
  <si>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</si>
  <si>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</si>
  <si>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</si>
  <si>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</si>
  <si>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</si>
  <si>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</si>
  <si>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</si>
  <si>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</si>
  <si>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</si>
  <si>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</si>
  <si>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</si>
  <si>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</si>
  <si>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</si>
  <si>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</si>
  <si>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</si>
  <si>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</si>
  <si>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</si>
  <si>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</si>
  <si>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</si>
  <si>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</si>
  <si>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</si>
  <si>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</si>
  <si>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</si>
  <si>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</si>
  <si>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</si>
  <si>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</si>
  <si>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</si>
  <si>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</si>
  <si>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</si>
  <si>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</si>
  <si>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</si>
  <si>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</si>
  <si>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</si>
  <si>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</si>
  <si>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</si>
  <si>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</si>
  <si>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</si>
  <si>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</si>
  <si>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</si>
  <si>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</si>
  <si>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</si>
  <si>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</si>
  <si>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</si>
  <si>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</si>
  <si>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</si>
  <si>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</si>
  <si>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</si>
  <si>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</si>
  <si>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</si>
  <si>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</si>
  <si>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</si>
  <si>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</si>
  <si>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</si>
  <si>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</si>
  <si>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</si>
  <si>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</si>
  <si>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</si>
  <si>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</si>
  <si>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</si>
  <si>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</si>
  <si>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</si>
  <si>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</si>
  <si>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</si>
  <si>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</si>
  <si>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</si>
  <si>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</si>
  <si>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</si>
  <si>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</si>
  <si>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</si>
  <si>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</si>
  <si>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</si>
  <si>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</si>
  <si>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</si>
  <si>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</si>
  <si>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</si>
  <si>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</si>
  <si>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</si>
  <si>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</si>
  <si>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</si>
  <si>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</si>
  <si>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</si>
  <si>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</si>
  <si>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</si>
  <si>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</si>
  <si>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</si>
  <si>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</si>
  <si>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</si>
  <si>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</si>
  <si>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</si>
  <si>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</si>
  <si>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</si>
  <si>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</si>
  <si>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</si>
  <si>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</si>
  <si>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</si>
  <si>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</si>
  <si>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</si>
  <si>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</si>
  <si>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</si>
  <si>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</si>
  <si>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</si>
  <si>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</si>
  <si>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</si>
  <si>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</si>
  <si>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</si>
  <si>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</si>
  <si>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</si>
  <si>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</si>
  <si>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</si>
  <si>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</si>
  <si>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</si>
  <si>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</si>
  <si>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</si>
  <si>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</si>
  <si>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</si>
  <si>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</si>
  <si>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</si>
  <si>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</si>
  <si>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</si>
  <si>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</si>
  <si>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</si>
  <si>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</si>
  <si>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</si>
  <si>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</si>
  <si>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</si>
  <si>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</si>
  <si>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</si>
  <si>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</si>
  <si>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</si>
  <si>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</si>
  <si>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</si>
  <si>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</si>
  <si>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</si>
  <si>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</si>
  <si>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</si>
  <si>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</si>
  <si>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</si>
  <si>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</si>
  <si>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</si>
  <si>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</si>
  <si>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</si>
  <si>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</si>
  <si>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</si>
  <si>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</si>
  <si>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</si>
  <si>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</si>
  <si>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</si>
  <si>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</si>
  <si>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</si>
  <si>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</si>
  <si>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</si>
  <si>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</si>
  <si>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</si>
  <si>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</si>
  <si>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</si>
  <si>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</si>
  <si>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</si>
  <si>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</si>
  <si>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</si>
  <si>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</si>
  <si>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</si>
  <si>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</si>
  <si>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</si>
  <si>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</si>
  <si>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</si>
  <si>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</si>
  <si>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</si>
  <si>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</si>
  <si>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</si>
  <si>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</si>
  <si>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</si>
  <si>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</si>
  <si>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</si>
  <si>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</si>
  <si>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</si>
  <si>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</si>
  <si>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</si>
  <si>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</si>
  <si>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</si>
  <si>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</si>
  <si>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</si>
  <si>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</si>
  <si>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</si>
  <si>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</si>
  <si>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</si>
  <si>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</si>
  <si>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</si>
  <si>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</si>
  <si>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</si>
  <si>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</si>
  <si>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</si>
  <si>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</si>
  <si>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</si>
  <si>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</si>
  <si>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</si>
  <si>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</si>
  <si>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</si>
  <si>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</si>
  <si>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</si>
  <si>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</si>
  <si>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</si>
  <si>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</si>
  <si>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</si>
  <si>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</si>
  <si>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</si>
  <si>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</si>
  <si>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</si>
  <si>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</si>
  <si>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</si>
  <si>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</si>
  <si>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</si>
  <si>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</si>
  <si>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</si>
  <si>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</si>
  <si>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</si>
  <si>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</si>
  <si>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</si>
  <si>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</si>
  <si>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</si>
  <si>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</si>
  <si>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</si>
  <si>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</si>
  <si>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</si>
  <si>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</si>
  <si>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</si>
  <si>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</si>
  <si>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</si>
  <si>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</si>
  <si>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</si>
  <si>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</si>
  <si>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</si>
  <si>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</si>
  <si>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</si>
  <si>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</si>
  <si>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</si>
  <si>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</si>
  <si>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</si>
  <si>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</si>
  <si>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</si>
  <si>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</si>
  <si>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</si>
  <si>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</si>
  <si>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</si>
  <si>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</si>
  <si>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</si>
  <si>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</si>
  <si>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</si>
  <si>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</si>
  <si>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</si>
  <si>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</si>
  <si>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</si>
  <si>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</si>
  <si>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</si>
  <si>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</si>
  <si>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</si>
  <si>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</si>
  <si>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</si>
  <si>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</si>
  <si>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</si>
  <si>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</si>
  <si>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</si>
  <si>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</si>
  <si>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</si>
  <si>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</si>
  <si>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</si>
  <si>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</si>
  <si>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</si>
  <si>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</si>
  <si>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</si>
  <si>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</si>
  <si>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</si>
  <si>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</si>
  <si>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</si>
  <si>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</si>
  <si>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</si>
  <si>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</si>
  <si>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</si>
  <si>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</si>
  <si>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</si>
  <si>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</si>
  <si>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</si>
  <si>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</si>
  <si>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</si>
  <si>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</si>
  <si>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</si>
  <si>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</si>
  <si>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</si>
  <si>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</si>
  <si>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</si>
  <si>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</si>
  <si>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</si>
  <si>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</si>
  <si>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</si>
  <si>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</si>
  <si>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</si>
  <si>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</si>
  <si>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</si>
  <si>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</si>
  <si>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</si>
  <si>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</si>
  <si>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</si>
  <si>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</si>
  <si>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</si>
  <si>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</si>
  <si>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</si>
  <si>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</si>
  <si>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</si>
  <si>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</si>
  <si>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</si>
  <si>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</si>
  <si>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</si>
  <si>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</si>
  <si>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</si>
  <si>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</si>
  <si>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</si>
  <si>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</si>
  <si>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</si>
  <si>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</si>
  <si>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</si>
  <si>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</si>
  <si>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</si>
  <si>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</si>
  <si>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</si>
  <si>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</si>
  <si>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</si>
  <si>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</si>
  <si>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</si>
  <si>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</si>
  <si>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</si>
  <si>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</si>
  <si>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</si>
  <si>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</si>
  <si>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</si>
  <si>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</si>
  <si>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</si>
  <si>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</si>
  <si>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</si>
  <si>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</si>
  <si>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</si>
  <si>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</si>
  <si>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</si>
  <si>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</si>
  <si>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</si>
  <si>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</si>
  <si>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</si>
  <si>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</si>
  <si>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</si>
  <si>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</si>
  <si>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</si>
  <si>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</si>
  <si>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</si>
  <si>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</si>
  <si>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</si>
  <si>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</si>
  <si>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</si>
  <si>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</si>
  <si>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</si>
  <si>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</si>
  <si>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</si>
  <si>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</si>
  <si>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</si>
  <si>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</si>
  <si>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</si>
  <si>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</si>
  <si>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</si>
  <si>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</si>
  <si>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</si>
  <si>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</si>
  <si>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</si>
  <si>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</si>
  <si>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</si>
  <si>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</si>
  <si>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</si>
  <si>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</si>
  <si>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</si>
  <si>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</si>
  <si>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</si>
  <si>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</si>
  <si>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</si>
  <si>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</si>
  <si>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</si>
  <si>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</si>
  <si>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</si>
  <si>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</si>
  <si>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</si>
  <si>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</si>
  <si>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</si>
  <si>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</si>
  <si>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</si>
  <si>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</si>
  <si>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</si>
  <si>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</si>
  <si>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</si>
  <si>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</si>
  <si>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</si>
  <si>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</si>
  <si>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</si>
  <si>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</si>
  <si>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</si>
  <si>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</si>
  <si>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</si>
  <si>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</si>
  <si>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</si>
  <si>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</si>
  <si>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</si>
  <si>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</si>
  <si>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</si>
  <si>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</si>
  <si>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</si>
  <si>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</si>
  <si>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</si>
  <si>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</si>
  <si>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</si>
  <si>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</si>
  <si>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</si>
  <si>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</si>
  <si>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</si>
  <si>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</si>
  <si>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</si>
  <si>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</si>
  <si>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</si>
  <si>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</si>
  <si>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</si>
  <si>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</si>
  <si>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</si>
  <si>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</si>
  <si>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</si>
  <si>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</si>
  <si>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</si>
  <si>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</si>
  <si>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</si>
  <si>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</si>
  <si>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</si>
  <si>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</si>
  <si>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</si>
  <si>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</si>
  <si>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</si>
  <si>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</si>
  <si>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</si>
  <si>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</si>
  <si>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</si>
  <si>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</si>
  <si>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</si>
  <si>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</si>
  <si>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</si>
  <si>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</si>
  <si>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</si>
  <si>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</si>
  <si>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</si>
  <si>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</si>
  <si>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</si>
  <si>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</si>
  <si>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</si>
  <si>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</si>
  <si>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</si>
  <si>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</si>
  <si>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</si>
  <si>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</si>
  <si>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</si>
  <si>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</si>
  <si>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</si>
  <si>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</si>
  <si>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</si>
  <si>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</si>
  <si>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</si>
  <si>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</si>
  <si>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</si>
  <si>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</si>
  <si>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</si>
  <si>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</si>
  <si>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</si>
  <si>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</si>
  <si>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</si>
  <si>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</si>
  <si>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</si>
  <si>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</si>
  <si>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</si>
  <si>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</si>
  <si>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</si>
  <si>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</si>
  <si>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</si>
  <si>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</si>
  <si>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</si>
  <si>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</si>
  <si>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</si>
  <si>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</si>
  <si>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</si>
  <si>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</si>
  <si>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</si>
  <si>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</si>
  <si>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</si>
  <si>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</si>
  <si>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</si>
  <si>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</si>
  <si>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</si>
  <si>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</si>
  <si>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</si>
  <si>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</si>
  <si>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</si>
  <si>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</si>
  <si>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</si>
  <si>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</si>
  <si>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</si>
  <si>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</si>
  <si>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</si>
  <si>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</si>
  <si>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</si>
  <si>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</si>
  <si>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</si>
  <si>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</si>
  <si>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</si>
  <si>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</si>
  <si>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</si>
  <si>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</si>
  <si>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</si>
  <si>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</si>
  <si>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</si>
  <si>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</si>
  <si>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</si>
  <si>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</si>
  <si>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</si>
  <si>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</si>
  <si>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</si>
  <si>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</si>
  <si>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</si>
  <si>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</si>
  <si>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</si>
  <si>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</si>
  <si>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</si>
  <si>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</si>
  <si>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</si>
  <si>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</si>
  <si>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</si>
  <si>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</si>
  <si>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</si>
  <si>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</si>
  <si>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</si>
  <si>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</si>
  <si>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</si>
  <si>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</si>
  <si>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</si>
  <si>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</si>
  <si>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</si>
  <si>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</si>
  <si>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</si>
  <si>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</si>
  <si>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</si>
  <si>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</si>
  <si>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</si>
  <si>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</si>
  <si>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</si>
  <si>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</si>
  <si>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</si>
  <si>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</si>
  <si>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</si>
  <si>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</si>
  <si>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</si>
  <si>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</si>
  <si>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</si>
  <si>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</si>
  <si>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</si>
  <si>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</si>
  <si>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</si>
  <si>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</si>
  <si>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</si>
  <si>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</si>
  <si>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</si>
  <si>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</si>
  <si>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</si>
  <si>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</si>
  <si>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</si>
  <si>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</si>
  <si>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</si>
  <si>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</si>
  <si>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</si>
  <si>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</si>
  <si>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</si>
  <si>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</si>
  <si>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</si>
  <si>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</si>
  <si>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</si>
  <si>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</si>
  <si>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</si>
  <si>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</si>
  <si>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</si>
  <si>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</si>
  <si>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</si>
  <si>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</si>
  <si>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</si>
  <si>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</si>
  <si>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</si>
  <si>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</si>
  <si>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</si>
  <si>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</si>
  <si>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</si>
  <si>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</si>
  <si>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</si>
  <si>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</si>
  <si>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</si>
  <si>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</si>
  <si>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</si>
  <si>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</si>
  <si>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</si>
  <si>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</si>
  <si>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</si>
  <si>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</si>
  <si>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</si>
  <si>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</si>
  <si>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</si>
  <si>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</si>
  <si>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</si>
  <si>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</si>
  <si>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</si>
  <si>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</si>
  <si>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</si>
  <si>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</si>
  <si>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</si>
  <si>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</si>
  <si>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</si>
  <si>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</si>
  <si>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</si>
  <si>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</si>
  <si>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</si>
  <si>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</si>
  <si>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</si>
  <si>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</si>
  <si>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</si>
  <si>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</si>
  <si>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</si>
  <si>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</si>
  <si>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</si>
  <si>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</si>
  <si>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</si>
  <si>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</si>
  <si>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</si>
  <si>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</si>
  <si>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</si>
  <si>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</si>
  <si>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</si>
  <si>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</si>
  <si>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</si>
  <si>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</si>
  <si>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</si>
  <si>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</si>
  <si>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</si>
  <si>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</si>
  <si>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</si>
  <si>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</si>
  <si>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</si>
  <si>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</si>
  <si>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</si>
  <si>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</si>
  <si>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</si>
  <si>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</si>
  <si>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</si>
  <si>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</si>
  <si>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</si>
  <si>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</si>
  <si>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</si>
  <si>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</si>
  <si>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</si>
  <si>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</si>
  <si>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</si>
  <si>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</si>
  <si>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</si>
  <si>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</si>
  <si>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</si>
  <si>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</si>
  <si>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</si>
  <si>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</si>
  <si>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</si>
  <si>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</si>
  <si>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</si>
  <si>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</si>
  <si>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</si>
  <si>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</si>
  <si>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</si>
  <si>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</si>
  <si>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</si>
  <si>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</si>
  <si>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</si>
  <si>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</si>
  <si>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</si>
  <si>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</si>
  <si>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</si>
  <si>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</si>
  <si>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</si>
  <si>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</si>
  <si>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</si>
  <si>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</si>
  <si>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</si>
  <si>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</si>
  <si>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</si>
  <si>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</si>
  <si>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</si>
  <si>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</si>
  <si>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</si>
  <si>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</si>
  <si>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</si>
  <si>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</si>
  <si>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</si>
  <si>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</si>
  <si>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</si>
  <si>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</si>
  <si>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</si>
  <si>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</si>
  <si>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</si>
  <si>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</si>
  <si>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</si>
  <si>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</si>
  <si>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</si>
  <si>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</si>
  <si>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</si>
  <si>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</si>
  <si>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</si>
  <si>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</si>
  <si>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</si>
  <si>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</si>
  <si>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</si>
  <si>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</si>
  <si>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</si>
  <si>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</si>
  <si>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</si>
  <si>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</si>
  <si>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</si>
  <si>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</si>
  <si>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</si>
  <si>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</si>
  <si>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</si>
  <si>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</si>
  <si>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</si>
  <si>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</si>
  <si>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</si>
  <si>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</si>
  <si>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</si>
  <si>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</si>
  <si>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</si>
  <si>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</si>
  <si>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</si>
  <si>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</si>
  <si>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</si>
  <si>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</si>
  <si>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</si>
  <si>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</si>
  <si>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</si>
  <si>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</si>
  <si>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</si>
  <si>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</si>
  <si>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</si>
  <si>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</si>
  <si>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</si>
  <si>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</si>
  <si>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</si>
  <si>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</si>
  <si>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</si>
  <si>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</si>
  <si>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</si>
  <si>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</si>
  <si>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</si>
  <si>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</si>
  <si>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</si>
  <si>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</si>
  <si>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</si>
  <si>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</si>
  <si>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</si>
  <si>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</si>
  <si>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</si>
  <si>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</si>
  <si>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</si>
  <si>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</si>
  <si>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</si>
  <si>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</si>
  <si>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</si>
  <si>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</si>
  <si>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</si>
  <si>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</si>
  <si>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</si>
  <si>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</si>
  <si>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</si>
  <si>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</si>
  <si>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</si>
  <si>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</si>
  <si>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</si>
  <si>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</si>
  <si>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</si>
  <si>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</si>
  <si>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</si>
  <si>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</si>
  <si>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</si>
  <si>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</si>
  <si>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</si>
  <si>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</si>
  <si>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</si>
  <si>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</si>
  <si>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</si>
  <si>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</si>
  <si>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</si>
  <si>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</si>
  <si>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</si>
  <si>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</si>
  <si>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</si>
  <si>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</si>
  <si>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</si>
  <si>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</si>
  <si>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</si>
  <si>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</si>
  <si>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</si>
  <si>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</si>
  <si>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</si>
  <si>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</si>
  <si>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</si>
  <si>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</si>
  <si>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</si>
  <si>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</si>
  <si>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</si>
  <si>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</si>
  <si>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</si>
  <si>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</si>
  <si>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</si>
  <si>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</si>
  <si>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</si>
  <si>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</si>
  <si>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</si>
  <si>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</si>
  <si>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</si>
  <si>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</si>
  <si>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</si>
  <si>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</si>
  <si>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</si>
  <si>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</si>
  <si>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</si>
  <si>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</si>
  <si>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</si>
  <si>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</si>
  <si>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</si>
  <si>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</si>
  <si>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</si>
  <si>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</si>
  <si>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</si>
  <si>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</si>
  <si>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</si>
  <si>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</si>
  <si>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</si>
  <si>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</si>
  <si>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</si>
  <si>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</si>
  <si>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</si>
  <si>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</si>
  <si>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</si>
  <si>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</si>
  <si>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</si>
  <si>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</si>
  <si>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</si>
  <si>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</si>
  <si>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</si>
  <si>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</si>
  <si>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</si>
  <si>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</si>
  <si>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</si>
  <si>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</si>
  <si>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</si>
  <si>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</si>
  <si>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</si>
  <si>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</si>
  <si>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</si>
  <si>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</si>
  <si>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</si>
  <si>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</si>
  <si>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</si>
  <si>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</si>
  <si>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</si>
  <si>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</si>
  <si>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</si>
  <si>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</si>
  <si>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</si>
  <si>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</si>
  <si>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</si>
  <si>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</si>
  <si>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</si>
  <si>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</si>
  <si>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</si>
  <si>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</si>
  <si>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</si>
  <si>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</si>
  <si>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</si>
  <si>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</si>
  <si>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</si>
  <si>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</si>
  <si>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</si>
  <si>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</si>
  <si>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</si>
  <si>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</si>
  <si>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</si>
  <si>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</si>
  <si>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</si>
  <si>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</si>
  <si>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</si>
  <si>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</si>
  <si>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</si>
  <si>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</si>
  <si>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</si>
  <si>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</si>
  <si>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</si>
  <si>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</si>
  <si>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</si>
  <si>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</si>
  <si>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</si>
  <si>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</si>
  <si>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</si>
  <si>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</si>
  <si>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</si>
  <si>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</si>
  <si>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</si>
  <si>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</si>
  <si>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</si>
  <si>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</si>
  <si>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</si>
  <si>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</si>
  <si>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</si>
  <si>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</si>
  <si>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</si>
  <si>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</si>
  <si>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</si>
  <si>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</si>
  <si>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</si>
  <si>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</si>
  <si>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</si>
  <si>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</si>
  <si>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</si>
  <si>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</si>
  <si>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</si>
  <si>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</si>
  <si>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</si>
  <si>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</si>
  <si>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</si>
  <si>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</si>
  <si>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</si>
  <si>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</si>
  <si>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</si>
  <si>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</si>
  <si>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</si>
  <si>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</si>
  <si>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</si>
  <si>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</si>
  <si>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</si>
  <si>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</si>
  <si>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</si>
  <si>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</si>
  <si>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</si>
  <si>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</si>
  <si>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</si>
  <si>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</si>
  <si>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</si>
  <si>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</si>
  <si>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</si>
  <si>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</si>
  <si>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</si>
  <si>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</si>
  <si>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</si>
  <si>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</si>
  <si>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</si>
  <si>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</si>
  <si>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</si>
  <si>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</si>
  <si>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</si>
  <si>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</si>
  <si>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</si>
  <si>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</si>
  <si>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</si>
  <si>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</si>
  <si>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</si>
  <si>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</si>
  <si>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</si>
  <si>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</si>
  <si>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</si>
  <si>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</si>
  <si>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</si>
  <si>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</si>
  <si>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</si>
  <si>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</si>
  <si>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</si>
  <si>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</si>
  <si>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</si>
  <si>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</si>
  <si>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</si>
  <si>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</si>
  <si>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</si>
  <si>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</si>
  <si>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</si>
  <si>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</si>
  <si>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</si>
  <si>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</si>
  <si>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</si>
  <si>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</si>
  <si>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</si>
  <si>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</si>
  <si>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</si>
  <si>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</si>
  <si>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</si>
  <si>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</si>
  <si>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</si>
  <si>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</si>
  <si>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</si>
  <si>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</si>
  <si>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</si>
  <si>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</si>
  <si>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</si>
  <si>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</si>
  <si>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</si>
  <si>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</si>
  <si>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</si>
  <si>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</si>
  <si>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</si>
  <si>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</si>
  <si>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</si>
  <si>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</si>
  <si>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</si>
  <si>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</si>
  <si>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</si>
  <si>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</si>
  <si>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</si>
  <si>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</si>
  <si>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</si>
  <si>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</si>
  <si>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</si>
  <si>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</si>
  <si>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</si>
  <si>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</si>
  <si>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</si>
  <si>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</si>
  <si>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</si>
  <si>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</si>
  <si>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</si>
  <si>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</si>
  <si>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</si>
  <si>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</si>
  <si>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</si>
  <si>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</si>
  <si>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</si>
  <si>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</si>
  <si>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</si>
  <si>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</si>
  <si>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</si>
  <si>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</si>
  <si>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</si>
  <si>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</si>
  <si>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</si>
  <si>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</si>
  <si>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</si>
  <si>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</si>
  <si>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</si>
  <si>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</si>
  <si>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</si>
  <si>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</si>
  <si>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</si>
  <si>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</si>
  <si>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</si>
  <si>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</si>
  <si>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</si>
  <si>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</si>
  <si>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</si>
  <si>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</si>
  <si>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</si>
  <si>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</si>
  <si>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</si>
  <si>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</si>
  <si>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</si>
  <si>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</si>
  <si>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</si>
  <si>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</si>
  <si>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</si>
  <si>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</si>
  <si>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</si>
  <si>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</si>
  <si>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</si>
  <si>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</si>
  <si>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</si>
  <si>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</si>
  <si>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</si>
  <si>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</si>
  <si>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</si>
  <si>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</si>
  <si>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</si>
  <si>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</si>
  <si>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</si>
  <si>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</si>
  <si>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</si>
  <si>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</si>
  <si>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</si>
  <si>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</si>
  <si>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</si>
  <si>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</si>
  <si>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</si>
  <si>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</si>
  <si>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</si>
  <si>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</si>
  <si>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</si>
  <si>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</si>
  <si>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</si>
  <si>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</si>
  <si>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</si>
  <si>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</si>
  <si>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</si>
  <si>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</si>
  <si>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</si>
  <si>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</si>
  <si>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</si>
  <si>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</si>
  <si>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</si>
  <si>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</si>
  <si>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</si>
  <si>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</si>
  <si>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</si>
  <si>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</si>
  <si>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</si>
  <si>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</si>
  <si>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</si>
  <si>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</si>
  <si>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</si>
  <si>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</si>
  <si>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</si>
  <si>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</si>
  <si>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</si>
  <si>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</si>
  <si>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</si>
  <si>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</si>
  <si>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</si>
  <si>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</si>
  <si>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</si>
  <si>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</si>
  <si>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</si>
  <si>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</si>
  <si>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</si>
  <si>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</si>
  <si>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</si>
  <si>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</si>
  <si>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</si>
  <si>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</si>
  <si>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</si>
  <si>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</si>
  <si>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</si>
  <si>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</si>
  <si>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</si>
  <si>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</si>
  <si>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</si>
  <si>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</si>
  <si>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</si>
  <si>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</si>
  <si>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</si>
  <si>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</si>
  <si>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</si>
  <si>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</si>
  <si>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</si>
  <si>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</si>
  <si>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</si>
  <si>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</si>
  <si>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</si>
  <si>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</si>
  <si>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</si>
  <si>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</si>
  <si>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</si>
  <si>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</si>
  <si>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</si>
  <si>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</si>
  <si>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</si>
  <si>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</si>
  <si>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</si>
  <si>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</si>
  <si>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</si>
  <si>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</si>
  <si>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</si>
  <si>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</si>
  <si>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</si>
  <si>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</si>
  <si>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</si>
  <si>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</si>
  <si>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</si>
  <si>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</si>
  <si>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</si>
  <si>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</si>
  <si>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</si>
  <si>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</si>
  <si>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</si>
  <si>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</si>
  <si>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</si>
  <si>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</si>
  <si>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</si>
  <si>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</si>
  <si>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</si>
  <si>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</si>
  <si>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</si>
  <si>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</si>
  <si>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</si>
  <si>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</si>
  <si>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</si>
  <si>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</si>
  <si>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</si>
  <si>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</si>
  <si>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</si>
  <si>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</si>
  <si>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</si>
  <si>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</si>
  <si>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</si>
  <si>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</si>
  <si>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</si>
  <si>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</si>
  <si>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</si>
  <si>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</si>
  <si>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</si>
  <si>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</si>
  <si>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</si>
  <si>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</si>
  <si>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</si>
  <si>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</si>
  <si>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</si>
  <si>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</si>
  <si>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</si>
  <si>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</si>
  <si>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</si>
  <si>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</si>
  <si>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</si>
  <si>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</si>
  <si>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</si>
  <si>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</si>
  <si>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</si>
  <si>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</si>
  <si>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</si>
  <si>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</si>
  <si>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</si>
  <si>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</si>
  <si>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</si>
  <si>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</si>
  <si>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</si>
  <si>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</si>
  <si>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</si>
  <si>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</si>
  <si>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</si>
  <si>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</si>
  <si>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</si>
  <si>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</si>
  <si>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</si>
  <si>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</si>
  <si>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</si>
  <si>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</si>
  <si>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</si>
  <si>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</si>
  <si>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</si>
  <si>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</si>
  <si>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</si>
  <si>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</si>
  <si>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</si>
  <si>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</si>
  <si>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</si>
  <si>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</si>
  <si>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</si>
  <si>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</si>
  <si>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</si>
  <si>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</si>
  <si>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</si>
  <si>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</si>
  <si>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</si>
  <si>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</si>
  <si>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</si>
  <si>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</si>
  <si>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</si>
  <si>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</si>
  <si>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</si>
  <si>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</si>
  <si>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</si>
  <si>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</si>
  <si>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</si>
  <si>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</si>
  <si>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</si>
  <si>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</si>
  <si>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</si>
  <si>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</si>
  <si>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</si>
  <si>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</si>
  <si>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</si>
  <si>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</si>
  <si>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</si>
  <si>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</si>
  <si>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</si>
  <si>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</si>
  <si>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</si>
  <si>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</si>
  <si>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</si>
  <si>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</si>
  <si>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</si>
  <si>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</si>
  <si>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</si>
  <si>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</si>
  <si>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</si>
  <si>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</si>
  <si>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</si>
  <si>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</si>
  <si>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</si>
  <si>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</si>
  <si>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</si>
  <si>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</si>
  <si>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</si>
  <si>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</si>
  <si>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</si>
  <si>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</si>
  <si>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</si>
  <si>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</si>
  <si>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</si>
  <si>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</si>
  <si>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</si>
  <si>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</si>
  <si>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</si>
  <si>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</si>
  <si>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</si>
  <si>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</si>
  <si>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</si>
  <si>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</si>
  <si>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</si>
  <si>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</si>
  <si>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</si>
  <si>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</si>
  <si>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</si>
  <si>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</si>
  <si>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</si>
  <si>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</si>
  <si>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</si>
  <si>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</si>
  <si>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</si>
  <si>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</si>
  <si>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</si>
  <si>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</si>
  <si>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</si>
  <si>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</si>
  <si>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</si>
  <si>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</si>
  <si>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</si>
  <si>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</si>
  <si>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</si>
  <si>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</si>
  <si>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</si>
  <si>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</si>
  <si>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</si>
  <si>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</si>
  <si>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</si>
  <si>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</si>
  <si>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</si>
  <si>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</si>
  <si>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</si>
  <si>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</si>
  <si>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</si>
  <si>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</si>
  <si>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</si>
  <si>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</si>
  <si>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</si>
  <si>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</si>
  <si>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</si>
  <si>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</si>
  <si>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</si>
  <si>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</si>
  <si>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</si>
  <si>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</si>
  <si>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</si>
  <si>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</si>
  <si>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</si>
  <si>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</si>
  <si>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</si>
  <si>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</si>
  <si>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</si>
  <si>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</si>
  <si>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</si>
  <si>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</si>
  <si>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</si>
  <si>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</si>
  <si>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</si>
  <si>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</si>
  <si>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</si>
  <si>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</si>
  <si>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</si>
  <si>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</si>
  <si>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</si>
  <si>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</si>
  <si>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</si>
  <si>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</si>
  <si>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</si>
  <si>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</si>
  <si>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</si>
  <si>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</si>
  <si>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</si>
  <si>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</si>
  <si>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</si>
  <si>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</si>
  <si>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</si>
  <si>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</si>
  <si>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</si>
  <si>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</si>
  <si>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</si>
  <si>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</si>
  <si>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</si>
  <si>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</si>
  <si>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</si>
  <si>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</si>
  <si>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</si>
  <si>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</si>
  <si>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</si>
  <si>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</si>
  <si>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</si>
  <si>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</si>
  <si>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</si>
  <si>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</si>
  <si>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</si>
  <si>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</si>
  <si>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</si>
  <si>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</si>
  <si>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</si>
  <si>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</si>
  <si>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</si>
  <si>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</si>
  <si>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</si>
  <si>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</si>
  <si>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</si>
  <si>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</si>
  <si>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</si>
  <si>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</si>
  <si>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</si>
  <si>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</si>
  <si>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</si>
  <si>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</si>
  <si>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</si>
  <si>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</si>
  <si>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</si>
  <si>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</si>
  <si>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</si>
  <si>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</si>
  <si>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</si>
  <si>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</si>
  <si>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</si>
  <si>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</si>
  <si>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</si>
  <si>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</si>
  <si>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</si>
  <si>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</si>
  <si>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</si>
  <si>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</si>
  <si>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</si>
  <si>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</si>
  <si>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</si>
  <si>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</si>
  <si>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</si>
  <si>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</si>
  <si>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</si>
  <si>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</si>
  <si>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</si>
  <si>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</si>
  <si>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</si>
  <si>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</si>
  <si>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</si>
  <si>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</si>
  <si>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</si>
  <si>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</si>
  <si>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</si>
  <si>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</si>
  <si>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</si>
  <si>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</si>
  <si>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</si>
  <si>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</si>
  <si>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</si>
  <si>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</si>
  <si>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</si>
  <si>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</si>
  <si>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</si>
  <si>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</si>
  <si>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</si>
  <si>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</si>
  <si>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</si>
  <si>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</si>
  <si>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</si>
  <si>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</si>
  <si>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</si>
  <si>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</si>
  <si>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</si>
  <si>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</si>
  <si>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</si>
  <si>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</si>
  <si>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</si>
  <si>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</si>
  <si>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</si>
  <si>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</si>
  <si>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</si>
  <si>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</si>
  <si>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</si>
  <si>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</si>
  <si>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</si>
  <si>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</si>
  <si>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</si>
  <si>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</si>
  <si>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</si>
  <si>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</si>
  <si>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</si>
  <si>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</si>
  <si>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</si>
  <si>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</si>
  <si>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</si>
  <si>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</si>
  <si>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</si>
  <si>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</si>
  <si>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</si>
  <si>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</si>
  <si>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</si>
  <si>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</si>
  <si>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</si>
  <si>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</si>
  <si>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</si>
  <si>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</si>
  <si>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</si>
  <si>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</si>
  <si>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</si>
  <si>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</si>
  <si>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</si>
  <si>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</si>
  <si>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</si>
  <si>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</si>
  <si>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</si>
  <si>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</si>
  <si>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</si>
  <si>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</si>
  <si>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</si>
  <si>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</si>
  <si>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</si>
  <si>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</si>
  <si>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</si>
  <si>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</si>
  <si>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</si>
  <si>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</si>
  <si>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</si>
  <si>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</si>
  <si>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</si>
  <si>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</si>
  <si>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</si>
  <si>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</si>
  <si>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</si>
  <si>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</si>
  <si>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</si>
  <si>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</si>
  <si>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</si>
  <si>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</si>
  <si>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</si>
  <si>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</si>
  <si>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</si>
  <si>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</si>
  <si>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</si>
  <si>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</si>
  <si>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</si>
  <si>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</si>
  <si>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</si>
  <si>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</si>
  <si>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</si>
  <si>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</si>
  <si>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</si>
  <si>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</si>
  <si>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</si>
  <si>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</si>
  <si>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</si>
  <si>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</si>
  <si>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</si>
  <si>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</si>
  <si>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</si>
  <si>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</si>
  <si>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</si>
  <si>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</si>
  <si>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</si>
  <si>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</si>
  <si>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</si>
  <si>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</si>
  <si>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</si>
  <si>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</si>
  <si>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</si>
  <si>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</si>
  <si>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</si>
  <si>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</si>
  <si>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</si>
  <si>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</si>
  <si>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</si>
  <si>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</si>
  <si>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</si>
  <si>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</si>
  <si>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</si>
  <si>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</si>
  <si>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</si>
  <si>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</si>
  <si>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</si>
  <si>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</si>
  <si>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</si>
  <si>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</si>
  <si>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</si>
  <si>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</si>
  <si>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</si>
  <si>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</si>
  <si>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</si>
  <si>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</si>
  <si>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</si>
  <si>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</si>
  <si>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</si>
  <si>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</si>
  <si>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</si>
  <si>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</si>
  <si>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</si>
  <si>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</si>
  <si>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</si>
  <si>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</si>
  <si>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</si>
  <si>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</si>
  <si>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</si>
  <si>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</si>
  <si>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</si>
  <si>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</si>
  <si>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</si>
  <si>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</si>
  <si>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</si>
  <si>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</si>
  <si>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</si>
  <si>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</si>
  <si>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</si>
  <si>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</si>
  <si>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</si>
  <si>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</si>
  <si>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</si>
  <si>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</si>
  <si>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</si>
  <si>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</si>
  <si>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</si>
  <si>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</si>
  <si>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</si>
  <si>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</si>
  <si>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</si>
  <si>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</si>
  <si>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</si>
  <si>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</si>
  <si>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</si>
  <si>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</si>
  <si>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</si>
  <si>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</si>
  <si>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</si>
  <si>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</si>
  <si>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</si>
  <si>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</si>
  <si>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</si>
  <si>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</si>
  <si>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</si>
  <si>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</si>
  <si>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</si>
  <si>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</si>
  <si>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</si>
  <si>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</si>
  <si>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</si>
  <si>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</si>
  <si>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</si>
  <si>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</si>
  <si>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</si>
  <si>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</si>
  <si>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</si>
  <si>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</si>
  <si>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</si>
  <si>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</si>
  <si>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</si>
  <si>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</si>
  <si>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</si>
  <si>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</si>
  <si>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</si>
  <si>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</si>
  <si>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</si>
  <si>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</si>
  <si>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</si>
  <si>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</si>
  <si>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</si>
  <si>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</si>
  <si>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</si>
  <si>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</si>
  <si>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</si>
  <si>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</si>
  <si>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</si>
  <si>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</si>
  <si>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</si>
  <si>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</si>
  <si>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</si>
  <si>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</si>
  <si>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</si>
  <si>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</si>
  <si>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</si>
  <si>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</si>
  <si>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</si>
  <si>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</si>
  <si>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</si>
  <si>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</si>
  <si>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</si>
  <si>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</si>
  <si>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</si>
  <si>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</si>
  <si>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</si>
  <si>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</si>
  <si>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</si>
  <si>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</si>
  <si>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</si>
  <si>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</si>
  <si>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</si>
  <si>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</si>
  <si>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</si>
  <si>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</si>
  <si>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</si>
  <si>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</si>
  <si>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</si>
  <si>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</si>
  <si>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</si>
  <si>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</si>
  <si>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</si>
  <si>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</si>
  <si>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</si>
  <si>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</si>
  <si>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</si>
  <si>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</si>
  <si>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</si>
  <si>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</si>
  <si>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</si>
  <si>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</si>
  <si>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</si>
  <si>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</si>
  <si>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</si>
  <si>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</si>
  <si>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</si>
  <si>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</si>
  <si>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</si>
  <si>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</si>
  <si>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</si>
  <si>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</si>
  <si>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</si>
  <si>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</si>
  <si>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</si>
  <si>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</si>
  <si>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</si>
  <si>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</si>
  <si>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</si>
  <si>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</si>
  <si>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</si>
  <si>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</si>
  <si>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</si>
  <si>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</si>
  <si>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</si>
  <si>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</si>
  <si>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</si>
  <si>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</si>
  <si>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</si>
  <si>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</si>
  <si>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</si>
  <si>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</si>
  <si>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</si>
  <si>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</si>
  <si>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</si>
  <si>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</si>
  <si>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</si>
  <si>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</si>
  <si>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</si>
  <si>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</si>
  <si>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</si>
  <si>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</si>
  <si>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</si>
  <si>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</si>
  <si>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</si>
  <si>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</si>
  <si>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</si>
  <si>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</si>
  <si>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</si>
  <si>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</si>
  <si>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</si>
  <si>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</si>
  <si>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</si>
  <si>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</si>
  <si>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</si>
  <si>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</si>
  <si>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</si>
  <si>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</si>
  <si>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</si>
  <si>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</si>
  <si>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</si>
  <si>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</si>
  <si>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</si>
  <si>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</si>
  <si>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</si>
  <si>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</si>
  <si>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</si>
  <si>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</si>
  <si>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</si>
  <si>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</si>
  <si>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</si>
  <si>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</si>
  <si>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</si>
  <si>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</si>
  <si>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</si>
  <si>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</si>
  <si>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</si>
  <si>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</si>
  <si>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</si>
  <si>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</si>
  <si>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</si>
  <si>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</si>
  <si>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</si>
  <si>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</si>
  <si>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</si>
  <si>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</si>
  <si>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</si>
  <si>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</si>
  <si>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</si>
  <si>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</si>
  <si>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</si>
  <si>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</si>
  <si>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</si>
  <si>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</si>
  <si>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</si>
  <si>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</si>
  <si>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</si>
  <si>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</si>
  <si>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</si>
  <si>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</si>
  <si>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</si>
  <si>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</si>
  <si>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</si>
  <si>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</si>
  <si>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</si>
  <si>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</si>
  <si>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</si>
  <si>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</si>
  <si>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</si>
  <si>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</si>
  <si>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</si>
  <si>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</si>
  <si>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</si>
  <si>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</si>
  <si>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</si>
  <si>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</si>
  <si>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</si>
  <si>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</si>
  <si>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</si>
  <si>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</si>
  <si>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</si>
  <si>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</si>
  <si>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</si>
  <si>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</si>
  <si>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</si>
  <si>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</si>
  <si>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</si>
  <si>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</si>
  <si>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</si>
  <si>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</si>
  <si>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</si>
  <si>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</si>
  <si>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</si>
  <si>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</si>
  <si>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</si>
  <si>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</si>
  <si>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</si>
  <si>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</si>
  <si>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</si>
  <si>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</si>
  <si>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</si>
  <si>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</si>
  <si>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</si>
  <si>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</si>
  <si>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</si>
  <si>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</si>
  <si>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</si>
  <si>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</si>
  <si>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</si>
  <si>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</si>
  <si>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</si>
  <si>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</si>
  <si>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</si>
  <si>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</si>
  <si>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</si>
  <si>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</si>
  <si>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</si>
  <si>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</si>
  <si>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</si>
  <si>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</si>
  <si>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</si>
  <si>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</si>
  <si>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</si>
  <si>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</si>
  <si>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</si>
  <si>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</si>
  <si>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</si>
  <si>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</si>
  <si>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</si>
  <si>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</si>
  <si>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</si>
  <si>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</si>
  <si>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</si>
  <si>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</si>
  <si>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</si>
  <si>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</si>
  <si>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</si>
  <si>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</si>
  <si>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</si>
  <si>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</si>
  <si>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</si>
  <si>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</si>
  <si>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</si>
  <si>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</si>
  <si>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</si>
  <si>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</si>
  <si>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</si>
  <si>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</si>
  <si>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</si>
  <si>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</si>
  <si>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</si>
  <si>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</si>
  <si>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</si>
  <si>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</si>
  <si>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</si>
  <si>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</si>
  <si>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</si>
  <si>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</si>
  <si>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</si>
  <si>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</si>
  <si>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</si>
  <si>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</si>
  <si>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</si>
  <si>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</si>
  <si>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</si>
  <si>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</si>
  <si>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</si>
  <si>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</si>
  <si>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</si>
  <si>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</si>
  <si>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</si>
  <si>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</si>
  <si>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</si>
  <si>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</si>
  <si>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</si>
  <si>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</si>
  <si>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</si>
  <si>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</si>
  <si>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</si>
  <si>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</si>
  <si>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</si>
  <si>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</si>
  <si>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</si>
  <si>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</si>
  <si>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</si>
  <si>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</si>
  <si>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</si>
  <si>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</si>
  <si>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</si>
  <si>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</si>
  <si>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</si>
  <si>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</si>
  <si>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</si>
  <si>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</si>
  <si>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</si>
  <si>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</si>
  <si>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</si>
  <si>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</si>
  <si>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</si>
  <si>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</si>
  <si>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</si>
  <si>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</si>
  <si>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</si>
  <si>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</si>
  <si>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</si>
  <si>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</si>
  <si>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</si>
  <si>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</si>
  <si>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</si>
  <si>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</si>
  <si>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</si>
  <si>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</si>
  <si>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</si>
  <si>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</si>
  <si>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</si>
  <si>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</si>
  <si>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</si>
  <si>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</si>
  <si>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</si>
  <si>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</si>
  <si>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</si>
  <si>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</si>
  <si>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</si>
  <si>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</si>
  <si>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</si>
  <si>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</si>
  <si>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</si>
  <si>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</si>
  <si>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</si>
  <si>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</si>
  <si>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</si>
  <si>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</si>
  <si>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</si>
  <si>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</si>
  <si>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</si>
  <si>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</si>
  <si>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</si>
  <si>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</si>
  <si>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</si>
  <si>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</si>
  <si>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</si>
  <si>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</si>
  <si>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</si>
  <si>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</si>
  <si>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</si>
  <si>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</si>
  <si>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</si>
  <si>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</si>
  <si>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</si>
  <si>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</si>
  <si>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</si>
  <si>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</si>
  <si>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</si>
  <si>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</si>
  <si>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</si>
  <si>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</si>
  <si>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</si>
  <si>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</si>
  <si>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</si>
  <si>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</si>
  <si>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</si>
  <si>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</si>
  <si>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</si>
  <si>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</si>
  <si>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</si>
  <si>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</si>
  <si>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</si>
  <si>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</si>
  <si>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</si>
  <si>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</si>
  <si>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</si>
  <si>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</si>
  <si>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</si>
  <si>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</si>
  <si>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</si>
  <si>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</si>
  <si>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</si>
  <si>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</si>
  <si>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</si>
  <si>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</si>
  <si>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</si>
  <si>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</si>
  <si>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</si>
  <si>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</si>
  <si>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</si>
  <si>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</si>
  <si>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</si>
  <si>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</si>
  <si>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</si>
  <si>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</si>
  <si>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</si>
  <si>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</si>
  <si>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</si>
  <si>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</si>
  <si>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</si>
  <si>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</si>
  <si>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</si>
  <si>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</si>
  <si>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</si>
  <si>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</si>
  <si>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</si>
  <si>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</si>
  <si>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</si>
  <si>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</si>
  <si>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</si>
  <si>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</si>
  <si>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</si>
  <si>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</si>
  <si>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</si>
  <si>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</si>
  <si>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</si>
  <si>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</si>
  <si>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</si>
  <si>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</si>
  <si>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</si>
  <si>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</si>
  <si>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</si>
  <si>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</si>
  <si>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</si>
  <si>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</si>
  <si>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</si>
  <si>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</si>
  <si>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</si>
  <si>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</si>
  <si>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</si>
  <si>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</si>
  <si>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</si>
  <si>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</si>
  <si>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</si>
  <si>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</si>
  <si>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</si>
  <si>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</si>
  <si>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</si>
  <si>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</si>
  <si>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</si>
  <si>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</si>
  <si>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</si>
  <si>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</si>
  <si>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</si>
  <si>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</si>
  <si>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</si>
  <si>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</si>
  <si>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</si>
  <si>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</si>
  <si>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</si>
  <si>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</si>
  <si>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</si>
  <si>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</si>
  <si>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</si>
  <si>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</si>
  <si>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</si>
  <si>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</si>
  <si>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</si>
  <si>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</si>
  <si>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</si>
  <si>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</si>
  <si>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</si>
  <si>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</si>
  <si>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</si>
  <si>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</si>
  <si>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</si>
  <si>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</si>
  <si>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</si>
  <si>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</si>
  <si>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</si>
  <si>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</si>
  <si>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</si>
  <si>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</si>
  <si>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</si>
  <si>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</si>
  <si>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</si>
  <si>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</si>
  <si>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</si>
  <si>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</si>
  <si>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</si>
  <si>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</si>
  <si>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</si>
  <si>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</si>
  <si>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</si>
  <si>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</si>
  <si>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</si>
  <si>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</si>
  <si>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</si>
  <si>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</si>
  <si>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</si>
  <si>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</si>
  <si>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</si>
  <si>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</si>
  <si>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</si>
  <si>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</si>
  <si>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</si>
  <si>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</si>
  <si>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</si>
  <si>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</si>
  <si>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</si>
  <si>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</si>
  <si>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</si>
  <si>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</si>
  <si>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</si>
  <si>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</si>
  <si>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</si>
  <si>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</si>
  <si>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</si>
  <si>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</si>
  <si>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</si>
  <si>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</si>
  <si>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</si>
  <si>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</si>
  <si>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</si>
  <si>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</si>
  <si>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</si>
  <si>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</si>
  <si>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</si>
  <si>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</si>
  <si>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</si>
  <si>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</si>
  <si>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</si>
  <si>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</si>
  <si>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</si>
  <si>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</si>
  <si>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</si>
  <si>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</si>
  <si>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</si>
  <si>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</si>
  <si>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</si>
  <si>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</si>
  <si>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</si>
  <si>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</si>
  <si>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</si>
  <si>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</si>
  <si>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</si>
  <si>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</si>
  <si>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</si>
  <si>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</si>
  <si>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</si>
  <si>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</si>
  <si>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</si>
  <si>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</si>
  <si>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</si>
  <si>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</si>
  <si>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</si>
  <si>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</si>
  <si>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</si>
  <si>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</si>
  <si>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</si>
  <si>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</si>
  <si>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</si>
  <si>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</si>
  <si>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</si>
  <si>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</si>
  <si>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</si>
  <si>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</si>
  <si>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</si>
  <si>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</si>
  <si>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</si>
  <si>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</si>
  <si>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</si>
  <si>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</si>
  <si>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</si>
  <si>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</si>
  <si>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</si>
  <si>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</si>
  <si>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</si>
  <si>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</si>
  <si>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</si>
  <si>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</si>
  <si>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</si>
  <si>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</si>
  <si>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</si>
  <si>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</si>
  <si>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</si>
  <si>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</si>
  <si>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</si>
  <si>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</si>
  <si>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</si>
  <si>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</si>
  <si>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</si>
  <si>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</si>
  <si>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</si>
  <si>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</si>
  <si>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</si>
  <si>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</si>
  <si>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</si>
  <si>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</si>
  <si>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</si>
  <si>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</si>
  <si>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</si>
  <si>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</si>
  <si>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</si>
  <si>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</si>
  <si>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</si>
  <si>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</si>
  <si>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</si>
  <si>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</si>
  <si>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</si>
  <si>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</si>
  <si>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</si>
  <si>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</si>
  <si>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</si>
  <si>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</si>
  <si>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</si>
  <si>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</si>
  <si>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</si>
  <si>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</si>
  <si>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</si>
  <si>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</si>
  <si>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</si>
  <si>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</si>
  <si>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</si>
  <si>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</si>
  <si>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</si>
  <si>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</si>
  <si>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</si>
  <si>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</si>
  <si>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</si>
  <si>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</si>
  <si>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</si>
  <si>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</si>
  <si>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</si>
  <si>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</si>
  <si>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</si>
  <si>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</si>
  <si>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</si>
  <si>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</si>
  <si>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</si>
  <si>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</si>
  <si>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</si>
  <si>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</si>
  <si>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</si>
  <si>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</si>
  <si>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</si>
  <si>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</si>
  <si>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</si>
  <si>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</si>
  <si>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</si>
  <si>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</si>
  <si>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</si>
  <si>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</si>
  <si>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</si>
  <si>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</si>
  <si>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</si>
  <si>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</si>
  <si>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</si>
  <si>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</si>
  <si>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</si>
  <si>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</si>
  <si>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</si>
  <si>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</si>
  <si>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</si>
  <si>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</si>
  <si>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</si>
  <si>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</si>
  <si>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</si>
  <si>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</si>
  <si>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</si>
  <si>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</si>
  <si>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</si>
  <si>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</si>
  <si>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</si>
  <si>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</si>
  <si>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</si>
  <si>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</si>
  <si>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</si>
  <si>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</si>
  <si>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</si>
  <si>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</si>
  <si>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</si>
  <si>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</si>
  <si>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</si>
  <si>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</si>
  <si>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</si>
  <si>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</si>
  <si>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</si>
  <si>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</si>
  <si>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</si>
  <si>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</si>
  <si>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</si>
  <si>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</si>
  <si>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</si>
  <si>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</si>
  <si>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</si>
  <si>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</si>
  <si>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</si>
  <si>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</si>
  <si>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</si>
  <si>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</si>
  <si>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</si>
  <si>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</si>
  <si>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</si>
  <si>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</si>
  <si>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</si>
  <si>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</si>
  <si>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</si>
  <si>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</si>
  <si>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</si>
  <si>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</si>
  <si>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</si>
  <si>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</si>
  <si>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</si>
  <si>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</si>
  <si>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</si>
  <si>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</si>
  <si>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</si>
  <si>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</si>
  <si>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</si>
  <si>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</si>
  <si>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</si>
  <si>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</si>
  <si>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</si>
  <si>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</si>
  <si>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</si>
  <si>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</si>
  <si>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</si>
  <si>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</si>
  <si>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</si>
  <si>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</si>
  <si>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</si>
  <si>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</si>
  <si>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</si>
  <si>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</si>
  <si>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</si>
  <si>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</si>
  <si>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</si>
  <si>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</si>
  <si>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</si>
  <si>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</si>
  <si>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</si>
  <si>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</si>
  <si>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</si>
  <si>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</si>
  <si>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</si>
  <si>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</si>
  <si>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</si>
  <si>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</si>
  <si>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</si>
  <si>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</si>
  <si>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</si>
  <si>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</si>
  <si>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</si>
  <si>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</si>
  <si>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</si>
  <si>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</si>
  <si>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</si>
  <si>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</si>
  <si>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</si>
  <si>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</si>
  <si>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</si>
  <si>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</si>
  <si>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</si>
  <si>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</si>
  <si>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</si>
  <si>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</si>
  <si>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</si>
  <si>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</si>
  <si>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</si>
  <si>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</si>
  <si>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</si>
  <si>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</si>
  <si>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</si>
  <si>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</si>
  <si>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</si>
  <si>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</si>
  <si>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</si>
  <si>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</si>
  <si>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</si>
  <si>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</si>
  <si>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</si>
  <si>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</si>
  <si>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</si>
  <si>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</si>
  <si>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</si>
  <si>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</si>
  <si>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</si>
  <si>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</si>
  <si>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</si>
  <si>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</si>
  <si>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</si>
  <si>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</si>
  <si>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</si>
  <si>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</si>
  <si>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</si>
  <si>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</si>
  <si>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</si>
  <si>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</si>
  <si>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</si>
  <si>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</si>
  <si>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</si>
  <si>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</si>
  <si>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</si>
  <si>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</si>
  <si>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</si>
  <si>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</si>
  <si>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</si>
  <si>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</si>
  <si>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</si>
  <si>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</si>
  <si>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</si>
  <si>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</si>
  <si>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</si>
  <si>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</si>
  <si>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</si>
  <si>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</si>
  <si>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</si>
  <si>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</si>
  <si>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</si>
  <si>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</si>
  <si>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</si>
  <si>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</si>
  <si>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</si>
  <si>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</si>
  <si>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</si>
  <si>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</si>
  <si>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</si>
  <si>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</si>
  <si>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</si>
  <si>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</si>
  <si>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</si>
  <si>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</si>
  <si>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</si>
  <si>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</si>
  <si>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</si>
  <si>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</si>
  <si>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</si>
  <si>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</si>
  <si>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</si>
  <si>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</si>
  <si>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</si>
  <si>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</si>
  <si>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</si>
  <si>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</si>
  <si>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</si>
  <si>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</si>
  <si>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</si>
  <si>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</si>
  <si>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</si>
  <si>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</si>
  <si>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</si>
  <si>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</si>
  <si>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</si>
  <si>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</si>
  <si>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</si>
  <si>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</si>
  <si>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</si>
  <si>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</si>
  <si>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</si>
  <si>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</si>
  <si>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</si>
  <si>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</si>
  <si>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</si>
  <si>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</si>
  <si>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</si>
  <si>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</si>
  <si>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</si>
  <si>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</si>
  <si>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</si>
  <si>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</si>
  <si>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</si>
  <si>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</si>
  <si>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</si>
  <si>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</si>
  <si>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</si>
  <si>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</si>
  <si>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</si>
  <si>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</si>
  <si>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</si>
  <si>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</si>
  <si>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</si>
  <si>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</si>
  <si>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</si>
  <si>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</si>
  <si>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</si>
  <si>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</si>
  <si>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</si>
  <si>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</si>
  <si>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</si>
  <si>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</si>
  <si>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</si>
  <si>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</si>
  <si>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</si>
  <si>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</si>
  <si>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</si>
  <si>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</si>
  <si>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</si>
  <si>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</si>
  <si>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</si>
  <si>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</si>
  <si>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</si>
  <si>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</si>
  <si>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</si>
  <si>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</si>
  <si>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</si>
  <si>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</si>
  <si>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</si>
  <si>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</si>
  <si>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</si>
  <si>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</si>
  <si>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</si>
  <si>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</si>
  <si>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</si>
  <si>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</si>
  <si>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</si>
  <si>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</si>
  <si>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</si>
  <si>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</si>
  <si>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</si>
  <si>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</si>
  <si>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</si>
  <si>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</si>
  <si>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</si>
  <si>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</si>
  <si>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</si>
  <si>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</si>
  <si>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</si>
  <si>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</si>
  <si>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</si>
  <si>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</si>
  <si>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</si>
  <si>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</si>
  <si>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</si>
  <si>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</si>
  <si>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</si>
  <si>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</si>
  <si>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</si>
  <si>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</si>
  <si>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</si>
  <si>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</si>
  <si>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</si>
  <si>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</si>
  <si>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</si>
  <si>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</si>
  <si>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</si>
  <si>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</si>
  <si>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</si>
  <si>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</si>
  <si>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</si>
  <si>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</si>
  <si>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</si>
  <si>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</si>
  <si>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</si>
  <si>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</si>
  <si>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</si>
  <si>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</si>
  <si>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</si>
  <si>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</si>
  <si>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</si>
  <si>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</si>
  <si>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</si>
  <si>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</si>
  <si>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</si>
  <si>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</si>
  <si>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</si>
  <si>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</si>
  <si>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</si>
  <si>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</si>
  <si>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</si>
  <si>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</si>
  <si>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</si>
  <si>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</si>
  <si>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</si>
  <si>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</si>
  <si>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</si>
  <si>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</si>
  <si>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</si>
  <si>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</si>
  <si>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</si>
  <si>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</si>
  <si>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</si>
  <si>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</si>
  <si>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</si>
  <si>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</si>
  <si>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</si>
  <si>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</si>
  <si>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</si>
  <si>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</si>
  <si>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</si>
  <si>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</si>
  <si>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</si>
  <si>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</si>
  <si>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</si>
  <si>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</si>
  <si>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</si>
  <si>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</si>
  <si>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</si>
  <si>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</si>
  <si>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</si>
  <si>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</si>
  <si>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</si>
  <si>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</si>
  <si>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</si>
  <si>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</si>
  <si>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</si>
  <si>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</si>
  <si>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</si>
  <si>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</si>
  <si>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</si>
  <si>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</si>
  <si>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</si>
  <si>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</si>
  <si>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</si>
  <si>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</si>
  <si>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</si>
  <si>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</si>
  <si>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</si>
  <si>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</si>
  <si>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</si>
  <si>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</si>
  <si>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</si>
  <si>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</si>
  <si>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</si>
  <si>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</si>
  <si>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</si>
  <si>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</si>
  <si>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</si>
  <si>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</si>
  <si>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</si>
  <si>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</si>
  <si>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</si>
  <si>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</si>
  <si>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</si>
  <si>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</si>
  <si>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</si>
  <si>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</si>
  <si>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</si>
  <si>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</si>
  <si>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</si>
  <si>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</si>
  <si>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</si>
  <si>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</si>
  <si>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</si>
  <si>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</si>
  <si>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</si>
  <si>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</si>
  <si>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</si>
  <si>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</si>
  <si>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</si>
  <si>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</si>
  <si>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</si>
  <si>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</si>
  <si>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</si>
  <si>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</si>
  <si>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</si>
  <si>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</si>
  <si>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</si>
  <si>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</si>
  <si>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</si>
  <si>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</si>
  <si>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</si>
  <si>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</si>
  <si>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</si>
  <si>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</si>
  <si>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</si>
  <si>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</si>
  <si>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</si>
  <si>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</si>
  <si>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</si>
  <si>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</si>
  <si>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</si>
  <si>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</si>
  <si>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</si>
  <si>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</si>
  <si>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</si>
  <si>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</si>
  <si>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</si>
  <si>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</si>
  <si>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</si>
  <si>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</si>
  <si>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</si>
  <si>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</si>
  <si>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</si>
  <si>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</si>
  <si>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</si>
  <si>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</si>
  <si>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</si>
  <si>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</si>
  <si>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</si>
  <si>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</si>
  <si>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</si>
  <si>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</si>
  <si>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</si>
  <si>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</si>
  <si>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</si>
  <si>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</si>
  <si>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</si>
  <si>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</si>
  <si>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</si>
  <si>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</si>
  <si>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</si>
  <si>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</si>
  <si>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</si>
  <si>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</si>
  <si>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</si>
  <si>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</si>
  <si>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</si>
  <si>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</si>
  <si>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</si>
  <si>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</si>
  <si>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</si>
  <si>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</si>
  <si>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</si>
  <si>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</si>
  <si>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</si>
  <si>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</si>
  <si>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</si>
  <si>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</si>
  <si>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</si>
  <si>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</si>
  <si>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</si>
  <si>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</si>
  <si>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</si>
  <si>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</si>
  <si>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</si>
  <si>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</si>
  <si>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</si>
  <si>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</si>
  <si>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</si>
  <si>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</si>
  <si>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</si>
  <si>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</si>
  <si>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</si>
  <si>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</si>
  <si>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</si>
  <si>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</si>
  <si>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</si>
  <si>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</si>
  <si>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</si>
  <si>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</si>
  <si>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</si>
  <si>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</si>
  <si>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</si>
  <si>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</si>
  <si>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</si>
  <si>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</si>
  <si>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</si>
  <si>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</si>
  <si>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</si>
  <si>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</si>
  <si>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</si>
  <si>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</si>
  <si>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</si>
  <si>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</si>
  <si>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</si>
  <si>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</si>
  <si>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</si>
  <si>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</si>
  <si>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</si>
  <si>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</si>
  <si>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</si>
  <si>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</si>
  <si>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</si>
  <si>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</si>
  <si>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</si>
  <si>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</si>
  <si>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</si>
  <si>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</si>
  <si>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</si>
  <si>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</si>
  <si>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</si>
  <si>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</si>
  <si>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</si>
  <si>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</si>
  <si>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</si>
  <si>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</si>
  <si>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</si>
  <si>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</si>
  <si>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</si>
  <si>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</si>
  <si>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</si>
  <si>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</si>
  <si>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</si>
  <si>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</si>
  <si>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</si>
  <si>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</si>
  <si>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</si>
  <si>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</si>
  <si>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</si>
  <si>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</si>
  <si>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</si>
  <si>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</si>
  <si>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</si>
  <si>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</si>
  <si>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</si>
  <si>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</si>
  <si>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</si>
  <si>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</si>
  <si>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</si>
  <si>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</si>
  <si>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</si>
  <si>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</si>
  <si>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</si>
  <si>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</si>
  <si>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</si>
  <si>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</si>
  <si>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</si>
  <si>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</si>
  <si>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</si>
  <si>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</si>
  <si>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</si>
  <si>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</si>
  <si>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</si>
  <si>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</si>
  <si>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</si>
  <si>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</si>
  <si>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</si>
  <si>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</si>
  <si>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</si>
  <si>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</si>
  <si>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</si>
  <si>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</si>
  <si>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</si>
  <si>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</si>
  <si>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</si>
  <si>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</si>
  <si>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</si>
  <si>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</si>
  <si>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</si>
  <si>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</si>
  <si>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</si>
  <si>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</si>
  <si>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</si>
  <si>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</si>
  <si>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</si>
  <si>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</si>
  <si>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</si>
  <si>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</si>
  <si>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</si>
  <si>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</si>
  <si>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</si>
  <si>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</si>
  <si>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</si>
  <si>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</si>
  <si>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</si>
  <si>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</si>
  <si>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</si>
  <si>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</si>
  <si>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</si>
  <si>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</si>
  <si>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</si>
  <si>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</si>
  <si>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</si>
  <si>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</si>
  <si>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</si>
  <si>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</si>
  <si>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</si>
  <si>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</si>
  <si>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</si>
  <si>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</si>
  <si>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</si>
  <si>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</si>
  <si>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</si>
  <si>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</si>
  <si>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</si>
  <si>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</si>
  <si>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</si>
  <si>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</si>
  <si>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</si>
  <si>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</si>
  <si>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</si>
  <si>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</si>
  <si>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</si>
  <si>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</si>
  <si>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</si>
  <si>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</si>
  <si>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</si>
  <si>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</si>
  <si>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</si>
  <si>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</si>
  <si>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</si>
  <si>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</si>
  <si>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</si>
  <si>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</si>
  <si>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</si>
  <si>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</si>
  <si>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</si>
  <si>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</si>
  <si>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</si>
  <si>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</si>
  <si>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</si>
  <si>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</si>
  <si>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</si>
  <si>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</si>
  <si>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</si>
  <si>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</si>
  <si>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</si>
  <si>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</si>
  <si>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</si>
  <si>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</si>
  <si>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</si>
  <si>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</si>
  <si>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</si>
  <si>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</si>
  <si>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</si>
  <si>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</si>
  <si>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</si>
  <si>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</si>
  <si>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</si>
  <si>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</si>
  <si>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</si>
  <si>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</si>
  <si>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</si>
  <si>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</si>
  <si>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</si>
  <si>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</si>
  <si>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</si>
  <si>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</si>
  <si>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</si>
  <si>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</si>
  <si>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</si>
  <si>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</si>
  <si>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</si>
  <si>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</si>
  <si>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</si>
  <si>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</si>
  <si>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</si>
  <si>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</si>
  <si>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</si>
  <si>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</si>
  <si>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</si>
  <si>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</si>
  <si>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</si>
  <si>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</si>
  <si>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</si>
  <si>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</si>
  <si>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</si>
  <si>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</si>
  <si>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</si>
  <si>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</si>
  <si>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</si>
  <si>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</si>
  <si>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</si>
  <si>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</si>
  <si>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</si>
  <si>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</si>
  <si>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</si>
  <si>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</si>
  <si>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</si>
  <si>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</si>
  <si>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</si>
  <si>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</si>
  <si>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</si>
  <si>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</si>
  <si>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</si>
  <si>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</si>
  <si>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</si>
  <si>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</si>
  <si>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</si>
  <si>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</si>
  <si>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</si>
  <si>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</si>
  <si>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</si>
  <si>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</si>
  <si>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</si>
  <si>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</si>
  <si>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</si>
  <si>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</si>
  <si>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</si>
  <si>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</si>
  <si>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</si>
  <si>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</si>
  <si>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</si>
  <si>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</si>
  <si>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</si>
  <si>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</si>
  <si>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</si>
  <si>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</si>
  <si>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</si>
  <si>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</si>
  <si>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</si>
  <si>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</si>
  <si>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</si>
  <si>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</si>
  <si>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</si>
  <si>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</si>
  <si>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</si>
  <si>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</si>
  <si>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</si>
  <si>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</si>
  <si>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</si>
  <si>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</si>
  <si>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</si>
  <si>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</si>
  <si>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</si>
  <si>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</si>
  <si>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</si>
  <si>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</si>
  <si>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</si>
  <si>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</si>
  <si>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</si>
  <si>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</si>
  <si>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</si>
  <si>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</si>
  <si>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</si>
  <si>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</si>
  <si>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</si>
  <si>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</si>
  <si>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</si>
  <si>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</si>
  <si>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</si>
  <si>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</si>
  <si>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</si>
  <si>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</si>
  <si>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</si>
  <si>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</si>
  <si>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</si>
  <si>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</si>
  <si>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</si>
  <si>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</si>
  <si>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</si>
  <si>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</si>
  <si>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</si>
  <si>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</si>
  <si>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</si>
  <si>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</si>
  <si>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</si>
  <si>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</si>
  <si>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</si>
  <si>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</si>
  <si>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</si>
  <si>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</si>
  <si>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</si>
  <si>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</si>
  <si>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</si>
  <si>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</si>
  <si>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</si>
  <si>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</si>
  <si>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</si>
  <si>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</si>
  <si>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</si>
  <si>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</si>
  <si>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</si>
  <si>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</si>
  <si>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</si>
  <si>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</si>
  <si>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</si>
  <si>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</si>
  <si>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</si>
  <si>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</si>
  <si>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</si>
  <si>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</si>
  <si>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</si>
  <si>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</si>
  <si>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</si>
  <si>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</si>
  <si>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</si>
  <si>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</si>
  <si>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</si>
  <si>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</si>
  <si>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</si>
  <si>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</si>
  <si>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</si>
  <si>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</si>
  <si>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</si>
  <si>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</si>
  <si>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</si>
  <si>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</si>
  <si>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</si>
  <si>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</si>
  <si>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</si>
  <si>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</si>
  <si>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</si>
  <si>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</si>
  <si>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</si>
  <si>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</si>
  <si>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</si>
  <si>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</si>
  <si>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</si>
  <si>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</si>
  <si>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</si>
  <si>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</si>
  <si>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</si>
  <si>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</si>
  <si>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</si>
  <si>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</si>
  <si>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</si>
  <si>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</si>
  <si>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</si>
  <si>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</si>
  <si>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</si>
  <si>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</si>
  <si>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</si>
  <si>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</si>
  <si>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</si>
  <si>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</si>
  <si>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</si>
  <si>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</si>
  <si>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</si>
  <si>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</si>
  <si>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</si>
  <si>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</si>
  <si>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</si>
  <si>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</si>
  <si>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</si>
  <si>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</si>
  <si>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</si>
  <si>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</si>
  <si>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</si>
  <si>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</si>
  <si>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</si>
  <si>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</si>
  <si>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</si>
  <si>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</si>
  <si>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</si>
  <si>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</si>
  <si>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</si>
  <si>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</si>
  <si>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</si>
  <si>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</si>
  <si>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</si>
  <si>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</si>
  <si>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</si>
  <si>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</si>
  <si>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</si>
  <si>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</si>
  <si>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</si>
  <si>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</si>
  <si>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</si>
  <si>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</si>
  <si>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</si>
  <si>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</si>
  <si>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</si>
  <si>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</si>
  <si>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</si>
  <si>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</si>
  <si>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</si>
  <si>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</si>
  <si>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</si>
  <si>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</si>
  <si>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</si>
  <si>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</si>
  <si>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</si>
  <si>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</si>
  <si>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</si>
  <si>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</si>
  <si>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</si>
  <si>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</si>
  <si>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</si>
  <si>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</si>
  <si>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</si>
  <si>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</si>
  <si>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</si>
  <si>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</si>
  <si>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</si>
  <si>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</si>
  <si>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</si>
  <si>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</si>
  <si>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</si>
  <si>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</si>
  <si>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</si>
  <si>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</si>
  <si>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</si>
  <si>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</si>
  <si>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</si>
  <si>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</si>
  <si>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</si>
  <si>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</si>
  <si>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</si>
  <si>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</si>
  <si>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</si>
  <si>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</si>
  <si>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</si>
  <si>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</si>
  <si>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</si>
  <si>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</si>
  <si>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</si>
  <si>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</si>
  <si>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</si>
  <si>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</si>
  <si>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</si>
  <si>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</si>
  <si>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</si>
  <si>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</si>
  <si>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</si>
  <si>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</si>
  <si>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</si>
  <si>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</si>
  <si>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</si>
  <si>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</si>
  <si>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</si>
  <si>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</si>
  <si>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</si>
  <si>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</si>
  <si>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</si>
  <si>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</si>
  <si>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</si>
  <si>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</si>
  <si>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</si>
  <si>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</si>
  <si>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</si>
  <si>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</si>
  <si>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</si>
  <si>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</si>
  <si>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</si>
  <si>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</si>
  <si>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</si>
  <si>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</si>
  <si>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</si>
  <si>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</si>
  <si>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</si>
  <si>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</si>
  <si>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</si>
  <si>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</si>
  <si>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</si>
  <si>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</si>
  <si>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</si>
  <si>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</si>
  <si>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</si>
  <si>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</si>
  <si>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</si>
  <si>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</si>
  <si>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</si>
  <si>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</si>
  <si>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</si>
  <si>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</si>
  <si>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</si>
  <si>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</si>
  <si>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</si>
  <si>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</si>
  <si>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</si>
  <si>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</si>
  <si>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</si>
  <si>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</si>
  <si>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</si>
  <si>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</si>
  <si>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</si>
  <si>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</si>
  <si>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</si>
  <si>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</si>
  <si>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</si>
  <si>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</si>
  <si>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</si>
  <si>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</si>
  <si>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</si>
  <si>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</si>
  <si>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</si>
  <si>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</si>
  <si>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</si>
  <si>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</si>
  <si>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</si>
  <si>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</si>
  <si>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</si>
  <si>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</si>
  <si>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</si>
  <si>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</si>
  <si>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</si>
  <si>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</si>
  <si>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</si>
  <si>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</si>
  <si>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</si>
  <si>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</si>
  <si>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</si>
  <si>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</si>
  <si>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</si>
  <si>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</si>
  <si>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</si>
  <si>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</si>
  <si>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</si>
  <si>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</si>
  <si>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</si>
  <si>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</si>
  <si>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</si>
  <si>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</si>
  <si>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</si>
  <si>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</si>
  <si>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</si>
  <si>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</si>
  <si>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</si>
  <si>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</si>
  <si>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</si>
  <si>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</si>
  <si>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</si>
  <si>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</si>
  <si>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</si>
  <si>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</si>
  <si>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</si>
  <si>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</si>
  <si>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</si>
  <si>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</si>
  <si>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</si>
  <si>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</si>
  <si>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</si>
  <si>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</si>
  <si>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</si>
  <si>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</si>
  <si>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</si>
  <si>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</si>
  <si>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</si>
  <si>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</si>
  <si>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</si>
  <si>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</si>
  <si>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</si>
  <si>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</si>
  <si>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</si>
  <si>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</si>
  <si>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</si>
  <si>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</si>
  <si>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</si>
  <si>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</si>
  <si>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</si>
  <si>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</si>
  <si>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</si>
  <si>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</si>
  <si>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</si>
  <si>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</si>
  <si>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</si>
  <si>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</si>
  <si>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</si>
  <si>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</si>
  <si>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</si>
  <si>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</si>
  <si>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</si>
  <si>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</si>
  <si>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</si>
  <si>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</si>
  <si>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</si>
  <si>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</si>
  <si>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</si>
  <si>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</si>
  <si>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</si>
  <si>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</si>
  <si>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</si>
  <si>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</si>
  <si>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</si>
  <si>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</si>
  <si>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</si>
  <si>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</si>
  <si>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</si>
  <si>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</si>
  <si>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</si>
  <si>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</si>
  <si>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</si>
  <si>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</si>
  <si>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</si>
  <si>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</si>
  <si>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</si>
  <si>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</si>
  <si>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</si>
  <si>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</si>
  <si>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</si>
  <si>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</si>
  <si>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</si>
  <si>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</si>
  <si>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</si>
  <si>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</si>
  <si>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</si>
  <si>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</si>
  <si>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</si>
  <si>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</si>
  <si>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</si>
  <si>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</si>
  <si>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</si>
  <si>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</si>
  <si>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</si>
  <si>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</si>
  <si>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</si>
  <si>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</si>
  <si>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</si>
  <si>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</si>
  <si>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</si>
  <si>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</si>
  <si>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</si>
  <si>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</si>
  <si>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</si>
  <si>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</si>
  <si>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</si>
  <si>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</si>
  <si>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</si>
  <si>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</si>
  <si>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</si>
  <si>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</si>
  <si>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</si>
  <si>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</si>
  <si>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</si>
  <si>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</si>
  <si>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</si>
  <si>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</si>
  <si>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</si>
  <si>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</si>
  <si>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</si>
  <si>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</si>
  <si>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</si>
  <si>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</si>
  <si>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</si>
  <si>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</si>
  <si>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</si>
  <si>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</si>
  <si>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</si>
  <si>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</si>
  <si>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</si>
  <si>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</si>
  <si>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</si>
  <si>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</si>
  <si>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</si>
  <si>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</si>
  <si>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</si>
  <si>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</si>
  <si>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</si>
  <si>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</si>
  <si>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</si>
  <si>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</si>
  <si>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</si>
  <si>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</si>
  <si>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</si>
  <si>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</si>
  <si>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</si>
  <si>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</si>
  <si>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</si>
  <si>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</si>
  <si>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</si>
  <si>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</si>
  <si>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</si>
  <si>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</si>
  <si>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</si>
  <si>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</si>
  <si>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</si>
  <si>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</si>
  <si>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</si>
  <si>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</si>
  <si>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</si>
  <si>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</si>
  <si>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</si>
  <si>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</si>
  <si>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</si>
  <si>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</si>
  <si>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</si>
  <si>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</si>
  <si>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</si>
  <si>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</si>
  <si>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</si>
  <si>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</si>
  <si>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</si>
  <si>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</si>
  <si>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</si>
  <si>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</si>
  <si>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</si>
  <si>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</si>
  <si>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</si>
  <si>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</si>
  <si>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</si>
  <si>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</si>
  <si>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</si>
  <si>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</si>
  <si>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</si>
  <si>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</si>
  <si>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</si>
  <si>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</si>
  <si>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</si>
  <si>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</si>
  <si>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</si>
  <si>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</si>
  <si>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</si>
  <si>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</si>
  <si>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</si>
  <si>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</si>
  <si>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</si>
  <si>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</si>
  <si>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</si>
  <si>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</si>
  <si>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</si>
  <si>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</si>
  <si>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</si>
  <si>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</si>
  <si>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</si>
  <si>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</si>
  <si>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</si>
  <si>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</si>
  <si>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</si>
  <si>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</si>
  <si>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</si>
  <si>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</si>
  <si>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</si>
  <si>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</si>
  <si>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</si>
  <si>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</si>
  <si>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</si>
  <si>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</si>
  <si>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</si>
  <si>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</si>
  <si>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</si>
  <si>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</si>
  <si>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</si>
  <si>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</si>
  <si>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</si>
  <si>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</si>
  <si>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</si>
  <si>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</si>
  <si>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</si>
  <si>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</si>
  <si>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</si>
  <si>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</si>
  <si>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</si>
  <si>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</si>
  <si>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</si>
  <si>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</si>
  <si>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</si>
  <si>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</si>
  <si>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</si>
  <si>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</si>
  <si>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</si>
  <si>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</si>
  <si>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</si>
  <si>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</si>
  <si>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</si>
  <si>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</si>
  <si>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</si>
  <si>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</si>
  <si>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</si>
  <si>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</si>
  <si>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</si>
  <si>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</si>
  <si>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</si>
  <si>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</si>
  <si>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</si>
  <si>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</si>
  <si>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</si>
  <si>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</si>
  <si>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</si>
  <si>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</si>
  <si>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</si>
  <si>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</si>
  <si>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</si>
  <si>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</si>
  <si>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</si>
  <si>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</si>
  <si>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</si>
  <si>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</si>
  <si>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</si>
  <si>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</si>
  <si>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</si>
  <si>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</si>
  <si>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</si>
  <si>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</si>
  <si>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</si>
  <si>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</si>
  <si>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</si>
  <si>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</si>
  <si>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</si>
  <si>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</si>
  <si>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</si>
  <si>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</si>
  <si>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</si>
  <si>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</si>
  <si>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</si>
  <si>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</si>
  <si>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</si>
  <si>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</si>
  <si>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</si>
  <si>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</si>
  <si>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</si>
  <si>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</si>
  <si>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</si>
  <si>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</si>
  <si>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</si>
  <si>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</si>
  <si>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</si>
  <si>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</si>
  <si>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</si>
  <si>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</si>
  <si>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</si>
  <si>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</si>
  <si>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</si>
  <si>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</si>
  <si>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</si>
  <si>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</si>
  <si>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</si>
  <si>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</si>
  <si>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</si>
  <si>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</si>
  <si>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</si>
  <si>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</si>
  <si>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</si>
  <si>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</si>
  <si>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</si>
  <si>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</si>
  <si>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</si>
  <si>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</si>
  <si>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</si>
  <si>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</si>
  <si>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</si>
  <si>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</si>
  <si>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</si>
  <si>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</si>
  <si>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</si>
  <si>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</si>
  <si>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</si>
  <si>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</si>
  <si>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</si>
  <si>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</si>
  <si>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</si>
  <si>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</si>
  <si>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</si>
  <si>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</si>
  <si>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</si>
  <si>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</si>
  <si>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</si>
  <si>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</si>
  <si>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</si>
  <si>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</si>
  <si>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</si>
  <si>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</si>
  <si>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</si>
  <si>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</si>
  <si>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</si>
  <si>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</si>
  <si>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</si>
  <si>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</si>
  <si>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</si>
  <si>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</si>
  <si>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</si>
  <si>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</si>
  <si>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</si>
  <si>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</si>
  <si>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</si>
  <si>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</si>
  <si>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</si>
  <si>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</si>
  <si>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</si>
  <si>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</si>
  <si>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</si>
  <si>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</si>
  <si>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</si>
  <si>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</si>
  <si>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</si>
  <si>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</si>
  <si>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</si>
  <si>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</si>
  <si>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</si>
  <si>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</si>
  <si>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</si>
  <si>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</si>
  <si>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</si>
  <si>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</si>
  <si>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</si>
  <si>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</si>
  <si>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</si>
  <si>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</si>
  <si>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</si>
  <si>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</si>
  <si>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</si>
  <si>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</si>
  <si>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</si>
  <si>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</si>
  <si>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</si>
  <si>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</si>
  <si>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</si>
  <si>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</si>
  <si>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</si>
  <si>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</si>
  <si>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</si>
  <si>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</si>
  <si>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</si>
  <si>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</si>
  <si>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</si>
  <si>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</si>
  <si>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</si>
  <si>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</si>
  <si>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</si>
  <si>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</si>
  <si>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</si>
  <si>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</si>
  <si>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</si>
  <si>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</si>
  <si>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</si>
  <si>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</si>
  <si>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</si>
  <si>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</si>
  <si>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</si>
  <si>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</si>
  <si>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</si>
  <si>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</si>
  <si>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</si>
  <si>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</si>
  <si>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</si>
  <si>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</si>
  <si>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</si>
  <si>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</si>
  <si>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</si>
  <si>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</si>
  <si>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</si>
  <si>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</si>
  <si>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</si>
  <si>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</si>
  <si>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</si>
  <si>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</si>
  <si>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</si>
  <si>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</si>
  <si>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</si>
  <si>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</si>
  <si>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</si>
  <si>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</si>
  <si>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</si>
  <si>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</si>
  <si>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</si>
  <si>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</si>
  <si>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</si>
  <si>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</si>
  <si>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</si>
  <si>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</si>
  <si>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</si>
  <si>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</si>
  <si>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</si>
  <si>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</si>
  <si>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</si>
  <si>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</si>
  <si>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</si>
  <si>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</si>
  <si>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</si>
  <si>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</si>
  <si>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</si>
  <si>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</si>
  <si>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</si>
  <si>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</si>
  <si>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</si>
  <si>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</si>
  <si>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</si>
  <si>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</si>
  <si>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</si>
  <si>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</si>
  <si>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</si>
  <si>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</si>
  <si>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</si>
  <si>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</si>
  <si>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</si>
  <si>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</si>
  <si>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</si>
  <si>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</si>
  <si>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</si>
  <si>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</si>
  <si>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</si>
  <si>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</si>
  <si>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</si>
  <si>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</si>
  <si>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</si>
  <si>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</si>
  <si>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</si>
  <si>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</si>
  <si>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</si>
  <si>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</si>
  <si>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</si>
  <si>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</si>
  <si>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</si>
  <si>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</si>
  <si>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</si>
  <si>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</si>
  <si>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</si>
  <si>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</si>
  <si>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</si>
  <si>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</si>
  <si>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</si>
  <si>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</si>
  <si>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</si>
  <si>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</si>
  <si>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</si>
  <si>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</si>
  <si>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</si>
  <si>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</si>
  <si>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</si>
  <si>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</si>
  <si>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</si>
  <si>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</si>
  <si>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</si>
  <si>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</si>
  <si>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</si>
  <si>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</si>
  <si>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</si>
  <si>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</si>
  <si>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</si>
  <si>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</si>
  <si>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</si>
  <si>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</si>
  <si>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</si>
  <si>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</si>
  <si>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</si>
  <si>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</si>
  <si>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</si>
  <si>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</si>
  <si>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</si>
  <si>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</si>
  <si>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</si>
  <si>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</si>
  <si>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</si>
  <si>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</si>
  <si>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</si>
  <si>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</si>
  <si>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</si>
  <si>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</si>
  <si>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</si>
  <si>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</si>
  <si>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</si>
  <si>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</si>
  <si>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</si>
  <si>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</si>
  <si>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</si>
  <si>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</si>
  <si>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</si>
  <si>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</si>
  <si>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</si>
  <si>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</si>
  <si>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</si>
  <si>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</si>
  <si>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</si>
  <si>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</si>
  <si>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</si>
  <si>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</si>
  <si>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</si>
  <si>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</si>
  <si>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</si>
  <si>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</si>
  <si>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</si>
  <si>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</si>
  <si>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</si>
  <si>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</si>
  <si>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</si>
  <si>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</si>
  <si>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</si>
  <si>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</si>
  <si>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</si>
  <si>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</si>
  <si>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</si>
  <si>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</si>
  <si>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</si>
  <si>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</si>
  <si>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</si>
  <si>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</si>
  <si>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</si>
  <si>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</si>
  <si>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</si>
  <si>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</si>
  <si>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</si>
  <si>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</si>
  <si>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</si>
  <si>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</si>
  <si>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</si>
  <si>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</si>
  <si>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</si>
  <si>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</si>
  <si>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</si>
  <si>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</si>
  <si>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</si>
  <si>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</si>
  <si>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</si>
  <si>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</si>
  <si>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</si>
  <si>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</si>
  <si>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</si>
  <si>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</si>
  <si>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</si>
  <si>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</si>
  <si>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</si>
  <si>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</si>
  <si>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</si>
  <si>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</si>
  <si>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</si>
  <si>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</si>
  <si>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</si>
  <si>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</si>
  <si>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</si>
  <si>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</si>
  <si>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</si>
  <si>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</si>
  <si>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</si>
  <si>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</si>
  <si>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</si>
  <si>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</si>
  <si>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</si>
  <si>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</si>
  <si>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</si>
  <si>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</si>
  <si>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</si>
  <si>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</si>
  <si>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</si>
  <si>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</si>
  <si>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</si>
  <si>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</si>
  <si>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</si>
  <si>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</si>
  <si>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</si>
  <si>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</si>
  <si>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</si>
  <si>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</si>
  <si>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</si>
  <si>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</si>
  <si>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</si>
  <si>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</si>
  <si>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</si>
  <si>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</si>
  <si>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</si>
  <si>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</si>
  <si>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</si>
  <si>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</si>
  <si>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</si>
  <si>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</si>
  <si>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</si>
  <si>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</si>
  <si>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</si>
  <si>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</si>
  <si>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</si>
  <si>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</si>
  <si>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</si>
  <si>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</si>
  <si>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</si>
  <si>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</si>
  <si>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</si>
  <si>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</si>
  <si>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</si>
  <si>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</si>
  <si>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</si>
  <si>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</si>
  <si>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</si>
  <si>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</si>
  <si>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</si>
  <si>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</si>
  <si>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</si>
  <si>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</si>
  <si>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</si>
  <si>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</si>
  <si>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</si>
  <si>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</si>
  <si>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</si>
  <si>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</si>
  <si>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</si>
  <si>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</si>
  <si>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</si>
  <si>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</si>
  <si>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</si>
  <si>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</si>
  <si>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</si>
  <si>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</si>
  <si>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</si>
  <si>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</si>
  <si>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</si>
  <si>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</si>
  <si>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</si>
  <si>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</si>
  <si>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</si>
  <si>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</si>
  <si>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</si>
  <si>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</si>
  <si>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</si>
  <si>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</si>
  <si>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</si>
  <si>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</si>
  <si>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</si>
  <si>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</si>
  <si>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</si>
  <si>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</si>
  <si>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</si>
  <si>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</si>
  <si>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</si>
  <si>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</si>
  <si>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</si>
  <si>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</si>
  <si>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</si>
  <si>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</si>
  <si>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</si>
  <si>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</si>
  <si>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</si>
  <si>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</si>
  <si>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</si>
  <si>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</si>
  <si>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</si>
  <si>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</si>
  <si>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</si>
  <si>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</si>
  <si>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</si>
  <si>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</si>
  <si>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</si>
  <si>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</si>
  <si>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</si>
  <si>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</si>
  <si>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</si>
  <si>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</si>
  <si>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</si>
  <si>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</si>
  <si>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</si>
  <si>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</si>
  <si>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</si>
  <si>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</si>
  <si>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</si>
  <si>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</si>
  <si>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</si>
  <si>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</si>
  <si>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</si>
  <si>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</si>
  <si>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</si>
  <si>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</si>
  <si>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</si>
  <si>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</si>
  <si>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</si>
  <si>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</si>
  <si>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</si>
  <si>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</si>
  <si>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</si>
  <si>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</si>
  <si>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</si>
  <si>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</si>
  <si>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</si>
  <si>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</si>
  <si>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</si>
  <si>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</si>
  <si>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</si>
  <si>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</si>
  <si>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</si>
  <si>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</si>
  <si>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</si>
  <si>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</si>
  <si>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</si>
  <si>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</si>
  <si>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</si>
  <si>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</si>
  <si>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</si>
  <si>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</si>
  <si>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</si>
  <si>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</si>
  <si>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</si>
  <si>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</si>
  <si>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</si>
  <si>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</si>
  <si>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</si>
  <si>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</si>
  <si>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</si>
  <si>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</si>
  <si>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</si>
  <si>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</si>
  <si>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</si>
  <si>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</si>
  <si>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</si>
  <si>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</si>
  <si>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</si>
  <si>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</si>
  <si>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</si>
  <si>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</si>
  <si>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</si>
  <si>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</si>
  <si>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</si>
  <si>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</si>
  <si>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</si>
  <si>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</si>
  <si>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</si>
  <si>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</si>
  <si>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</si>
  <si>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</si>
  <si>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</si>
  <si>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</si>
  <si>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</si>
  <si>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</si>
  <si>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</si>
  <si>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</si>
  <si>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</si>
  <si>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</si>
  <si>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</si>
  <si>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</si>
  <si>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</si>
  <si>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</si>
  <si>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</si>
  <si>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</si>
  <si>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</si>
  <si>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</si>
  <si>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</si>
  <si>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</si>
  <si>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</si>
  <si>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</si>
  <si>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</si>
  <si>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</si>
  <si>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</si>
  <si>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</si>
  <si>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</si>
  <si>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</si>
  <si>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</si>
  <si>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</si>
  <si>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</si>
  <si>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</si>
  <si>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</si>
  <si>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</si>
  <si>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</si>
  <si>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</si>
  <si>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</si>
  <si>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</si>
  <si>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</si>
  <si>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</si>
  <si>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</si>
  <si>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</si>
  <si>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</si>
  <si>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</si>
  <si>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</si>
  <si>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</si>
  <si>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</si>
  <si>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</si>
  <si>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</si>
  <si>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</si>
  <si>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</si>
  <si>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</si>
  <si>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</si>
  <si>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</si>
  <si>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</si>
  <si>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</si>
  <si>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</si>
  <si>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</si>
  <si>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</si>
  <si>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</si>
  <si>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</si>
  <si>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</si>
  <si>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</si>
  <si>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</si>
  <si>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</si>
  <si>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</si>
  <si>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</si>
  <si>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</si>
  <si>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</si>
  <si>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</si>
  <si>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</si>
  <si>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</si>
  <si>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</si>
  <si>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</si>
  <si>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</si>
  <si>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</si>
  <si>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</si>
  <si>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</si>
  <si>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</si>
  <si>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</si>
  <si>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</si>
  <si>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</si>
  <si>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</si>
  <si>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</si>
  <si>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</si>
  <si>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</si>
  <si>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</si>
  <si>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</si>
  <si>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</si>
  <si>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</si>
  <si>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</si>
  <si>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</si>
  <si>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</si>
  <si>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</si>
  <si>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</si>
  <si>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</si>
  <si>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</si>
  <si>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</si>
  <si>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</si>
  <si>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</si>
  <si>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</si>
  <si>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</si>
  <si>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</si>
  <si>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</si>
  <si>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</si>
  <si>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</si>
  <si>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</si>
  <si>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</si>
  <si>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</si>
  <si>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</si>
  <si>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</si>
  <si>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</si>
  <si>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</si>
  <si>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</si>
  <si>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</si>
  <si>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</si>
  <si>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</si>
  <si>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</si>
  <si>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</si>
  <si>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</si>
  <si>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</si>
  <si>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</si>
  <si>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</si>
  <si>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</si>
  <si>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</si>
  <si>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</si>
  <si>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</si>
  <si>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</si>
  <si>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</si>
  <si>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</si>
  <si>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</si>
  <si>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</si>
  <si>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</si>
  <si>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</si>
  <si>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</si>
  <si>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</si>
  <si>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</si>
  <si>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</si>
  <si>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</si>
  <si>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</si>
  <si>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</si>
  <si>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</si>
  <si>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</si>
  <si>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</si>
  <si>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</si>
  <si>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</si>
  <si>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</si>
  <si>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</si>
  <si>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</si>
  <si>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</si>
  <si>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</si>
  <si>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</si>
  <si>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</si>
  <si>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</si>
  <si>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</si>
  <si>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</si>
  <si>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</si>
  <si>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</si>
  <si>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</si>
  <si>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</si>
  <si>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</si>
  <si>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</si>
  <si>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</si>
  <si>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</si>
  <si>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</si>
  <si>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</si>
  <si>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</si>
  <si>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</si>
  <si>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</si>
  <si>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</si>
  <si>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</si>
  <si>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</si>
  <si>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</si>
  <si>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</si>
  <si>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</si>
  <si>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</si>
  <si>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</si>
  <si>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</si>
  <si>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</si>
  <si>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</si>
  <si>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</si>
  <si>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</si>
  <si>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</si>
  <si>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</si>
  <si>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</si>
  <si>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</si>
  <si>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</si>
  <si>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</si>
  <si>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</si>
  <si>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</si>
  <si>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</si>
  <si>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</si>
  <si>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</si>
  <si>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</si>
  <si>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</si>
  <si>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</si>
  <si>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</si>
  <si>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</si>
  <si>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</si>
  <si>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</si>
  <si>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</si>
  <si>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</si>
  <si>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</si>
  <si>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</si>
  <si>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</si>
  <si>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</si>
  <si>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</si>
  <si>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</si>
  <si>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</si>
  <si>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</si>
  <si>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</si>
  <si>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</si>
  <si>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</si>
  <si>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</si>
  <si>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</si>
  <si>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</si>
  <si>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</si>
  <si>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</si>
  <si>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</si>
  <si>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</si>
  <si>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</si>
  <si>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</si>
  <si>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</si>
  <si>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</si>
  <si>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</si>
  <si>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</si>
  <si>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</si>
  <si>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</si>
  <si>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</si>
  <si>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</si>
  <si>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</si>
  <si>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</si>
  <si>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</si>
  <si>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</si>
  <si>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</si>
  <si>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</si>
  <si>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</si>
  <si>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</si>
  <si>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</si>
  <si>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</si>
  <si>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</si>
  <si>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</si>
  <si>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</si>
  <si>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</si>
  <si>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</si>
  <si>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</si>
  <si>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</si>
  <si>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</si>
  <si>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</si>
  <si>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</si>
  <si>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</si>
  <si>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</si>
  <si>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</si>
  <si>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</si>
  <si>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</si>
  <si>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</si>
  <si>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</si>
  <si>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</si>
  <si>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</si>
  <si>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</si>
  <si>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</si>
  <si>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</si>
  <si>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</si>
  <si>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</si>
  <si>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</si>
  <si>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</si>
  <si>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</si>
  <si>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</si>
  <si>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</si>
  <si>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</si>
  <si>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</si>
  <si>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</si>
  <si>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</si>
  <si>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</si>
  <si>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</si>
  <si>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</si>
  <si>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</si>
  <si>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</si>
  <si>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</si>
  <si>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</si>
  <si>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</si>
  <si>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</si>
  <si>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</si>
  <si>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</si>
  <si>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</si>
  <si>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</si>
  <si>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</si>
  <si>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</si>
  <si>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</si>
  <si>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</si>
  <si>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</si>
  <si>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</si>
  <si>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</si>
  <si>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</si>
  <si>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</si>
  <si>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</si>
  <si>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</si>
  <si>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</si>
  <si>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</si>
  <si>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</si>
  <si>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</si>
  <si>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</si>
  <si>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</si>
  <si>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</si>
  <si>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</si>
  <si>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</si>
  <si>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</si>
  <si>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</si>
  <si>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</si>
  <si>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</si>
  <si>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</si>
  <si>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</si>
  <si>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</si>
  <si>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</si>
  <si>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</si>
  <si>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</si>
  <si>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</si>
  <si>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</si>
  <si>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</si>
  <si>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</si>
  <si>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</si>
  <si>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</si>
  <si>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</si>
  <si>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</si>
  <si>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</si>
  <si>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</si>
  <si>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</si>
  <si>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</si>
  <si>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</si>
  <si>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</si>
  <si>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</si>
  <si>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</si>
  <si>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</si>
  <si>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</si>
  <si>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</si>
  <si>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</si>
  <si>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</si>
  <si>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</si>
  <si>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</si>
  <si>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</si>
  <si>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</si>
  <si>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</si>
  <si>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</si>
  <si>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</si>
  <si>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</si>
  <si>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</si>
  <si>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</si>
  <si>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</si>
  <si>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</si>
  <si>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</si>
  <si>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</si>
  <si>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</si>
  <si>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</si>
  <si>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</si>
  <si>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</si>
  <si>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</si>
  <si>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</si>
  <si>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</si>
  <si>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</si>
  <si>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</si>
  <si>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</si>
  <si>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</si>
  <si>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</si>
  <si>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</si>
  <si>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</si>
  <si>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</si>
  <si>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</si>
  <si>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</si>
  <si>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</si>
  <si>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</si>
  <si>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</si>
  <si>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</si>
  <si>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</si>
  <si>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</si>
  <si>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</si>
  <si>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</si>
  <si>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</si>
  <si>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</si>
  <si>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</si>
  <si>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</si>
  <si>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</si>
  <si>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</si>
  <si>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</si>
  <si>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</si>
  <si>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</si>
  <si>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</si>
  <si>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</si>
  <si>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</si>
  <si>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</si>
  <si>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</si>
  <si>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</si>
  <si>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</si>
  <si>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</si>
  <si>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</si>
  <si>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</si>
  <si>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</si>
  <si>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</si>
  <si>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</si>
  <si>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</si>
  <si>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</si>
  <si>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</si>
  <si>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</si>
  <si>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</si>
  <si>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</si>
  <si>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</si>
  <si>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</si>
  <si>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</si>
  <si>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</si>
  <si>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</si>
  <si>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</si>
  <si>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</si>
  <si>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</si>
  <si>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</si>
  <si>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</si>
  <si>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</si>
  <si>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</si>
  <si>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</si>
  <si>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</si>
  <si>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</si>
  <si>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</si>
  <si>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</si>
  <si>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</si>
  <si>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</si>
  <si>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</si>
  <si>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</si>
  <si>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</si>
  <si>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</si>
  <si>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</si>
  <si>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</si>
  <si>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</si>
  <si>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</si>
  <si>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</si>
  <si>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</si>
  <si>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</si>
  <si>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</si>
  <si>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</si>
  <si>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</si>
  <si>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</si>
  <si>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</si>
  <si>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</si>
  <si>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</si>
  <si>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</si>
  <si>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</si>
  <si>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</si>
  <si>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</si>
  <si>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</si>
  <si>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</si>
  <si>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</si>
  <si>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</si>
  <si>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</si>
  <si>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</si>
  <si>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</si>
  <si>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</si>
  <si>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</si>
  <si>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</si>
  <si>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</si>
  <si>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</si>
  <si>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</si>
  <si>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</si>
  <si>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</si>
  <si>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</si>
  <si>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</si>
  <si>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</si>
  <si>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</si>
  <si>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</si>
  <si>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</si>
  <si>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</si>
  <si>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</si>
  <si>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</si>
  <si>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</si>
  <si>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</si>
  <si>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</si>
  <si>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</si>
  <si>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</si>
  <si>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</si>
  <si>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</si>
  <si>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</si>
  <si>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</si>
  <si>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</si>
  <si>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</si>
  <si>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</si>
  <si>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</si>
  <si>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</si>
  <si>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</si>
  <si>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</si>
  <si>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</si>
  <si>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</si>
  <si>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</si>
  <si>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</si>
  <si>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</si>
  <si>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</si>
  <si>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</si>
  <si>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</si>
  <si>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</si>
  <si>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</si>
  <si>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</si>
  <si>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</si>
  <si>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</si>
  <si>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</si>
  <si>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</si>
  <si>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</si>
  <si>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</si>
  <si>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</si>
  <si>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</si>
  <si>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</si>
  <si>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</si>
  <si>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</si>
  <si>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</si>
  <si>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</si>
  <si>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</si>
  <si>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</si>
  <si>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</si>
  <si>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</si>
  <si>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</si>
  <si>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</si>
  <si>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</si>
  <si>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</si>
  <si>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</si>
  <si>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</si>
  <si>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</si>
  <si>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</si>
  <si>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</si>
  <si>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</si>
  <si>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</si>
  <si>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</si>
  <si>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</si>
  <si>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</si>
  <si>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</si>
  <si>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</si>
  <si>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</si>
  <si>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</si>
  <si>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</si>
  <si>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</si>
  <si>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</si>
  <si>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</si>
  <si>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</si>
  <si>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</si>
  <si>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</si>
  <si>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</si>
  <si>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</si>
  <si>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</si>
  <si>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</si>
  <si>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</si>
  <si>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</si>
  <si>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</si>
  <si>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</si>
  <si>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</si>
  <si>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</si>
  <si>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</si>
  <si>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</si>
  <si>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</si>
  <si>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</si>
  <si>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</si>
  <si>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</si>
  <si>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</si>
  <si>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</si>
  <si>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</si>
  <si>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</si>
  <si>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</si>
  <si>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</si>
  <si>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</si>
  <si>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</si>
  <si>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</si>
  <si>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</si>
  <si>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</si>
  <si>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</si>
  <si>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</si>
  <si>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</si>
  <si>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</si>
  <si>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</si>
  <si>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</si>
  <si>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</si>
  <si>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</si>
  <si>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</si>
  <si>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</si>
  <si>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</si>
  <si>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</si>
  <si>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</si>
  <si>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</si>
  <si>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</si>
  <si>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</si>
  <si>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</si>
  <si>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</si>
  <si>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</si>
  <si>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</si>
  <si>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</si>
  <si>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</si>
  <si>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</si>
  <si>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</si>
  <si>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</si>
  <si>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</si>
  <si>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</si>
  <si>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</si>
  <si>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</si>
  <si>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</si>
  <si>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</si>
  <si>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</si>
  <si>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</si>
  <si>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</si>
  <si>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</si>
  <si>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</si>
  <si>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</si>
  <si>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</si>
  <si>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</si>
  <si>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</si>
  <si>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</si>
  <si>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</si>
  <si>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</si>
  <si>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</si>
  <si>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</si>
  <si>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</si>
  <si>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</si>
  <si>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</si>
  <si>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</si>
  <si>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</si>
  <si>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</si>
  <si>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</si>
  <si>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</si>
  <si>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</si>
  <si>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</si>
  <si>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</si>
  <si>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</si>
  <si>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</si>
  <si>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</si>
  <si>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</si>
  <si>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</si>
  <si>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</si>
  <si>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</si>
  <si>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</si>
  <si>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</si>
  <si>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</si>
  <si>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</si>
  <si>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</si>
  <si>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</si>
  <si>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</si>
  <si>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</si>
  <si>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</si>
  <si>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</si>
  <si>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</si>
  <si>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</si>
  <si>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</si>
  <si>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</si>
  <si>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</si>
  <si>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</si>
  <si>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</si>
  <si>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</si>
  <si>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</si>
  <si>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</si>
  <si>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</si>
  <si>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</si>
  <si>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</si>
  <si>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</si>
  <si>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</si>
  <si>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</si>
  <si>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</si>
  <si>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</si>
  <si>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</si>
  <si>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</si>
  <si>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</si>
  <si>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</si>
  <si>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</si>
  <si>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</si>
  <si>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</si>
  <si>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</si>
  <si>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</si>
  <si>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</si>
  <si>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</si>
  <si>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</si>
  <si>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</si>
  <si>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</si>
  <si>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</si>
  <si>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</si>
  <si>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</si>
  <si>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</si>
  <si>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</si>
  <si>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</si>
  <si>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</si>
  <si>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</si>
  <si>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</si>
  <si>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</si>
  <si>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</si>
  <si>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</si>
  <si>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</si>
  <si>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</si>
  <si>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</si>
  <si>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</si>
  <si>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</si>
  <si>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</si>
  <si>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</si>
  <si>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</si>
  <si>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</si>
  <si>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</si>
  <si>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</si>
  <si>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</si>
  <si>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</si>
  <si>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</si>
  <si>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</si>
  <si>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</si>
  <si>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</si>
  <si>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</si>
  <si>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</si>
  <si>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</si>
  <si>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</si>
  <si>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</si>
  <si>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</si>
  <si>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</si>
  <si>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</si>
  <si>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</si>
  <si>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</si>
  <si>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</si>
  <si>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</si>
  <si>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</si>
  <si>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</si>
  <si>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</si>
  <si>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</si>
  <si>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</si>
  <si>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</si>
  <si>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</si>
  <si>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</si>
  <si>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</si>
  <si>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</si>
  <si>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</si>
  <si>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</si>
  <si>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</si>
  <si>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</si>
  <si>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</si>
  <si>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</si>
  <si>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</si>
  <si>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</si>
  <si>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</si>
  <si>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</si>
  <si>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</si>
  <si>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</si>
  <si>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</si>
  <si>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</si>
  <si>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</si>
  <si>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</si>
  <si>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</si>
  <si>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</si>
  <si>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</si>
  <si>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</si>
  <si>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</si>
  <si>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</si>
  <si>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</si>
  <si>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</si>
  <si>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</si>
  <si>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</si>
  <si>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</si>
  <si>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</si>
  <si>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</si>
  <si>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</si>
  <si>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</si>
  <si>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</si>
  <si>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</si>
  <si>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</si>
  <si>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</si>
  <si>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</si>
  <si>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</si>
  <si>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</si>
  <si>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</si>
  <si>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</si>
  <si>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</si>
  <si>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</si>
  <si>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</si>
  <si>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</si>
  <si>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</si>
  <si>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</si>
  <si>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</si>
  <si>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</si>
  <si>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</si>
  <si>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</si>
  <si>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</si>
  <si>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</si>
  <si>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</si>
  <si>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</si>
  <si>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</si>
  <si>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</si>
  <si>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</si>
  <si>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</si>
  <si>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</si>
  <si>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</si>
  <si>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</si>
  <si>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</si>
  <si>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</si>
  <si>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</si>
  <si>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</si>
  <si>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</si>
  <si>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</si>
  <si>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</si>
  <si>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</si>
  <si>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</si>
  <si>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</si>
  <si>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</si>
  <si>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</si>
  <si>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</si>
  <si>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</si>
  <si>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</si>
  <si>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</si>
  <si>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</si>
  <si>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</si>
  <si>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</si>
  <si>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</si>
  <si>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</si>
  <si>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</si>
  <si>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</si>
  <si>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</si>
  <si>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</si>
  <si>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</si>
  <si>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</si>
  <si>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</si>
  <si>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</si>
  <si>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</si>
  <si>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</si>
  <si>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</si>
  <si>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</si>
  <si>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</si>
  <si>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</si>
  <si>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</si>
  <si>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</si>
  <si>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</si>
  <si>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</si>
  <si>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</si>
  <si>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</si>
  <si>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</si>
  <si>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</si>
  <si>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</si>
  <si>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</si>
  <si>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</si>
  <si>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</si>
  <si>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</si>
  <si>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</si>
  <si>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</si>
  <si>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</si>
  <si>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</si>
  <si>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</si>
  <si>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</si>
  <si>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</si>
  <si>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</si>
  <si>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</si>
  <si>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</si>
  <si>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</si>
  <si>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</si>
  <si>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</si>
  <si>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</si>
  <si>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</si>
  <si>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</si>
  <si>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</si>
  <si>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</si>
  <si>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</si>
  <si>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</si>
  <si>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</si>
  <si>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</si>
  <si>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</si>
  <si>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</si>
  <si>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</si>
  <si>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</si>
  <si>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</si>
  <si>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</si>
  <si>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</si>
  <si>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</si>
  <si>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</si>
  <si>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</si>
  <si>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</si>
  <si>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</si>
  <si>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</si>
  <si>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</si>
  <si>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</si>
  <si>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</si>
  <si>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</si>
  <si>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</si>
  <si>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</si>
  <si>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</si>
  <si>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</si>
  <si>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</si>
  <si>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</si>
  <si>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</si>
  <si>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</si>
  <si>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</si>
  <si>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</si>
  <si>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</si>
  <si>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</si>
  <si>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</si>
  <si>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</si>
  <si>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</si>
  <si>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</si>
  <si>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</si>
  <si>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</si>
  <si>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</si>
  <si>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</si>
  <si>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</si>
  <si>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</si>
  <si>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</si>
  <si>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</si>
  <si>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</si>
  <si>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</si>
  <si>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</si>
  <si>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</si>
  <si>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</si>
  <si>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</si>
  <si>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</si>
  <si>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</si>
  <si>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</si>
  <si>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</si>
  <si>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</si>
  <si>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</si>
  <si>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</si>
  <si>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</si>
  <si>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</si>
  <si>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</si>
  <si>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</si>
  <si>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</si>
  <si>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</si>
  <si>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</si>
  <si>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</si>
  <si>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</si>
  <si>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</si>
  <si>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</si>
  <si>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</si>
  <si>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</si>
  <si>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</si>
  <si>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</si>
  <si>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</si>
  <si>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</si>
  <si>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</si>
  <si>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</si>
  <si>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</si>
  <si>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</si>
  <si>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</si>
  <si>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</si>
  <si>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</si>
  <si>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</si>
  <si>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</si>
  <si>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</si>
  <si>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</si>
  <si>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</si>
  <si>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</si>
  <si>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</si>
  <si>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</si>
  <si>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</si>
  <si>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</si>
  <si>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</si>
  <si>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</si>
  <si>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</si>
  <si>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</si>
  <si>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</si>
  <si>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</si>
  <si>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</si>
  <si>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</si>
  <si>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</si>
  <si>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</si>
  <si>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</si>
  <si>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</si>
  <si>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</si>
  <si>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</si>
  <si>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</si>
  <si>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</si>
  <si>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</si>
  <si>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</si>
  <si>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</si>
  <si>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</si>
  <si>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</si>
  <si>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</si>
  <si>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</si>
  <si>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</si>
  <si>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</si>
  <si>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</si>
  <si>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</si>
  <si>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</si>
  <si>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</si>
  <si>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</si>
  <si>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</si>
  <si>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</si>
  <si>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</si>
  <si>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</si>
  <si>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</si>
  <si>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</si>
  <si>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</si>
  <si>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</si>
  <si>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</si>
  <si>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</si>
  <si>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</si>
  <si>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</si>
  <si>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</si>
  <si>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</si>
  <si>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</si>
  <si>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</si>
  <si>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</si>
  <si>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</si>
  <si>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</si>
  <si>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</si>
  <si>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</si>
  <si>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</si>
  <si>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</si>
  <si>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</si>
  <si>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</si>
  <si>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</si>
  <si>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</si>
  <si>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</si>
  <si>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</si>
  <si>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</si>
  <si>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</si>
  <si>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</si>
  <si>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</si>
  <si>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</si>
  <si>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</si>
  <si>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</si>
  <si>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</si>
  <si>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</si>
  <si>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</si>
  <si>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</si>
  <si>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</si>
  <si>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</si>
  <si>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</si>
  <si>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</si>
  <si>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</si>
  <si>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</si>
  <si>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</si>
  <si>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</si>
  <si>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</si>
  <si>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</si>
  <si>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</si>
  <si>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</si>
  <si>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</si>
  <si>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</si>
  <si>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</si>
  <si>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</si>
  <si>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</si>
  <si>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</si>
  <si>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</si>
  <si>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</si>
  <si>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</si>
  <si>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</si>
  <si>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</si>
  <si>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</si>
  <si>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</si>
  <si>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</si>
  <si>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</si>
  <si>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</si>
  <si>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</si>
  <si>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</si>
  <si>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</si>
  <si>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</si>
  <si>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</si>
  <si>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</si>
  <si>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</si>
  <si>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</si>
  <si>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</si>
  <si>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</si>
  <si>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</si>
  <si>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</si>
  <si>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</si>
  <si>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</si>
  <si>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</si>
  <si>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</si>
  <si>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</si>
  <si>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</si>
  <si>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</si>
  <si>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</si>
  <si>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</si>
  <si>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</si>
  <si>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</si>
  <si>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</si>
  <si>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</si>
  <si>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</si>
  <si>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</si>
  <si>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</si>
  <si>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</si>
  <si>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</si>
  <si>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</si>
  <si>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</si>
  <si>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</si>
  <si>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</si>
  <si>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</si>
  <si>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</si>
  <si>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</si>
  <si>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</si>
  <si>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</si>
  <si>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</si>
  <si>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</si>
  <si>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</si>
  <si>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</si>
  <si>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</si>
  <si>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</si>
  <si>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</si>
  <si>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</si>
  <si>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</si>
  <si>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</si>
  <si>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</si>
  <si>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</si>
  <si>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</si>
  <si>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</si>
  <si>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</si>
  <si>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</si>
  <si>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</si>
  <si>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</si>
  <si>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</si>
  <si>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</si>
  <si>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</si>
  <si>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</si>
  <si>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</si>
  <si>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</si>
  <si>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</si>
  <si>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</si>
  <si>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</si>
  <si>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</si>
  <si>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</si>
  <si>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</si>
  <si>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</si>
  <si>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</si>
  <si>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</si>
  <si>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</si>
  <si>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</si>
  <si>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</si>
  <si>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</si>
  <si>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</si>
  <si>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</si>
  <si>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</si>
  <si>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</si>
  <si>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</si>
  <si>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</si>
  <si>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</si>
  <si>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</si>
  <si>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</si>
  <si>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</si>
  <si>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</si>
  <si>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</si>
  <si>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</si>
  <si>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</si>
  <si>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</si>
  <si>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</si>
  <si>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</si>
  <si>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</si>
  <si>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</si>
  <si>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</si>
  <si>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</si>
  <si>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</si>
  <si>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</si>
  <si>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</si>
  <si>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</si>
  <si>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</si>
  <si>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</si>
  <si>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</si>
  <si>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</si>
  <si>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</si>
  <si>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</si>
  <si>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</si>
  <si>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</si>
  <si>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</si>
  <si>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</si>
  <si>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</si>
  <si>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</si>
  <si>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</si>
  <si>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</si>
  <si>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</si>
  <si>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</si>
  <si>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</si>
  <si>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</si>
  <si>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</si>
  <si>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</si>
  <si>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</si>
  <si>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</si>
  <si>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</si>
  <si>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</si>
  <si>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</si>
  <si>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</si>
  <si>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</si>
  <si>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</si>
  <si>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</si>
  <si>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</si>
  <si>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</si>
  <si>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</si>
  <si>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</si>
  <si>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</si>
  <si>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</si>
  <si>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</si>
  <si>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</si>
  <si>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</si>
  <si>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</si>
  <si>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</si>
  <si>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</si>
  <si>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</si>
  <si>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</si>
  <si>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</si>
  <si>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</si>
  <si>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</si>
  <si>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</si>
  <si>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</si>
  <si>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</si>
  <si>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</si>
  <si>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</si>
  <si>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</si>
  <si>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</si>
  <si>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</si>
  <si>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</si>
  <si>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</si>
  <si>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</si>
  <si>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</si>
  <si>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</si>
  <si>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</si>
  <si>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</si>
  <si>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</si>
  <si>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</si>
  <si>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</si>
  <si>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</si>
  <si>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</si>
  <si>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</si>
  <si>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</si>
  <si>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</si>
  <si>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</si>
  <si>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</si>
  <si>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</si>
  <si>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</si>
  <si>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</si>
  <si>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</si>
  <si>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</si>
  <si>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</si>
  <si>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</si>
  <si>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</si>
  <si>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</si>
  <si>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</si>
  <si>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</si>
  <si>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</si>
  <si>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</si>
  <si>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</si>
  <si>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</si>
  <si>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</si>
  <si>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</si>
  <si>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</si>
  <si>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</si>
  <si>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</si>
  <si>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</si>
  <si>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</si>
  <si>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</si>
  <si>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</si>
  <si>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</si>
  <si>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</si>
  <si>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</si>
  <si>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</si>
  <si>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</si>
  <si>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</si>
  <si>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</si>
  <si>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</si>
  <si>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</si>
  <si>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</si>
  <si>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</si>
  <si>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</si>
  <si>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</si>
  <si>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</si>
  <si>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</si>
  <si>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</si>
  <si>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</si>
  <si>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</si>
  <si>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</si>
  <si>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</si>
  <si>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</si>
  <si>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</si>
  <si>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</si>
  <si>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</si>
  <si>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</si>
  <si>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</si>
  <si>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</si>
  <si>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</si>
  <si>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</si>
  <si>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</si>
  <si>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</si>
  <si>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</si>
  <si>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</si>
  <si>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</si>
  <si>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</si>
  <si>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</si>
  <si>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</si>
  <si>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</si>
  <si>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</si>
  <si>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</si>
  <si>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</si>
  <si>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</si>
  <si>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</si>
  <si>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</si>
  <si>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</si>
  <si>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</si>
  <si>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</si>
  <si>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</si>
  <si>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</si>
  <si>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</si>
  <si>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</si>
  <si>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</si>
  <si>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</si>
  <si>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</si>
  <si>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</si>
  <si>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</si>
  <si>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</si>
  <si>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</si>
  <si>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</si>
  <si>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</si>
  <si>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</si>
  <si>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</si>
  <si>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</si>
  <si>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</si>
  <si>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</si>
  <si>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</si>
  <si>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</si>
  <si>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</si>
  <si>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</si>
  <si>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</si>
  <si>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</si>
  <si>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</si>
  <si>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</si>
  <si>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</si>
  <si>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</si>
  <si>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</si>
  <si>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</si>
  <si>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</si>
  <si>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</si>
  <si>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</si>
  <si>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</si>
  <si>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</si>
  <si>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</si>
  <si>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</si>
  <si>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</si>
  <si>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</si>
  <si>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</si>
  <si>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</si>
  <si>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</si>
  <si>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</si>
  <si>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</si>
  <si>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</si>
  <si>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</si>
  <si>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</si>
  <si>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</si>
  <si>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</si>
  <si>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</si>
  <si>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</si>
  <si>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</si>
  <si>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</si>
  <si>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</si>
  <si>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</si>
  <si>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</si>
  <si>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</si>
  <si>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</si>
  <si>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</si>
  <si>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</si>
  <si>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</si>
  <si>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</si>
  <si>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</si>
  <si>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</si>
  <si>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</si>
  <si>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</si>
  <si>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</si>
  <si>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</si>
  <si>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</si>
  <si>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</si>
  <si>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</si>
  <si>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</si>
  <si>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</si>
  <si>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</si>
  <si>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</si>
  <si>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</si>
  <si>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</si>
  <si>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</si>
  <si>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</si>
  <si>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</si>
  <si>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</si>
  <si>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</si>
  <si>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</si>
  <si>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</si>
  <si>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</si>
  <si>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</si>
  <si>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</si>
  <si>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</si>
  <si>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</si>
  <si>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</si>
  <si>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</si>
  <si>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</si>
  <si>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</si>
  <si>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</si>
  <si>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</si>
  <si>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</si>
  <si>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</si>
  <si>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</si>
  <si>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</si>
  <si>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</si>
  <si>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</si>
  <si>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</si>
  <si>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</si>
  <si>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</si>
  <si>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</si>
  <si>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</si>
  <si>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</si>
  <si>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</si>
  <si>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</si>
  <si>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</si>
  <si>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</si>
  <si>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</si>
  <si>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</si>
  <si>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</si>
  <si>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</si>
  <si>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</si>
  <si>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</si>
  <si>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</si>
  <si>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</si>
  <si>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</si>
  <si>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</si>
  <si>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</si>
  <si>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</si>
  <si>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</si>
  <si>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</si>
  <si>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</si>
  <si>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</si>
  <si>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</si>
  <si>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</si>
  <si>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</si>
  <si>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</si>
  <si>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</si>
  <si>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</si>
  <si>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</si>
  <si>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</si>
  <si>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</si>
  <si>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</si>
  <si>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</si>
  <si>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</si>
  <si>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</si>
  <si>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</si>
  <si>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</si>
  <si>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</si>
  <si>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</si>
  <si>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</si>
  <si>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</si>
  <si>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</si>
  <si>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</si>
  <si>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</si>
  <si>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</si>
  <si>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</si>
  <si>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</si>
  <si>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</si>
  <si>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</si>
  <si>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</si>
  <si>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</si>
  <si>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</si>
  <si>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</si>
  <si>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</si>
  <si>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</si>
  <si>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</si>
  <si>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</si>
  <si>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</si>
  <si>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</si>
  <si>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</si>
  <si>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</si>
  <si>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</si>
  <si>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</si>
  <si>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</si>
  <si>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</si>
  <si>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</si>
  <si>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</si>
  <si>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</si>
  <si>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</si>
  <si>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</si>
  <si>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</si>
  <si>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</si>
  <si>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</si>
  <si>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</si>
  <si>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</si>
  <si>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</si>
  <si>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</si>
  <si>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</si>
  <si>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</si>
  <si>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</si>
  <si>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</si>
  <si>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</si>
  <si>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</si>
  <si>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</si>
  <si>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</si>
  <si>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</si>
  <si>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</si>
  <si>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</si>
  <si>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</si>
  <si>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</si>
  <si>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</si>
  <si>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</si>
  <si>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</si>
  <si>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</si>
  <si>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</si>
  <si>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</si>
  <si>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</si>
  <si>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</si>
  <si>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</si>
  <si>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</si>
  <si>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</si>
  <si>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</si>
  <si>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</si>
  <si>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</si>
  <si>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</si>
  <si>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</si>
  <si>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</si>
  <si>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</si>
  <si>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</si>
  <si>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</si>
  <si>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</si>
  <si>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</si>
  <si>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</si>
  <si>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</si>
  <si>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</si>
  <si>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</si>
  <si>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</si>
  <si>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</si>
  <si>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</si>
  <si>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</si>
  <si>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</si>
  <si>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</si>
  <si>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</si>
  <si>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</si>
  <si>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</si>
  <si>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</si>
  <si>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</si>
  <si>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</si>
  <si>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</si>
  <si>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</si>
  <si>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</si>
  <si>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</si>
  <si>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</si>
  <si>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</si>
  <si>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</si>
  <si>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</si>
  <si>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</si>
  <si>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</si>
  <si>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</si>
  <si>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</si>
  <si>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</si>
  <si>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</si>
  <si>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</si>
  <si>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</si>
  <si>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</si>
  <si>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</si>
  <si>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</si>
  <si>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</si>
  <si>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</si>
  <si>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</si>
  <si>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</si>
  <si>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</si>
  <si>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</si>
  <si>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</si>
  <si>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</si>
  <si>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</si>
  <si>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</si>
  <si>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</si>
  <si>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</si>
  <si>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</si>
  <si>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</si>
  <si>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</si>
  <si>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</si>
  <si>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</si>
  <si>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</si>
  <si>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</si>
  <si>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</si>
  <si>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</si>
  <si>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</si>
  <si>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</si>
  <si>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</si>
  <si>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</si>
  <si>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</si>
  <si>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</si>
  <si>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</si>
  <si>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</si>
  <si>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</si>
  <si>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</si>
  <si>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</si>
  <si>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</si>
  <si>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</si>
  <si>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</si>
  <si>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</si>
  <si>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</si>
  <si>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</si>
  <si>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</si>
  <si>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</si>
  <si>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</si>
  <si>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</si>
  <si>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</si>
  <si>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</si>
  <si>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</si>
  <si>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</si>
  <si>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</si>
  <si>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</si>
  <si>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</si>
  <si>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</si>
  <si>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</si>
  <si>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</si>
  <si>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</si>
  <si>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</si>
  <si>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</si>
  <si>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</si>
  <si>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</si>
  <si>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</si>
  <si>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</si>
  <si>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</si>
  <si>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</si>
  <si>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</si>
  <si>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</si>
  <si>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</si>
  <si>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</si>
  <si>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</si>
  <si>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</si>
  <si>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</si>
  <si>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</si>
  <si>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</si>
  <si>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</si>
  <si>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</si>
  <si>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</si>
  <si>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</si>
  <si>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</si>
  <si>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</si>
  <si>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</si>
  <si>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</si>
  <si>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</si>
  <si>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</si>
  <si>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</si>
  <si>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</si>
  <si>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</si>
  <si>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</si>
  <si>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</si>
  <si>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</si>
  <si>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</si>
  <si>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</si>
  <si>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</si>
  <si>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</si>
  <si>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</si>
  <si>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</si>
  <si>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</si>
  <si>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</si>
  <si>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</si>
  <si>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</si>
  <si>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</si>
  <si>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</si>
  <si>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</si>
  <si>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</si>
  <si>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</si>
  <si>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</si>
  <si>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</si>
  <si>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</si>
  <si>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</si>
  <si>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</si>
  <si>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</si>
  <si>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</si>
  <si>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</si>
  <si>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</si>
  <si>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</si>
  <si>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</si>
  <si>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</si>
  <si>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</si>
  <si>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</si>
  <si>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</si>
  <si>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</si>
  <si>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</si>
  <si>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</si>
  <si>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</si>
  <si>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</si>
  <si>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</si>
  <si>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</si>
  <si>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</si>
  <si>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</si>
  <si>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</si>
  <si>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</si>
  <si>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</si>
  <si>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</si>
  <si>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</si>
  <si>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</si>
  <si>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</si>
  <si>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</si>
  <si>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</si>
  <si>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</si>
  <si>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</si>
  <si>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</si>
  <si>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</si>
  <si>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</si>
  <si>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</si>
  <si>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</si>
  <si>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</si>
  <si>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</si>
  <si>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</si>
  <si>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</si>
  <si>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</si>
  <si>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</si>
  <si>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</si>
  <si>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</si>
  <si>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</si>
  <si>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</si>
  <si>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</si>
  <si>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</si>
  <si>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</si>
  <si>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</si>
  <si>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</si>
  <si>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</si>
  <si>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</si>
  <si>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</si>
  <si>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</si>
  <si>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</si>
  <si>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</si>
  <si>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</si>
  <si>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</si>
  <si>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</si>
  <si>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</si>
  <si>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</si>
  <si>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</si>
  <si>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</si>
  <si>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</si>
  <si>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</si>
  <si>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</si>
  <si>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</si>
  <si>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</si>
  <si>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</si>
  <si>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</si>
  <si>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</si>
  <si>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</si>
  <si>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</si>
  <si>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</si>
  <si>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</si>
  <si>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</si>
  <si>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</si>
  <si>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</si>
  <si>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</si>
  <si>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</si>
  <si>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</si>
  <si>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</si>
  <si>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</si>
  <si>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</si>
  <si>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</si>
  <si>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</si>
  <si>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</si>
  <si>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</si>
  <si>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</si>
  <si>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</si>
  <si>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</si>
  <si>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</si>
  <si>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</si>
  <si>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</si>
  <si>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</si>
  <si>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</si>
  <si>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</si>
  <si>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</si>
  <si>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</si>
  <si>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</si>
  <si>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</si>
  <si>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</si>
  <si>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</si>
  <si>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</si>
  <si>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</si>
  <si>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</si>
  <si>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</si>
  <si>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</si>
  <si>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</si>
  <si>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</si>
  <si>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</si>
  <si>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</si>
  <si>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</si>
  <si>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</si>
  <si>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</si>
  <si>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</si>
  <si>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</si>
  <si>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</si>
  <si>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</si>
  <si>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</si>
  <si>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</si>
  <si>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</si>
  <si>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</si>
  <si>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</si>
  <si>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</si>
  <si>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</si>
  <si>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</si>
  <si>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</si>
  <si>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</si>
  <si>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</si>
  <si>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</si>
  <si>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</si>
  <si>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</si>
  <si>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</si>
  <si>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</si>
  <si>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</si>
  <si>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</si>
  <si>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</si>
  <si>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</si>
  <si>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</si>
  <si>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</si>
  <si>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</si>
  <si>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</si>
  <si>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</si>
  <si>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</si>
  <si>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</si>
  <si>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</si>
  <si>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</si>
  <si>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</si>
  <si>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</si>
  <si>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</si>
  <si>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</si>
  <si>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</si>
  <si>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</si>
  <si>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</si>
  <si>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</si>
  <si>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</si>
  <si>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</si>
  <si>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</si>
  <si>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</si>
  <si>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</si>
  <si>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</si>
  <si>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</si>
  <si>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</si>
  <si>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</si>
  <si>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</si>
  <si>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</si>
  <si>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</si>
  <si>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</si>
  <si>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</si>
  <si>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</si>
  <si>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</si>
  <si>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</si>
  <si>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</si>
  <si>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</si>
  <si>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</si>
  <si>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</si>
  <si>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</si>
  <si>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</si>
  <si>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</si>
  <si>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</si>
  <si>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</si>
  <si>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</si>
  <si>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</si>
  <si>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</si>
  <si>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</si>
  <si>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</si>
  <si>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</si>
  <si>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</si>
  <si>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</si>
  <si>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</si>
  <si>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</si>
  <si>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</si>
  <si>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</si>
  <si>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</si>
  <si>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</si>
  <si>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</si>
  <si>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</si>
  <si>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</si>
  <si>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</si>
  <si>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</si>
  <si>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</si>
  <si>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</si>
  <si>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</si>
  <si>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</si>
  <si>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</si>
  <si>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</si>
  <si>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</si>
  <si>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</si>
  <si>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</si>
  <si>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</si>
  <si>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</si>
  <si>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</si>
  <si>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</si>
  <si>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</si>
  <si>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</si>
  <si>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</si>
  <si>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</si>
  <si>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</si>
  <si>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</si>
  <si>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</si>
  <si>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</si>
  <si>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</si>
  <si>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</si>
  <si>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</si>
  <si>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</si>
  <si>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</si>
  <si>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</si>
  <si>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</si>
  <si>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</si>
  <si>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</si>
  <si>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</si>
  <si>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</si>
  <si>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</si>
  <si>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</si>
  <si>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</si>
  <si>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</si>
  <si>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</si>
  <si>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</si>
  <si>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</si>
  <si>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</si>
  <si>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</si>
  <si>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</si>
  <si>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</si>
  <si>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</si>
  <si>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</si>
  <si>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</si>
  <si>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</si>
  <si>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</si>
  <si>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</si>
  <si>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</si>
  <si>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</si>
  <si>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</si>
  <si>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</si>
  <si>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</si>
  <si>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</si>
  <si>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</si>
  <si>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</si>
  <si>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</si>
  <si>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</si>
  <si>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</si>
  <si>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</si>
  <si>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</si>
  <si>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</si>
  <si>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</si>
  <si>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</si>
  <si>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</si>
  <si>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</si>
  <si>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</si>
  <si>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</si>
  <si>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</si>
  <si>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</si>
  <si>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</si>
  <si>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</si>
  <si>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</si>
  <si>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</si>
  <si>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</si>
  <si>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</si>
  <si>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</si>
  <si>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</si>
  <si>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</si>
  <si>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</si>
  <si>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</si>
  <si>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</si>
  <si>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</si>
  <si>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</si>
  <si>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</si>
  <si>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</si>
  <si>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</si>
  <si>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</si>
  <si>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</si>
  <si>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</si>
  <si>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</si>
  <si>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</si>
  <si>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</si>
  <si>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</si>
  <si>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</si>
  <si>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</si>
  <si>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</si>
  <si>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</si>
  <si>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</si>
  <si>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</si>
  <si>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</si>
  <si>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</si>
  <si>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</si>
  <si>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</si>
  <si>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</si>
  <si>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</si>
  <si>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</si>
  <si>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</si>
  <si>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</si>
  <si>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</si>
  <si>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</si>
  <si>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</si>
  <si>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</si>
  <si>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</si>
  <si>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</si>
  <si>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</si>
  <si>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</si>
  <si>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</si>
  <si>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</si>
  <si>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</si>
  <si>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</si>
  <si>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</si>
  <si>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</si>
  <si>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</si>
  <si>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</si>
  <si>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</si>
  <si>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</si>
  <si>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</si>
  <si>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</si>
  <si>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</si>
  <si>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</si>
  <si>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</si>
  <si>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</si>
  <si>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</si>
  <si>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</si>
  <si>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</si>
  <si>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</si>
  <si>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</si>
  <si>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</si>
  <si>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</si>
  <si>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</si>
  <si>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</si>
  <si>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</si>
  <si>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</si>
  <si>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</si>
  <si>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</si>
  <si>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</si>
  <si>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</si>
  <si>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</si>
  <si>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</si>
  <si>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</si>
  <si>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</si>
  <si>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</si>
  <si>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</si>
  <si>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</si>
  <si>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</si>
  <si>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</si>
  <si>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</si>
  <si>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</si>
  <si>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</si>
  <si>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</si>
  <si>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</si>
  <si>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</si>
  <si>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</si>
  <si>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</si>
  <si>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</si>
  <si>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</si>
  <si>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</si>
  <si>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</si>
  <si>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</si>
  <si>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</si>
  <si>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</si>
  <si>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</si>
  <si>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</si>
  <si>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</si>
  <si>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</si>
  <si>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</si>
  <si>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</si>
  <si>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</si>
  <si>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</si>
  <si>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</si>
  <si>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</si>
  <si>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</si>
  <si>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</si>
  <si>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</si>
  <si>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</si>
  <si>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</si>
  <si>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</si>
  <si>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</si>
  <si>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</si>
  <si>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</si>
  <si>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</si>
  <si>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</si>
  <si>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</si>
  <si>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</si>
  <si>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</si>
  <si>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</si>
  <si>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</si>
  <si>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</si>
  <si>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</si>
  <si>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</si>
  <si>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</si>
  <si>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</si>
  <si>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</si>
  <si>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</si>
  <si>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</si>
  <si>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</si>
  <si>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</si>
  <si>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</si>
  <si>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</si>
  <si>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</si>
  <si>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</si>
  <si>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</si>
  <si>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</si>
  <si>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</si>
  <si>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</si>
  <si>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</si>
  <si>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</si>
  <si>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</si>
  <si>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</si>
  <si>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</si>
  <si>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</si>
  <si>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</si>
  <si>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</si>
  <si>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</si>
  <si>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</si>
  <si>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</si>
  <si>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</si>
  <si>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</si>
  <si>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</si>
  <si>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</si>
  <si>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</si>
  <si>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</si>
  <si>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</si>
  <si>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</si>
  <si>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</si>
  <si>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</si>
  <si>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</si>
  <si>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</si>
  <si>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</si>
  <si>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</si>
  <si>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</si>
  <si>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</si>
  <si>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</si>
  <si>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</si>
  <si>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</si>
  <si>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</si>
  <si>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</si>
  <si>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</si>
  <si>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</si>
  <si>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</si>
  <si>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</si>
  <si>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</si>
  <si>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</si>
  <si>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</si>
  <si>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</si>
  <si>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</si>
  <si>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</si>
  <si>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</si>
  <si>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</si>
  <si>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</si>
  <si>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</si>
  <si>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</si>
  <si>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</si>
  <si>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</si>
  <si>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</si>
  <si>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</si>
  <si>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</si>
  <si>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</si>
  <si>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</si>
  <si>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</si>
  <si>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</si>
  <si>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</si>
  <si>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</si>
  <si>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</si>
  <si>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</si>
  <si>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</si>
  <si>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</si>
  <si>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</si>
  <si>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</si>
  <si>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</si>
  <si>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</si>
  <si>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</si>
  <si>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</si>
  <si>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</si>
  <si>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</si>
  <si>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</si>
  <si>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</si>
  <si>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</si>
  <si>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</si>
  <si>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</si>
  <si>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</si>
  <si>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</si>
  <si>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</si>
  <si>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</si>
  <si>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</si>
  <si>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</si>
  <si>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</si>
  <si>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</si>
  <si>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</si>
  <si>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</si>
  <si>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</si>
  <si>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</si>
  <si>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</si>
  <si>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</si>
  <si>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</si>
  <si>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</si>
  <si>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</si>
  <si>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</si>
  <si>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</si>
  <si>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</si>
  <si>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</si>
  <si>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</si>
  <si>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</si>
  <si>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</si>
  <si>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</si>
  <si>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</si>
  <si>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</si>
  <si>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</si>
  <si>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</si>
  <si>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</si>
  <si>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</si>
  <si>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</si>
  <si>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</si>
  <si>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</si>
  <si>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</si>
  <si>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</si>
  <si>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</si>
  <si>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</si>
  <si>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</si>
  <si>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</si>
  <si>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</si>
  <si>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</si>
  <si>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</si>
  <si>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</si>
  <si>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</si>
  <si>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</si>
  <si>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</si>
  <si>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</si>
  <si>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</si>
  <si>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</si>
  <si>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</si>
  <si>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</si>
  <si>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</si>
  <si>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</si>
  <si>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</si>
  <si>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</si>
  <si>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</si>
  <si>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</si>
  <si>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</si>
  <si>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</si>
  <si>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</si>
  <si>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</si>
  <si>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</si>
  <si>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</si>
  <si>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</si>
  <si>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</si>
  <si>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</si>
  <si>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</si>
  <si>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</si>
  <si>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</si>
  <si>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</si>
  <si>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</si>
  <si>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</si>
  <si>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</si>
  <si>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</si>
  <si>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</si>
  <si>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</si>
  <si>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</si>
  <si>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</si>
  <si>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</si>
  <si>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</si>
  <si>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</si>
  <si>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</si>
  <si>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</si>
  <si>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</si>
  <si>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</si>
  <si>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</si>
  <si>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</si>
  <si>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</si>
  <si>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</si>
  <si>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</si>
  <si>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</si>
  <si>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</si>
  <si>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</si>
  <si>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</si>
  <si>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</si>
  <si>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</si>
  <si>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</si>
  <si>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</si>
  <si>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</si>
  <si>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</si>
  <si>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</si>
  <si>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</si>
  <si>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</si>
  <si>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</si>
  <si>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</si>
  <si>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</si>
  <si>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</si>
  <si>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</si>
  <si>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</si>
  <si>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</si>
  <si>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</si>
  <si>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</si>
  <si>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</si>
  <si>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</si>
  <si>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</si>
  <si>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</si>
  <si>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</si>
  <si>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</si>
  <si>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</si>
  <si>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</si>
  <si>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</si>
  <si>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</si>
  <si>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</si>
  <si>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</si>
  <si>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</si>
  <si>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</si>
  <si>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</si>
  <si>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</si>
  <si>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</si>
  <si>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</si>
  <si>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</si>
  <si>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</si>
  <si>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</si>
  <si>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</si>
  <si>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</si>
  <si>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</si>
  <si>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</si>
  <si>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</si>
  <si>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</si>
  <si>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</si>
  <si>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</si>
  <si>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</si>
  <si>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</si>
  <si>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</si>
  <si>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</si>
  <si>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</si>
  <si>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</si>
  <si>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</si>
  <si>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</si>
  <si>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</si>
  <si>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</si>
  <si>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</si>
  <si>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</si>
  <si>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</si>
  <si>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</si>
  <si>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</si>
  <si>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</si>
  <si>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</si>
  <si>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</si>
  <si>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</si>
  <si>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</si>
  <si>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</si>
  <si>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</si>
  <si>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</si>
  <si>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</si>
  <si>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</si>
  <si>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</si>
  <si>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</si>
  <si>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</si>
  <si>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</si>
  <si>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</si>
  <si>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</si>
  <si>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</si>
  <si>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</si>
  <si>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</si>
  <si>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</si>
  <si>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</si>
  <si>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</si>
  <si>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</si>
  <si>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</si>
  <si>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</si>
  <si>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</si>
  <si>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</si>
  <si>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</si>
  <si>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</si>
  <si>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</si>
  <si>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</si>
  <si>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</si>
  <si>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</si>
  <si>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</si>
  <si>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</si>
  <si>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</si>
  <si>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</si>
  <si>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</si>
  <si>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</si>
  <si>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</si>
  <si>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</si>
  <si>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</si>
  <si>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</si>
  <si>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</si>
  <si>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</si>
  <si>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</si>
  <si>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</si>
  <si>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</si>
  <si>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</si>
  <si>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</si>
  <si>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</si>
  <si>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</si>
  <si>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</si>
  <si>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</si>
  <si>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</si>
  <si>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</si>
  <si>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</si>
  <si>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</si>
  <si>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</si>
  <si>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</si>
  <si>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</si>
  <si>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</si>
  <si>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</si>
  <si>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</si>
  <si>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</si>
  <si>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</si>
  <si>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</si>
  <si>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</si>
  <si>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</si>
  <si>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</si>
  <si>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</si>
  <si>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</si>
  <si>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</si>
  <si>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</si>
  <si>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</si>
  <si>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</si>
  <si>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</si>
  <si>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</si>
  <si>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</si>
  <si>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</si>
  <si>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</si>
  <si>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</si>
  <si>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</si>
  <si>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</si>
  <si>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</si>
  <si>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</si>
  <si>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</si>
  <si>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</si>
  <si>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</si>
  <si>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</si>
  <si>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</si>
  <si>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</si>
  <si>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</si>
  <si>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</si>
  <si>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</si>
  <si>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</si>
  <si>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</si>
  <si>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</si>
  <si>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</si>
  <si>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</si>
  <si>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</si>
  <si>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</si>
  <si>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</si>
  <si>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</si>
  <si>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</si>
  <si>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</si>
  <si>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</si>
  <si>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</si>
  <si>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</si>
  <si>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</si>
  <si>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</si>
  <si>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</si>
  <si>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</si>
  <si>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</si>
  <si>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</si>
  <si>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</si>
  <si>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</si>
  <si>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</si>
  <si>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</si>
  <si>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</si>
  <si>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</si>
  <si>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</si>
  <si>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</si>
  <si>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</si>
  <si>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</si>
  <si>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</si>
  <si>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</si>
  <si>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</si>
  <si>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</si>
  <si>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</si>
  <si>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</si>
  <si>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</si>
  <si>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</si>
  <si>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</si>
  <si>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</si>
  <si>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</si>
  <si>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</si>
  <si>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</si>
  <si>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</si>
  <si>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</si>
  <si>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</si>
  <si>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</si>
  <si>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</si>
  <si>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</si>
  <si>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</si>
  <si>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</si>
  <si>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</si>
  <si>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</si>
  <si>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</si>
  <si>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</si>
  <si>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</si>
  <si>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</si>
  <si>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</si>
  <si>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</si>
  <si>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</si>
  <si>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</si>
  <si>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</si>
  <si>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</si>
  <si>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</si>
  <si>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</si>
  <si>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</si>
  <si>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</si>
  <si>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</si>
  <si>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</si>
  <si>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</si>
  <si>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</si>
  <si>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</si>
  <si>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</si>
  <si>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</si>
  <si>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</si>
  <si>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</si>
  <si>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</si>
  <si>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</si>
  <si>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</si>
  <si>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</si>
  <si>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</si>
  <si>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</si>
  <si>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</si>
  <si>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</si>
  <si>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</si>
  <si>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</si>
  <si>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</si>
  <si>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</si>
  <si>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</si>
  <si>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</si>
  <si>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</si>
  <si>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</si>
  <si>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</si>
  <si>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</si>
  <si>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</si>
  <si>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</si>
  <si>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</si>
  <si>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</si>
  <si>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</si>
  <si>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</si>
  <si>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</si>
  <si>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</si>
  <si>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</si>
  <si>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</si>
  <si>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</si>
  <si>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</si>
  <si>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</si>
  <si>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</si>
  <si>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</si>
  <si>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</si>
  <si>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</si>
  <si>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</si>
  <si>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</si>
  <si>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</si>
  <si>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</si>
  <si>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</si>
  <si>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</si>
  <si>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</si>
  <si>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</si>
  <si>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</si>
  <si>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</si>
  <si>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</si>
  <si>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</si>
  <si>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</si>
  <si>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</si>
  <si>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</si>
  <si>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</si>
  <si>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</si>
  <si>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</si>
  <si>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</si>
  <si>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</si>
  <si>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</si>
  <si>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</si>
  <si>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</si>
  <si>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</si>
  <si>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</si>
  <si>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</si>
  <si>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</si>
  <si>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</si>
  <si>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</si>
  <si>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</si>
  <si>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</si>
  <si>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</si>
  <si>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</si>
  <si>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</si>
  <si>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</si>
  <si>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</si>
  <si>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</si>
  <si>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</si>
  <si>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</si>
  <si>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</si>
  <si>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</si>
  <si>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</si>
  <si>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</si>
  <si>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</si>
  <si>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</si>
  <si>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</si>
  <si>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</si>
  <si>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</si>
  <si>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</si>
  <si>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</si>
  <si>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</si>
  <si>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</si>
  <si>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</si>
  <si>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</si>
  <si>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</si>
  <si>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</si>
  <si>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</si>
  <si>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</si>
  <si>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</si>
  <si>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</si>
  <si>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</si>
  <si>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</si>
  <si>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</si>
  <si>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</si>
  <si>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</si>
  <si>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</si>
  <si>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</si>
  <si>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</si>
  <si>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</si>
  <si>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</si>
  <si>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</si>
  <si>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</si>
  <si>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</si>
  <si>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</si>
  <si>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</si>
  <si>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</si>
  <si>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</si>
  <si>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</si>
  <si>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</si>
  <si>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</si>
  <si>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</si>
  <si>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</si>
  <si>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</si>
  <si>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</si>
  <si>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</si>
  <si>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</si>
  <si>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</si>
  <si>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</si>
  <si>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</si>
  <si>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</si>
  <si>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</si>
  <si>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</si>
  <si>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</si>
  <si>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</si>
  <si>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</si>
  <si>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</si>
  <si>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</si>
  <si>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</si>
  <si>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</si>
  <si>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</si>
  <si>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</si>
  <si>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</si>
  <si>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</si>
  <si>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</si>
  <si>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</si>
  <si>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</si>
  <si>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</si>
  <si>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</si>
  <si>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</si>
  <si>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</si>
  <si>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</si>
  <si>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</si>
  <si>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</si>
  <si>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</si>
  <si>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</si>
  <si>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</si>
  <si>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</si>
  <si>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</si>
  <si>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</si>
  <si>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</si>
  <si>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</si>
  <si>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</si>
  <si>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</si>
  <si>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</si>
  <si>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</si>
  <si>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</si>
  <si>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</si>
  <si>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</si>
  <si>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</si>
  <si>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</si>
  <si>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</si>
  <si>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</si>
  <si>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</si>
  <si>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</si>
  <si>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</si>
  <si>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</si>
  <si>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</si>
  <si>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</si>
  <si>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</si>
  <si>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</si>
  <si>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</si>
  <si>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</si>
  <si>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</si>
  <si>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</si>
  <si>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</si>
  <si>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</si>
  <si>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</si>
  <si>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</si>
  <si>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</si>
  <si>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</si>
  <si>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</si>
  <si>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</si>
  <si>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</si>
  <si>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</si>
  <si>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</si>
  <si>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</si>
  <si>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</si>
  <si>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</si>
  <si>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</si>
  <si>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</si>
  <si>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</si>
  <si>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</si>
  <si>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</si>
  <si>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</si>
  <si>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</si>
  <si>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</si>
  <si>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</si>
  <si>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</si>
  <si>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</si>
  <si>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</si>
  <si>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</si>
  <si>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</si>
  <si>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</si>
  <si>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</si>
  <si>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</si>
  <si>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</si>
  <si>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</si>
  <si>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</si>
  <si>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</si>
  <si>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</si>
  <si>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</si>
  <si>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</si>
  <si>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</si>
  <si>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</si>
  <si>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</si>
  <si>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</si>
  <si>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</si>
  <si>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</si>
  <si>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</si>
  <si>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</si>
  <si>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</si>
  <si>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</si>
  <si>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</si>
  <si>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</si>
  <si>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</si>
  <si>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</si>
  <si>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</si>
  <si>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</si>
  <si>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</si>
  <si>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</si>
  <si>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</si>
  <si>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</si>
  <si>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</si>
  <si>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</si>
  <si>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</si>
  <si>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</si>
  <si>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</si>
  <si>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</si>
  <si>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</si>
  <si>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</si>
  <si>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</si>
  <si>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</si>
  <si>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</si>
  <si>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</si>
  <si>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</si>
  <si>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</si>
  <si>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</si>
  <si>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</si>
  <si>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</si>
  <si>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</si>
  <si>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</si>
  <si>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</si>
  <si>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</si>
  <si>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</si>
  <si>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</si>
  <si>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</si>
  <si>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</si>
  <si>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</si>
  <si>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</si>
  <si>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</si>
  <si>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</si>
  <si>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</si>
  <si>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</si>
  <si>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</si>
  <si>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</si>
  <si>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</si>
  <si>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</si>
  <si>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</si>
  <si>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</si>
  <si>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</si>
  <si>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</si>
  <si>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</si>
  <si>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</si>
  <si>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</si>
  <si>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</si>
  <si>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</si>
  <si>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</si>
  <si>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</si>
  <si>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</si>
  <si>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</si>
  <si>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</si>
  <si>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</si>
  <si>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</si>
  <si>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</si>
  <si>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</si>
  <si>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</si>
  <si>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</si>
  <si>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</si>
  <si>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</si>
  <si>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</si>
  <si>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</si>
  <si>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</si>
  <si>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</si>
  <si>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</si>
  <si>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</si>
  <si>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</si>
  <si>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</si>
  <si>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</si>
  <si>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</si>
  <si>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</si>
  <si>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</si>
  <si>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</si>
  <si>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</si>
  <si>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</si>
  <si>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</si>
  <si>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</si>
  <si>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</si>
  <si>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</si>
  <si>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</si>
  <si>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</si>
  <si>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</si>
  <si>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</si>
  <si>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</si>
  <si>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</si>
  <si>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</si>
  <si>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</si>
  <si>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</si>
  <si>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</si>
  <si>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</si>
  <si>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</si>
  <si>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</si>
  <si>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</si>
  <si>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</si>
  <si>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</si>
  <si>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</si>
  <si>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</si>
  <si>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</si>
  <si>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</si>
  <si>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</si>
  <si>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</si>
  <si>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</si>
  <si>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</si>
  <si>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</si>
  <si>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</si>
  <si>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</si>
  <si>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</si>
  <si>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</si>
  <si>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</si>
  <si>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</si>
  <si>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</si>
  <si>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</si>
  <si>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</si>
  <si>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</si>
  <si>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</si>
  <si>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</si>
  <si>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</si>
  <si>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</si>
  <si>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</si>
  <si>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</si>
  <si>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</si>
  <si>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</si>
  <si>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</si>
  <si>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</si>
  <si>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</si>
  <si>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</si>
  <si>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</si>
  <si>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</si>
  <si>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</si>
  <si>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</si>
  <si>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</si>
  <si>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</si>
  <si>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</si>
  <si>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</si>
  <si>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</si>
  <si>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</si>
  <si>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</si>
  <si>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</si>
  <si>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</si>
  <si>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</si>
  <si>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</si>
  <si>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</si>
  <si>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</si>
  <si>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</si>
  <si>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</si>
  <si>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</si>
  <si>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</si>
  <si>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</si>
  <si>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</si>
  <si>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</si>
  <si>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</si>
  <si>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</si>
  <si>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</si>
  <si>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</si>
  <si>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</si>
  <si>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</si>
  <si>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</si>
  <si>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</si>
  <si>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</si>
  <si>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</si>
  <si>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</si>
  <si>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</si>
  <si>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</si>
  <si>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</si>
  <si>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</si>
  <si>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</si>
  <si>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</si>
  <si>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</si>
  <si>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</si>
  <si>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</si>
  <si>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</si>
  <si>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</si>
  <si>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</si>
  <si>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</si>
  <si>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</si>
  <si>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</si>
  <si>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</si>
  <si>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</si>
  <si>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</si>
  <si>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</si>
  <si>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</si>
  <si>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</si>
  <si>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</si>
  <si>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</si>
  <si>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</si>
  <si>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</si>
  <si>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</si>
  <si>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</si>
  <si>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</si>
  <si>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</si>
  <si>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</si>
  <si>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</si>
  <si>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</si>
  <si>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</si>
  <si>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</si>
  <si>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</si>
  <si>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</si>
  <si>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</si>
  <si>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</si>
  <si>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</si>
  <si>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</si>
  <si>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</si>
  <si>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</si>
  <si>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</si>
  <si>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</si>
  <si>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</si>
  <si>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</si>
  <si>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</si>
  <si>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</si>
  <si>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</si>
  <si>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</si>
  <si>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</si>
  <si>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</si>
  <si>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</si>
  <si>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</si>
  <si>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</si>
  <si>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</si>
  <si>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</si>
  <si>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</si>
  <si>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</si>
  <si>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</si>
  <si>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</si>
  <si>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</si>
  <si>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</si>
  <si>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</si>
  <si>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</si>
  <si>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</si>
  <si>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</si>
  <si>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</si>
  <si>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</si>
  <si>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</si>
  <si>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</si>
  <si>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</si>
  <si>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</si>
  <si>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</si>
  <si>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</si>
  <si>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</si>
  <si>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</si>
  <si>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</si>
  <si>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</si>
  <si>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</si>
  <si>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</si>
  <si>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</si>
  <si>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</si>
  <si>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</si>
  <si>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</si>
  <si>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</si>
  <si>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</si>
  <si>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</si>
  <si>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</si>
  <si>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</si>
  <si>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</si>
  <si>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</si>
  <si>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</si>
  <si>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</si>
  <si>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</si>
  <si>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</si>
  <si>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</si>
  <si>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</si>
  <si>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</si>
  <si>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</si>
  <si>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</si>
  <si>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</si>
  <si>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</si>
  <si>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</si>
  <si>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</si>
  <si>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</si>
  <si>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</si>
  <si>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</si>
  <si>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</si>
  <si>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</si>
  <si>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</si>
  <si>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</si>
  <si>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</si>
  <si>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</si>
  <si>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</si>
  <si>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</si>
  <si>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</si>
  <si>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</si>
  <si>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</si>
  <si>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</si>
  <si>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</si>
  <si>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</si>
  <si>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</si>
  <si>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</si>
  <si>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</si>
  <si>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</si>
  <si>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</si>
  <si>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</si>
  <si>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</si>
  <si>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</si>
  <si>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</si>
  <si>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</si>
  <si>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</si>
  <si>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</si>
  <si>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</si>
  <si>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</si>
  <si>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</si>
  <si>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</si>
  <si>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</si>
  <si>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</si>
  <si>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</si>
  <si>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</si>
  <si>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</si>
  <si>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</si>
  <si>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</si>
  <si>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</si>
  <si>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</si>
  <si>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</si>
  <si>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</si>
  <si>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</si>
  <si>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</si>
  <si>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</si>
  <si>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</si>
  <si>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</si>
  <si>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</si>
  <si>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</si>
  <si>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</si>
  <si>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</si>
  <si>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</si>
  <si>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</si>
  <si>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</si>
  <si>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</si>
  <si>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</si>
  <si>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</si>
  <si>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</si>
  <si>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</si>
  <si>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</si>
  <si>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</si>
  <si>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</si>
  <si>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</si>
  <si>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</si>
  <si>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</si>
  <si>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</si>
  <si>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</si>
  <si>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</si>
  <si>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</si>
  <si>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</si>
  <si>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</si>
  <si>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</si>
  <si>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</si>
  <si>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</si>
  <si>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</si>
  <si>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</si>
  <si>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</si>
  <si>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</si>
  <si>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</si>
  <si>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</si>
  <si>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</si>
  <si>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</si>
  <si>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</si>
  <si>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</si>
  <si>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</si>
  <si>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</si>
  <si>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</si>
  <si>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</si>
  <si>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</si>
  <si>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</si>
  <si>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</si>
  <si>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</si>
  <si>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</si>
  <si>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</si>
  <si>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</si>
  <si>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</si>
  <si>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</si>
  <si>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</si>
  <si>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</si>
  <si>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</si>
  <si>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</si>
  <si>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</si>
  <si>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</si>
  <si>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</si>
  <si>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</si>
  <si>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</si>
  <si>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</si>
  <si>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</si>
  <si>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</si>
  <si>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</si>
  <si>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</si>
  <si>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</si>
  <si>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</si>
  <si>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</si>
  <si>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</si>
  <si>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</si>
  <si>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</si>
  <si>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</si>
  <si>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</si>
  <si>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</si>
  <si>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</si>
  <si>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</si>
  <si>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</si>
  <si>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</si>
  <si>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</si>
  <si>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</si>
  <si>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</si>
  <si>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</si>
  <si>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</si>
  <si>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</si>
  <si>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</si>
  <si>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</si>
  <si>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</si>
  <si>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</si>
  <si>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</si>
  <si>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</si>
  <si>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</si>
  <si>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</si>
  <si>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</si>
  <si>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</si>
  <si>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</si>
  <si>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</si>
  <si>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</si>
  <si>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</si>
  <si>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</si>
  <si>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</si>
  <si>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</si>
  <si>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</si>
  <si>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</si>
  <si>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</si>
  <si>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</si>
  <si>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</si>
  <si>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</si>
  <si>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</si>
  <si>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</si>
  <si>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</si>
  <si>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</si>
  <si>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</si>
  <si>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</si>
  <si>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</si>
  <si>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</si>
  <si>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</si>
  <si>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</si>
  <si>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</si>
  <si>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</si>
  <si>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</si>
  <si>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</si>
  <si>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</si>
  <si>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</si>
  <si>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</si>
  <si>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</si>
  <si>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</si>
  <si>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</si>
  <si>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</si>
  <si>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</si>
  <si>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</si>
  <si>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</si>
  <si>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</si>
  <si>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</si>
  <si>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</si>
  <si>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</si>
  <si>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</si>
  <si>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</si>
  <si>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</si>
  <si>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</si>
  <si>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</si>
  <si>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</si>
  <si>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</si>
  <si>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</si>
  <si>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</si>
  <si>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</si>
  <si>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</si>
  <si>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</si>
  <si>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</si>
  <si>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</si>
  <si>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</si>
  <si>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</si>
  <si>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</si>
  <si>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</si>
  <si>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</si>
  <si>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</si>
  <si>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</si>
  <si>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</si>
  <si>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</si>
  <si>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</si>
  <si>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</si>
  <si>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</si>
  <si>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</si>
  <si>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</si>
  <si>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</si>
  <si>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</si>
  <si>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</si>
  <si>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</si>
  <si>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</si>
  <si>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</si>
  <si>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</si>
  <si>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</si>
  <si>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</si>
  <si>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</si>
  <si>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</si>
  <si>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</si>
  <si>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</si>
  <si>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</si>
  <si>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</si>
  <si>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</si>
  <si>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</si>
  <si>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</si>
  <si>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</si>
  <si>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</si>
  <si>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</si>
  <si>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</si>
  <si>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</si>
  <si>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</si>
  <si>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</si>
  <si>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</si>
  <si>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</si>
  <si>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</si>
  <si>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</si>
  <si>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</si>
  <si>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</si>
  <si>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</si>
  <si>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</si>
  <si>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</si>
  <si>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</si>
  <si>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</si>
  <si>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</si>
  <si>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</si>
  <si>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</si>
  <si>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</si>
  <si>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</si>
  <si>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</si>
  <si>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</si>
  <si>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</si>
  <si>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</si>
  <si>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</si>
  <si>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</si>
  <si>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</si>
  <si>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</si>
  <si>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</si>
  <si>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</si>
  <si>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</si>
  <si>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</si>
  <si>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</si>
  <si>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</si>
  <si>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</si>
  <si>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</si>
  <si>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</si>
  <si>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</si>
  <si>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</si>
  <si>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</si>
  <si>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</si>
  <si>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</si>
  <si>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</si>
  <si>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</si>
  <si>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</si>
  <si>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</si>
  <si>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</si>
  <si>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</si>
  <si>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</si>
  <si>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</si>
  <si>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</si>
  <si>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</si>
  <si>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</si>
  <si>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</si>
  <si>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</si>
  <si>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</si>
  <si>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</si>
  <si>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</si>
  <si>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</si>
  <si>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</si>
  <si>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</si>
  <si>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</si>
  <si>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</si>
  <si>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</si>
  <si>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</si>
  <si>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</si>
  <si>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</si>
  <si>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</si>
  <si>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</si>
  <si>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</si>
  <si>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</si>
  <si>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</si>
  <si>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</si>
  <si>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</si>
  <si>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</si>
  <si>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</si>
  <si>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</si>
  <si>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</si>
  <si>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</si>
  <si>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</si>
  <si>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</si>
  <si>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</si>
  <si>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</si>
  <si>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</si>
  <si>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</si>
  <si>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</si>
  <si>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</si>
  <si>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</si>
  <si>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</si>
  <si>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</si>
  <si>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</si>
  <si>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</si>
  <si>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</si>
  <si>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</si>
  <si>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</si>
  <si>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</si>
  <si>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</si>
  <si>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</si>
  <si>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</si>
  <si>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</si>
  <si>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</si>
  <si>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</si>
  <si>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</si>
  <si>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</si>
  <si>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</si>
  <si>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</si>
  <si>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</si>
  <si>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</si>
  <si>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</si>
  <si>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</si>
  <si>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</si>
  <si>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</si>
  <si>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</si>
  <si>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</si>
  <si>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</si>
  <si>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</si>
  <si>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</si>
  <si>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</si>
  <si>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</si>
  <si>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</si>
  <si>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</si>
  <si>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</si>
  <si>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</si>
  <si>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</si>
  <si>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</si>
  <si>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</si>
  <si>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</si>
  <si>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</si>
  <si>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</si>
  <si>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</si>
  <si>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</si>
  <si>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</si>
  <si>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</si>
  <si>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</si>
  <si>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</si>
  <si>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</si>
  <si>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</si>
  <si>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</si>
  <si>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</si>
  <si>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</si>
  <si>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</si>
  <si>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</si>
  <si>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</si>
  <si>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</si>
  <si>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</si>
  <si>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</si>
  <si>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</si>
  <si>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</si>
  <si>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</si>
  <si>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</si>
  <si>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</si>
  <si>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</si>
  <si>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</si>
  <si>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</si>
  <si>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</si>
  <si>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</si>
  <si>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</si>
  <si>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</si>
  <si>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</si>
  <si>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</si>
  <si>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</si>
  <si>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</si>
  <si>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</si>
  <si>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</si>
  <si>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</si>
  <si>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</si>
  <si>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</si>
  <si>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</si>
  <si>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</si>
  <si>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</si>
  <si>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</si>
  <si>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</si>
  <si>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</si>
  <si>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</si>
  <si>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</si>
  <si>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</si>
  <si>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</si>
  <si>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</si>
  <si>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</si>
  <si>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</si>
  <si>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</si>
  <si>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</si>
  <si>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</si>
  <si>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</si>
  <si>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</si>
  <si>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</si>
  <si>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</si>
  <si>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</si>
  <si>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</si>
  <si>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</si>
  <si>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</si>
  <si>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</si>
  <si>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</si>
  <si>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</si>
  <si>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</si>
  <si>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</si>
  <si>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</si>
  <si>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</si>
  <si>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</si>
  <si>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</si>
  <si>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</si>
  <si>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</si>
  <si>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</si>
  <si>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</si>
  <si>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</si>
  <si>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</si>
  <si>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</si>
  <si>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</si>
  <si>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</si>
  <si>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</si>
  <si>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</si>
  <si>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</si>
  <si>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</si>
  <si>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</si>
  <si>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</si>
  <si>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</si>
  <si>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</si>
  <si>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</si>
  <si>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</si>
  <si>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</si>
  <si>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</si>
  <si>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</si>
  <si>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</si>
  <si>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</si>
  <si>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</si>
  <si>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</si>
  <si>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</si>
  <si>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</si>
  <si>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</si>
  <si>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</si>
  <si>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</si>
  <si>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</si>
  <si>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</si>
  <si>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</si>
  <si>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</si>
  <si>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</si>
  <si>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</si>
  <si>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</si>
  <si>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</si>
  <si>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</si>
  <si>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</si>
  <si>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</si>
  <si>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</si>
  <si>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</si>
  <si>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</si>
  <si>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</si>
  <si>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</si>
  <si>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</si>
  <si>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</si>
  <si>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</si>
  <si>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</si>
  <si>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</si>
  <si>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</si>
  <si>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</si>
  <si>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</si>
  <si>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</si>
  <si>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</si>
  <si>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</si>
  <si>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</si>
  <si>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</si>
  <si>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</si>
  <si>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</si>
  <si>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</si>
  <si>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</si>
  <si>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</si>
  <si>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</si>
  <si>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</si>
  <si>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</si>
  <si>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</si>
  <si>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</si>
  <si>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</si>
  <si>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</si>
  <si>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</si>
  <si>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</si>
  <si>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</si>
  <si>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</si>
  <si>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</si>
  <si>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</si>
  <si>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</si>
  <si>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</si>
  <si>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</si>
  <si>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</si>
  <si>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</si>
  <si>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</si>
  <si>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</si>
  <si>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</si>
  <si>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</si>
  <si>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</si>
  <si>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</si>
  <si>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</si>
  <si>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</si>
  <si>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</si>
  <si>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</si>
  <si>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</si>
  <si>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</si>
  <si>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</si>
  <si>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</si>
  <si>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</si>
  <si>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</si>
  <si>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</si>
  <si>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</si>
  <si>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</si>
  <si>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</si>
  <si>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</si>
  <si>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</si>
  <si>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</si>
  <si>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</si>
  <si>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</si>
  <si>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</si>
  <si>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</si>
  <si>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</si>
  <si>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</si>
  <si>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</si>
  <si>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</si>
  <si>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</si>
  <si>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</si>
  <si>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</si>
  <si>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</si>
  <si>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</si>
  <si>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</si>
  <si>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</si>
  <si>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</si>
  <si>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</si>
  <si>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</si>
  <si>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</si>
  <si>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</si>
  <si>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</si>
  <si>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</si>
  <si>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</si>
  <si>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</si>
  <si>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</si>
  <si>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</si>
  <si>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</si>
  <si>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</si>
  <si>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</si>
  <si>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</si>
  <si>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</si>
  <si>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</si>
  <si>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</si>
  <si>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</si>
  <si>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</si>
  <si>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</si>
  <si>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</si>
  <si>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</si>
  <si>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</si>
  <si>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</si>
  <si>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</si>
  <si>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</si>
  <si>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</si>
  <si>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</si>
  <si>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</si>
  <si>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</si>
  <si>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</si>
  <si>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</si>
  <si>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</si>
  <si>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</si>
  <si>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</si>
  <si>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</si>
  <si>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</si>
  <si>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</si>
  <si>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</si>
  <si>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</si>
  <si>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</si>
  <si>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</si>
  <si>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</si>
  <si>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</si>
  <si>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</si>
  <si>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</si>
  <si>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</si>
  <si>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</si>
  <si>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</si>
  <si>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</si>
  <si>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</si>
  <si>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</si>
  <si>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</si>
  <si>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</si>
  <si>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</si>
  <si>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</si>
  <si>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</si>
  <si>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</si>
  <si>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</si>
  <si>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</si>
  <si>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</si>
  <si>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</si>
  <si>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</si>
  <si>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</si>
  <si>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</si>
  <si>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</si>
  <si>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</si>
  <si>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</si>
  <si>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</si>
  <si>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</si>
  <si>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</si>
  <si>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</si>
  <si>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</si>
  <si>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</si>
  <si>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</si>
  <si>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</si>
  <si>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</si>
  <si>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</si>
  <si>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</si>
  <si>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</si>
  <si>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</si>
  <si>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</si>
  <si>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</si>
  <si>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</si>
  <si>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</si>
  <si>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</si>
  <si>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</si>
  <si>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</si>
  <si>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</si>
  <si>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</si>
  <si>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</si>
  <si>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</si>
  <si>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</si>
  <si>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</si>
  <si>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</si>
  <si>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</si>
  <si>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</si>
  <si>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</si>
  <si>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</si>
  <si>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</si>
  <si>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</si>
  <si>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</si>
  <si>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</si>
  <si>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</si>
  <si>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</si>
  <si>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</si>
  <si>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</si>
  <si>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</si>
  <si>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</si>
  <si>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</si>
  <si>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</si>
  <si>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</si>
  <si>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</si>
  <si>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</si>
  <si>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</si>
  <si>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</si>
  <si>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</si>
  <si>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</si>
  <si>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</si>
  <si>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</si>
  <si>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</si>
  <si>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</si>
  <si>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</si>
  <si>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</si>
  <si>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</si>
  <si>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</si>
  <si>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</si>
  <si>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</si>
  <si>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</si>
  <si>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</si>
  <si>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</si>
  <si>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</si>
  <si>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</si>
  <si>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</si>
  <si>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</si>
  <si>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</si>
  <si>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</si>
  <si>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</si>
  <si>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</si>
  <si>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</si>
  <si>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</si>
  <si>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</si>
  <si>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</si>
  <si>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</si>
  <si>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</si>
  <si>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</si>
  <si>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</si>
  <si>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</si>
  <si>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</si>
  <si>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</si>
  <si>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</si>
  <si>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</si>
  <si>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</si>
  <si>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</si>
  <si>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</si>
  <si>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</si>
  <si>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</si>
  <si>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</si>
  <si>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</si>
  <si>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</si>
  <si>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</si>
  <si>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</si>
  <si>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</si>
  <si>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</si>
  <si>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</si>
  <si>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</si>
  <si>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</si>
  <si>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</si>
  <si>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</si>
  <si>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</si>
  <si>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</si>
  <si>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</si>
  <si>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</si>
  <si>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</si>
  <si>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</si>
  <si>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</si>
  <si>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</si>
  <si>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</si>
  <si>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</si>
  <si>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</si>
  <si>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</si>
  <si>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</si>
  <si>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</si>
  <si>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</si>
  <si>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</si>
  <si>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</si>
  <si>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</si>
  <si>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</si>
  <si>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</si>
  <si>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</si>
  <si>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</si>
  <si>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</si>
  <si>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</si>
  <si>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</si>
  <si>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</si>
  <si>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</si>
  <si>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</si>
  <si>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</si>
  <si>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</si>
  <si>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</si>
  <si>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</si>
  <si>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</si>
  <si>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</si>
  <si>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</si>
  <si>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</si>
  <si>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</si>
  <si>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</si>
  <si>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</si>
  <si>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</si>
  <si>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</si>
  <si>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</si>
  <si>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</si>
  <si>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</si>
  <si>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</si>
  <si>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</si>
  <si>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</si>
  <si>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</si>
  <si>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</si>
  <si>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</si>
  <si>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</si>
  <si>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</si>
  <si>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</si>
  <si>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</si>
  <si>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</si>
  <si>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</si>
  <si>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</si>
  <si>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</si>
  <si>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</si>
  <si>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</si>
  <si>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</si>
  <si>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</si>
  <si>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</si>
  <si>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</si>
  <si>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</si>
  <si>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</si>
  <si>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</si>
  <si>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</si>
  <si>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</si>
  <si>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</si>
  <si>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</si>
  <si>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</si>
  <si>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</si>
  <si>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</si>
  <si>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</si>
  <si>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</si>
  <si>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</si>
  <si>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</si>
  <si>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</si>
  <si>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</si>
  <si>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</si>
  <si>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</si>
  <si>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</si>
  <si>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</si>
  <si>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</si>
  <si>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</si>
  <si>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</si>
  <si>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</si>
  <si>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</si>
  <si>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</si>
  <si>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</si>
  <si>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</si>
  <si>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</si>
  <si>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</si>
  <si>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</si>
  <si>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</si>
  <si>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</si>
  <si>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</si>
  <si>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</si>
  <si>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</si>
  <si>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</si>
  <si>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</si>
  <si>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</si>
  <si>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</si>
  <si>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</si>
  <si>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</si>
  <si>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</si>
  <si>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</si>
  <si>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</si>
  <si>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</si>
  <si>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</si>
  <si>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</si>
  <si>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</si>
  <si>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</si>
  <si>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</si>
  <si>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</si>
  <si>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</si>
  <si>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</si>
  <si>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</si>
  <si>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</si>
  <si>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</si>
  <si>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</si>
  <si>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</si>
  <si>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</si>
  <si>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</si>
  <si>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</si>
  <si>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</si>
  <si>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</si>
  <si>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</si>
  <si>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</si>
  <si>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</si>
  <si>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</si>
  <si>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</si>
  <si>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</si>
  <si>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</si>
  <si>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</si>
  <si>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</si>
  <si>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</si>
  <si>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</si>
  <si>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</si>
  <si>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</si>
  <si>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</si>
  <si>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</si>
  <si>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</si>
  <si>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</si>
  <si>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</si>
  <si>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</si>
  <si>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</si>
  <si>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</si>
  <si>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</si>
  <si>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</si>
  <si>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</si>
  <si>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</si>
  <si>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</si>
  <si>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</si>
  <si>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</si>
  <si>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</si>
  <si>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</si>
  <si>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</si>
  <si>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</si>
  <si>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</si>
  <si>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</si>
  <si>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</si>
  <si>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</si>
  <si>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</si>
  <si>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</si>
  <si>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</si>
  <si>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</si>
  <si>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</si>
  <si>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</si>
  <si>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</si>
  <si>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</si>
  <si>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</si>
  <si>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</si>
  <si>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</si>
  <si>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</si>
  <si>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</si>
  <si>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</si>
  <si>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</si>
  <si>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</si>
  <si>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</si>
  <si>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</si>
  <si>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</si>
  <si>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</si>
  <si>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</si>
  <si>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</si>
  <si>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</si>
  <si>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</si>
  <si>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</si>
  <si>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</si>
  <si>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</si>
  <si>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</si>
  <si>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</si>
  <si>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</si>
  <si>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</si>
  <si>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</si>
  <si>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</si>
  <si>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</si>
  <si>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</si>
  <si>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</si>
  <si>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</si>
  <si>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</si>
  <si>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</si>
  <si>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</si>
  <si>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</si>
  <si>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</si>
  <si>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</si>
  <si>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</si>
  <si>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</si>
  <si>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</si>
  <si>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</si>
  <si>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</si>
  <si>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</si>
  <si>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</si>
  <si>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</si>
  <si>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</si>
  <si>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</si>
  <si>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</si>
  <si>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</si>
  <si>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</si>
  <si>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</si>
  <si>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</si>
  <si>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</si>
  <si>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</si>
  <si>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</si>
  <si>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</si>
  <si>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</si>
  <si>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</si>
  <si>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</si>
  <si>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</si>
  <si>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</si>
  <si>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</si>
  <si>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</si>
  <si>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</si>
  <si>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</si>
  <si>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</si>
  <si>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</si>
  <si>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</si>
  <si>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</si>
  <si>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</si>
  <si>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</si>
  <si>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</si>
  <si>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</si>
  <si>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</si>
  <si>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</si>
  <si>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</si>
  <si>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</si>
  <si>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</si>
  <si>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</si>
  <si>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</si>
  <si>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</si>
  <si>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</si>
  <si>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</si>
  <si>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</si>
  <si>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</si>
  <si>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</si>
  <si>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</si>
  <si>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</si>
  <si>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</si>
  <si>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</si>
  <si>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</si>
  <si>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</si>
  <si>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</si>
  <si>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</si>
  <si>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</si>
  <si>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</si>
  <si>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</si>
  <si>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</si>
  <si>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</si>
  <si>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</si>
  <si>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</si>
  <si>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</si>
  <si>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</si>
  <si>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</si>
  <si>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</si>
  <si>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</si>
  <si>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</si>
  <si>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</si>
  <si>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</si>
  <si>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</si>
  <si>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</si>
  <si>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</si>
  <si>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</si>
  <si>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</si>
  <si>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</si>
  <si>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</si>
  <si>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</si>
  <si>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</si>
  <si>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</si>
  <si>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</si>
  <si>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</si>
  <si>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</si>
  <si>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</si>
  <si>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</si>
  <si>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</si>
  <si>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</si>
  <si>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</si>
  <si>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</si>
  <si>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</si>
  <si>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</si>
  <si>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</si>
  <si>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</si>
  <si>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</si>
  <si>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</si>
  <si>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</si>
  <si>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</si>
  <si>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</si>
  <si>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</si>
  <si>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</si>
  <si>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</si>
  <si>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</si>
  <si>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</si>
  <si>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</si>
  <si>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</si>
  <si>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</si>
  <si>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</si>
  <si>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</si>
  <si>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</si>
  <si>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</si>
  <si>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</si>
  <si>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</si>
  <si>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</si>
  <si>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</si>
  <si>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</si>
  <si>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</si>
  <si>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</si>
  <si>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</si>
  <si>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</si>
  <si>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</si>
  <si>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</si>
  <si>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</si>
  <si>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</si>
  <si>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</si>
  <si>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</si>
  <si>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</si>
  <si>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</si>
  <si>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</si>
  <si>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</si>
  <si>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</si>
  <si>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</si>
  <si>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</si>
  <si>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</si>
  <si>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</si>
  <si>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</si>
  <si>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</si>
  <si>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</si>
  <si>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</si>
  <si>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</si>
  <si>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</si>
  <si>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</si>
  <si>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</si>
  <si>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</si>
  <si>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</si>
  <si>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</si>
  <si>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</si>
  <si>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</si>
  <si>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</si>
  <si>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</si>
  <si>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</si>
  <si>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</si>
  <si>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</si>
  <si>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</si>
  <si>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</si>
  <si>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</si>
  <si>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</si>
  <si>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</si>
  <si>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</si>
  <si>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</si>
  <si>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</si>
  <si>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</si>
  <si>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</si>
  <si>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</si>
  <si>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</si>
  <si>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</si>
  <si>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</si>
  <si>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</si>
  <si>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</si>
  <si>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</si>
  <si>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</si>
  <si>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</si>
  <si>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</si>
  <si>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</si>
  <si>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</si>
  <si>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</si>
  <si>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</si>
  <si>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</si>
  <si>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</si>
  <si>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</si>
  <si>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</si>
  <si>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</si>
  <si>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</si>
  <si>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</si>
  <si>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</si>
  <si>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</si>
  <si>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</si>
  <si>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</si>
  <si>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</si>
  <si>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</si>
  <si>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</si>
  <si>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</si>
  <si>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</si>
  <si>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</si>
  <si>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</si>
  <si>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</si>
  <si>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</si>
  <si>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</si>
  <si>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</si>
  <si>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</si>
  <si>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</si>
  <si>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</si>
  <si>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</si>
  <si>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</si>
  <si>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</si>
  <si>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</si>
  <si>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</si>
  <si>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</si>
  <si>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</si>
  <si>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</si>
  <si>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</si>
  <si>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</si>
  <si>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</si>
  <si>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</si>
  <si>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</si>
  <si>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</si>
  <si>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</si>
  <si>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</si>
  <si>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</si>
  <si>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</si>
  <si>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</si>
  <si>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</si>
  <si>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</si>
  <si>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</si>
  <si>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</si>
  <si>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</si>
  <si>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</si>
  <si>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</si>
  <si>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</si>
  <si>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</si>
  <si>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</si>
  <si>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</si>
  <si>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</si>
  <si>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</si>
  <si>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</si>
  <si>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</si>
  <si>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</si>
  <si>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</si>
  <si>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</si>
  <si>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</si>
  <si>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</si>
  <si>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</si>
  <si>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</si>
  <si>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</si>
  <si>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</si>
  <si>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</si>
  <si>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</si>
  <si>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</si>
  <si>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</si>
  <si>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</si>
  <si>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</si>
  <si>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</si>
  <si>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</si>
  <si>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</si>
  <si>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</si>
  <si>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</si>
  <si>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</si>
  <si>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</si>
  <si>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</si>
  <si>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</si>
  <si>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</si>
  <si>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</si>
  <si>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</si>
  <si>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</si>
  <si>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</si>
  <si>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</si>
  <si>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</si>
  <si>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</si>
  <si>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</si>
  <si>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</si>
  <si>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</si>
  <si>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</si>
  <si>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</si>
  <si>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</si>
  <si>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</si>
  <si>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</si>
  <si>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</si>
  <si>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</si>
  <si>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</si>
  <si>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</si>
  <si>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</si>
  <si>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</si>
  <si>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</si>
  <si>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</si>
  <si>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</si>
  <si>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</si>
  <si>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</si>
  <si>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</si>
  <si>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</si>
  <si>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</si>
  <si>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</si>
  <si>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</si>
  <si>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</si>
  <si>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</si>
  <si>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</si>
  <si>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</si>
  <si>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</si>
  <si>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</si>
  <si>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</si>
  <si>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</si>
  <si>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</si>
  <si>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</si>
  <si>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</si>
  <si>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</si>
  <si>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</si>
  <si>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</si>
  <si>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</si>
  <si>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</si>
  <si>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</si>
  <si>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</si>
  <si>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</si>
  <si>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</si>
  <si>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</si>
  <si>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</si>
  <si>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</si>
  <si>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</si>
  <si>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</si>
  <si>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</si>
  <si>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</si>
  <si>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</si>
  <si>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</si>
  <si>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</si>
  <si>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</si>
  <si>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</si>
  <si>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</si>
  <si>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</si>
  <si>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</si>
  <si>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</si>
  <si>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</si>
  <si>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</si>
  <si>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</si>
  <si>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</si>
  <si>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</si>
  <si>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</si>
  <si>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</si>
  <si>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</si>
  <si>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</si>
  <si>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</si>
  <si>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</si>
  <si>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</si>
  <si>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</si>
  <si>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</si>
  <si>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</si>
  <si>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</si>
  <si>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</si>
  <si>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</si>
  <si>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</si>
  <si>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</si>
  <si>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</si>
  <si>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</si>
  <si>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</si>
  <si>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</si>
  <si>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</si>
  <si>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</si>
  <si>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</si>
  <si>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</si>
  <si>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</si>
  <si>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</si>
  <si>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</si>
  <si>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</si>
  <si>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</si>
  <si>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</si>
  <si>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</si>
  <si>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</si>
  <si>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</si>
  <si>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</si>
  <si>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</si>
  <si>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</si>
  <si>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</si>
  <si>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</si>
  <si>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</si>
  <si>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</si>
  <si>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</si>
  <si>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</si>
  <si>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</si>
  <si>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</si>
  <si>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</si>
  <si>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</si>
  <si>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</si>
  <si>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</si>
  <si>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</si>
  <si>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</si>
  <si>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</si>
  <si>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</si>
  <si>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</si>
  <si>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</si>
  <si>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</si>
  <si>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</si>
  <si>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</si>
  <si>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</si>
  <si>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</si>
  <si>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</si>
  <si>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</si>
  <si>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</si>
  <si>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</si>
  <si>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</si>
  <si>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</si>
  <si>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</si>
  <si>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</si>
  <si>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</si>
  <si>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</si>
  <si>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</si>
  <si>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</si>
  <si>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</si>
  <si>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</si>
  <si>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</si>
  <si>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</si>
  <si>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</si>
  <si>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</si>
  <si>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</si>
  <si>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</si>
  <si>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</si>
  <si>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</si>
  <si>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</si>
  <si>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</si>
  <si>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</si>
  <si>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</si>
  <si>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</si>
  <si>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</si>
  <si>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</si>
  <si>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</si>
  <si>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</si>
  <si>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</si>
  <si>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</si>
  <si>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</si>
  <si>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</si>
  <si>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</si>
  <si>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</si>
  <si>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</si>
  <si>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</si>
  <si>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</si>
  <si>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</si>
  <si>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</si>
  <si>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</si>
  <si>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</si>
  <si>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</si>
  <si>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</si>
  <si>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</si>
  <si>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</si>
  <si>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</si>
  <si>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</si>
  <si>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</si>
  <si>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</si>
  <si>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</si>
  <si>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</si>
  <si>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</si>
  <si>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</si>
  <si>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</si>
  <si>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</si>
  <si>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</si>
  <si>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</si>
  <si>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</si>
  <si>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</si>
  <si>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</si>
  <si>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</si>
  <si>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</si>
  <si>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</si>
  <si>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</si>
  <si>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</si>
  <si>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</si>
  <si>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</si>
  <si>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</si>
  <si>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</si>
  <si>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</si>
  <si>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</si>
  <si>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</si>
  <si>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</si>
  <si>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</si>
  <si>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</si>
  <si>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</si>
  <si>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</si>
  <si>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</si>
  <si>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</si>
  <si>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</si>
  <si>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</si>
  <si>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</si>
  <si>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</si>
  <si>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</si>
  <si>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</si>
  <si>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</si>
  <si>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</si>
  <si>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</si>
  <si>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</si>
  <si>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</si>
  <si>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</si>
  <si>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</si>
  <si>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</si>
  <si>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</si>
  <si>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</si>
  <si>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</si>
  <si>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</si>
  <si>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</si>
  <si>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</si>
  <si>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</si>
  <si>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</si>
  <si>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</si>
  <si>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</si>
  <si>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</si>
  <si>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</si>
  <si>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</si>
  <si>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</si>
  <si>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</si>
  <si>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</si>
  <si>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</si>
  <si>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</si>
  <si>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</si>
  <si>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</si>
  <si>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</si>
  <si>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</si>
  <si>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</si>
  <si>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</si>
  <si>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</si>
  <si>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</si>
  <si>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</si>
  <si>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</si>
  <si>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</si>
  <si>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</si>
  <si>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</si>
  <si>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</si>
  <si>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</si>
  <si>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</si>
  <si>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</si>
  <si>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</si>
  <si>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</si>
  <si>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</si>
  <si>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</si>
  <si>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</si>
  <si>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</si>
  <si>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</si>
  <si>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</si>
  <si>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</si>
  <si>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</si>
  <si>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</si>
  <si>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</si>
  <si>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</si>
  <si>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</si>
  <si>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</si>
  <si>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</si>
  <si>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</si>
  <si>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</si>
  <si>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</si>
  <si>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</si>
  <si>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</si>
  <si>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</si>
  <si>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</si>
  <si>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</si>
  <si>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</si>
  <si>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</si>
  <si>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</si>
  <si>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</si>
  <si>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</si>
  <si>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</si>
  <si>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</si>
  <si>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</si>
  <si>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</si>
  <si>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</si>
  <si>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</si>
  <si>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</si>
  <si>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</si>
  <si>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</si>
  <si>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</si>
  <si>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</si>
  <si>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</si>
  <si>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</si>
  <si>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</si>
  <si>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</si>
  <si>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</si>
  <si>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</si>
  <si>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</si>
  <si>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</si>
  <si>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</si>
  <si>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</si>
  <si>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</si>
  <si>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</si>
  <si>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</si>
  <si>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</si>
  <si>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</si>
  <si>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</si>
  <si>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</si>
  <si>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</si>
  <si>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</si>
  <si>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</si>
  <si>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</si>
  <si>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</si>
  <si>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</si>
  <si>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</si>
  <si>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</si>
  <si>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</si>
  <si>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</si>
  <si>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</si>
  <si>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</si>
  <si>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</si>
  <si>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</si>
  <si>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</si>
  <si>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</si>
  <si>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</si>
  <si>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</si>
  <si>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</si>
  <si>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</si>
  <si>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</si>
  <si>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</si>
  <si>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</si>
  <si>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</si>
  <si>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</si>
  <si>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</si>
  <si>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</si>
  <si>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</si>
  <si>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</si>
  <si>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</si>
  <si>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</si>
  <si>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</si>
  <si>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</si>
  <si>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</si>
  <si>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</si>
  <si>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</si>
  <si>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</si>
  <si>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</si>
  <si>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</si>
  <si>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</si>
  <si>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</si>
  <si>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</si>
  <si>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</si>
  <si>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</si>
  <si>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</si>
  <si>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</si>
  <si>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</si>
  <si>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</si>
  <si>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</si>
  <si>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</si>
  <si>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</si>
  <si>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</si>
  <si>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</si>
  <si>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</si>
  <si>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</si>
  <si>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</si>
  <si>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</si>
  <si>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</si>
  <si>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</si>
  <si>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</si>
  <si>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</si>
  <si>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</si>
  <si>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</si>
  <si>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</si>
  <si>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</si>
  <si>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</si>
  <si>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</si>
  <si>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</si>
  <si>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</si>
  <si>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</si>
  <si>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</si>
  <si>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</si>
  <si>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</si>
  <si>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</si>
  <si>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</si>
  <si>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</si>
  <si>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</si>
  <si>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</si>
  <si>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</si>
  <si>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</si>
  <si>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</si>
  <si>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</si>
  <si>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</si>
  <si>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</si>
  <si>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</si>
  <si>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</si>
  <si>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</si>
  <si>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</si>
  <si>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</si>
  <si>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</si>
  <si>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</si>
  <si>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</si>
  <si>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</si>
  <si>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</si>
  <si>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</si>
  <si>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</si>
  <si>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</si>
  <si>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</si>
  <si>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</si>
  <si>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</si>
  <si>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</si>
  <si>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</si>
  <si>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</si>
  <si>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</si>
  <si>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</si>
  <si>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</si>
  <si>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</si>
  <si>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</si>
  <si>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</si>
  <si>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</si>
  <si>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</si>
  <si>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</si>
  <si>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</si>
  <si>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</si>
  <si>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</si>
  <si>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</si>
  <si>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</si>
  <si>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</si>
  <si>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</si>
  <si>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</si>
  <si>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</si>
  <si>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</si>
  <si>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</si>
  <si>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</si>
  <si>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</si>
  <si>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</si>
  <si>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</si>
  <si>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</si>
  <si>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</si>
  <si>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</si>
  <si>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</si>
  <si>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</si>
  <si>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</si>
  <si>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</si>
  <si>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</si>
  <si>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</si>
  <si>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</si>
  <si>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</si>
  <si>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</si>
  <si>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</si>
  <si>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</si>
  <si>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</si>
  <si>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</si>
  <si>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</si>
  <si>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</si>
  <si>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</si>
  <si>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</si>
  <si>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</si>
  <si>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</si>
  <si>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</si>
  <si>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</si>
  <si>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</si>
  <si>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</si>
  <si>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</si>
  <si>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</si>
  <si>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</si>
  <si>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</si>
  <si>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</si>
  <si>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</si>
  <si>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</si>
  <si>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</si>
  <si>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</si>
  <si>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</si>
  <si>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</si>
  <si>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</si>
  <si>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</si>
  <si>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</si>
  <si>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</si>
  <si>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</si>
  <si>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</si>
  <si>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</si>
  <si>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</si>
  <si>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</si>
  <si>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</si>
  <si>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</si>
  <si>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</si>
  <si>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</si>
  <si>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</si>
  <si>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</si>
  <si>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</si>
  <si>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</si>
  <si>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</si>
  <si>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</si>
  <si>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</si>
  <si>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</si>
  <si>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</si>
  <si>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</si>
  <si>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</si>
  <si>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</si>
  <si>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</si>
  <si>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</si>
  <si>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</si>
  <si>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</si>
  <si>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</si>
  <si>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</si>
  <si>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</si>
  <si>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</si>
  <si>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</si>
  <si>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</si>
  <si>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</si>
  <si>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</si>
  <si>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</si>
  <si>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</si>
  <si>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</si>
  <si>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</si>
  <si>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</si>
  <si>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</si>
  <si>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</si>
  <si>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</si>
  <si>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</si>
  <si>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</si>
  <si>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</si>
  <si>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</si>
  <si>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</si>
  <si>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</si>
  <si>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</si>
  <si>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</si>
  <si>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</si>
  <si>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</si>
  <si>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</si>
  <si>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</si>
  <si>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</si>
  <si>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</si>
  <si>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</si>
  <si>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</si>
  <si>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</si>
  <si>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</si>
  <si>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</si>
  <si>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</si>
  <si>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</si>
  <si>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</si>
  <si>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</si>
  <si>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</si>
  <si>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</si>
  <si>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</si>
  <si>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</si>
  <si>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</si>
  <si>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</si>
  <si>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</si>
  <si>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</si>
  <si>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</si>
  <si>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</si>
  <si>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</si>
  <si>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</si>
  <si>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</si>
  <si>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</si>
  <si>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</si>
  <si>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</si>
  <si>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</si>
  <si>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</si>
  <si>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</si>
  <si>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</si>
  <si>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</si>
  <si>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</si>
  <si>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</si>
  <si>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</si>
  <si>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</si>
  <si>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</si>
  <si>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</si>
  <si>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</si>
  <si>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</si>
  <si>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</si>
  <si>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</si>
  <si>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</si>
  <si>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</si>
  <si>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</si>
  <si>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</si>
  <si>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</si>
  <si>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</si>
  <si>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</si>
  <si>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</si>
  <si>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</si>
  <si>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</si>
  <si>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</si>
  <si>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</si>
  <si>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</si>
  <si>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</si>
  <si>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</si>
  <si>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</si>
  <si>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</si>
  <si>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</si>
  <si>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</si>
  <si>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</si>
  <si>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</si>
  <si>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</si>
  <si>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</si>
  <si>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</si>
  <si>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</si>
  <si>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</si>
  <si>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</si>
  <si>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</si>
  <si>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</si>
  <si>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</si>
  <si>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</si>
  <si>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</si>
  <si>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</si>
  <si>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</si>
  <si>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</si>
  <si>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</si>
  <si>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</si>
  <si>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</si>
  <si>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</si>
  <si>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</si>
  <si>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</si>
  <si>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</si>
  <si>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</si>
  <si>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</si>
  <si>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</si>
  <si>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</si>
  <si>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</si>
  <si>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</si>
  <si>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</si>
  <si>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</si>
  <si>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</si>
  <si>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</si>
  <si>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</si>
  <si>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</si>
  <si>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</si>
  <si>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</si>
  <si>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</si>
  <si>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</si>
  <si>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</si>
  <si>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</si>
  <si>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</si>
  <si>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</si>
  <si>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</si>
  <si>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</si>
  <si>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</si>
  <si>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</si>
  <si>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</si>
  <si>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</si>
  <si>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</si>
  <si>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</si>
  <si>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</si>
  <si>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</si>
  <si>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</si>
  <si>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</si>
  <si>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</si>
  <si>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</si>
  <si>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</si>
  <si>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</si>
  <si>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</si>
  <si>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</si>
  <si>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</si>
  <si>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</si>
  <si>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</si>
  <si>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</si>
  <si>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</si>
  <si>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</si>
  <si>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</si>
  <si>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</si>
  <si>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</si>
  <si>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</si>
  <si>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</si>
  <si>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</si>
  <si>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</si>
  <si>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</si>
  <si>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</si>
  <si>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</si>
  <si>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</si>
  <si>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</si>
  <si>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</si>
  <si>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</si>
  <si>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</si>
  <si>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</si>
  <si>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</si>
  <si>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</si>
  <si>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</si>
  <si>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</si>
  <si>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</si>
  <si>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</si>
  <si>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</si>
  <si>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</si>
  <si>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</si>
  <si>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</si>
  <si>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</si>
  <si>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</si>
  <si>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</si>
  <si>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</si>
  <si>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</si>
  <si>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</si>
  <si>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</si>
  <si>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</si>
  <si>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</si>
  <si>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</si>
  <si>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</si>
  <si>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</si>
  <si>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</si>
  <si>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</si>
  <si>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</si>
  <si>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</si>
  <si>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</si>
  <si>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</si>
  <si>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</si>
  <si>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</si>
  <si>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</si>
  <si>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</si>
  <si>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</si>
  <si>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</si>
  <si>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</si>
  <si>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</si>
  <si>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</si>
  <si>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</si>
  <si>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</si>
  <si>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</si>
  <si>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</si>
  <si>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</si>
  <si>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</si>
  <si>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</si>
  <si>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</si>
  <si>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</si>
  <si>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</si>
  <si>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</si>
  <si>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</si>
  <si>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</si>
  <si>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</si>
  <si>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</si>
  <si>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</si>
  <si>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</si>
  <si>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</si>
  <si>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</si>
  <si>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</si>
  <si>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</si>
  <si>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</si>
  <si>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</si>
  <si>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</si>
  <si>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</si>
  <si>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</si>
  <si>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</si>
  <si>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</si>
  <si>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</si>
  <si>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</si>
  <si>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</si>
  <si>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</si>
  <si>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</si>
  <si>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</si>
  <si>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</si>
  <si>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</si>
  <si>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</si>
  <si>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</si>
  <si>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</si>
  <si>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</si>
  <si>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</si>
  <si>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</si>
  <si>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</si>
  <si>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</si>
  <si>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</si>
  <si>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</si>
  <si>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</si>
  <si>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</si>
  <si>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</si>
  <si>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</si>
  <si>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</si>
  <si>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</si>
  <si>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</si>
  <si>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</si>
  <si>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</si>
  <si>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</si>
  <si>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</si>
  <si>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</si>
  <si>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</si>
  <si>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</si>
  <si>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</si>
  <si>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</si>
  <si>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</si>
  <si>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</si>
  <si>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</si>
  <si>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</si>
  <si>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</si>
  <si>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</si>
  <si>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</si>
  <si>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</si>
  <si>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</si>
  <si>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</si>
  <si>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</si>
  <si>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</si>
  <si>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</si>
  <si>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</si>
  <si>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</si>
  <si>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</si>
  <si>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</si>
  <si>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</si>
  <si>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</si>
  <si>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</si>
  <si>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</si>
  <si>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</si>
  <si>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</si>
  <si>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</si>
  <si>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</si>
  <si>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</si>
  <si>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</si>
  <si>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</si>
  <si>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</si>
  <si>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</si>
  <si>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</si>
  <si>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</si>
  <si>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</si>
  <si>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</si>
  <si>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</si>
  <si>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</si>
  <si>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</si>
  <si>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</si>
  <si>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</si>
  <si>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</si>
  <si>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</si>
  <si>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</si>
  <si>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</si>
  <si>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</si>
  <si>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</si>
  <si>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</si>
  <si>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</si>
  <si>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</si>
  <si>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</si>
  <si>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</si>
  <si>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</si>
  <si>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</si>
  <si>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</si>
  <si>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</si>
  <si>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</si>
  <si>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</si>
  <si>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</si>
  <si>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</si>
  <si>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</si>
  <si>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</si>
  <si>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</si>
  <si>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</si>
  <si>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</si>
  <si>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</si>
  <si>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</si>
  <si>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</si>
  <si>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</si>
  <si>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</si>
  <si>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</si>
  <si>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</si>
  <si>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</si>
  <si>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</si>
  <si>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</si>
  <si>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</si>
  <si>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</si>
  <si>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</si>
  <si>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</si>
  <si>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</si>
  <si>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</si>
  <si>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</si>
  <si>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</si>
  <si>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</si>
  <si>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</si>
  <si>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</si>
  <si>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</si>
  <si>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</si>
  <si>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</si>
  <si>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</si>
  <si>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</si>
  <si>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</si>
  <si>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</si>
  <si>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</si>
  <si>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</si>
  <si>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</si>
  <si>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</si>
  <si>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</si>
  <si>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</si>
  <si>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</si>
  <si>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</si>
  <si>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</si>
  <si>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</si>
  <si>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</si>
  <si>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</si>
  <si>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</si>
  <si>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</si>
  <si>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</si>
  <si>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</si>
  <si>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</si>
  <si>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</si>
  <si>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</si>
  <si>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</si>
  <si>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</si>
  <si>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</si>
  <si>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</si>
  <si>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</si>
  <si>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</si>
  <si>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</si>
  <si>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</si>
  <si>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</si>
  <si>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</si>
  <si>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</si>
  <si>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</si>
  <si>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</si>
  <si>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</si>
  <si>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</si>
  <si>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</si>
  <si>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</si>
  <si>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</si>
  <si>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</si>
  <si>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</si>
  <si>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</si>
  <si>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</si>
  <si>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</si>
  <si>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</si>
  <si>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</si>
  <si>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</si>
  <si>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</si>
  <si>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</si>
  <si>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</si>
  <si>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</si>
  <si>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</si>
  <si>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</si>
  <si>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</si>
  <si>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</si>
  <si>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</si>
  <si>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</si>
  <si>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</si>
  <si>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</si>
  <si>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</si>
  <si>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</si>
  <si>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</si>
  <si>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</si>
  <si>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</si>
  <si>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</si>
  <si>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</si>
  <si>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</si>
  <si>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</si>
  <si>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</si>
  <si>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</si>
  <si>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</si>
  <si>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</si>
  <si>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</si>
  <si>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</si>
  <si>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</si>
  <si>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</si>
  <si>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</si>
  <si>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</si>
  <si>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</si>
  <si>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</si>
  <si>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</si>
  <si>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</si>
  <si>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</si>
  <si>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</si>
  <si>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</si>
  <si>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</si>
  <si>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</si>
  <si>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</si>
  <si>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</si>
  <si>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</si>
  <si>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</si>
  <si>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</si>
  <si>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</si>
  <si>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</si>
  <si>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</si>
  <si>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</si>
  <si>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</si>
  <si>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</si>
  <si>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</si>
  <si>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</si>
  <si>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</si>
  <si>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</si>
  <si>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</si>
  <si>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</si>
  <si>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</si>
  <si>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</si>
  <si>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</si>
  <si>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</si>
  <si>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</si>
  <si>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</si>
  <si>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</si>
  <si>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</si>
  <si>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</si>
  <si>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</si>
  <si>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</si>
  <si>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</si>
  <si>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</si>
  <si>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</si>
  <si>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</si>
  <si>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</si>
  <si>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</si>
  <si>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</si>
  <si>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</si>
  <si>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</si>
  <si>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</si>
  <si>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</si>
  <si>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</si>
  <si>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</si>
  <si>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</si>
  <si>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</si>
  <si>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</si>
  <si>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</si>
  <si>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</si>
  <si>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</si>
  <si>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</si>
  <si>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</si>
  <si>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</si>
  <si>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</si>
  <si>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</si>
  <si>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</si>
  <si>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</si>
  <si>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</si>
  <si>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</si>
  <si>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</si>
  <si>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</si>
  <si>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</si>
  <si>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</si>
  <si>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</si>
  <si>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</si>
  <si>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</si>
  <si>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</si>
  <si>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</si>
  <si>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</si>
  <si>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</si>
  <si>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</si>
  <si>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</si>
  <si>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</si>
  <si>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</si>
  <si>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</si>
  <si>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</si>
  <si>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</si>
  <si>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</si>
  <si>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</si>
  <si>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</si>
  <si>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</si>
  <si>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</si>
  <si>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</si>
  <si>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</si>
  <si>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</si>
  <si>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</si>
  <si>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</si>
  <si>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</si>
  <si>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</si>
  <si>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</si>
  <si>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</si>
  <si>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</si>
  <si>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</si>
  <si>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</si>
  <si>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</si>
  <si>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</si>
  <si>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</si>
  <si>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</si>
  <si>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</si>
  <si>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</si>
  <si>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</si>
  <si>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</si>
  <si>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</si>
  <si>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</si>
  <si>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</si>
  <si>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</si>
  <si>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</si>
  <si>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</si>
  <si>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</si>
  <si>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</si>
  <si>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</si>
  <si>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</si>
  <si>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</si>
  <si>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</si>
  <si>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</si>
  <si>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</si>
  <si>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</si>
  <si>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</si>
  <si>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</si>
  <si>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</si>
  <si>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</si>
  <si>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</si>
  <si>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</si>
  <si>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</si>
  <si>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</si>
  <si>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</si>
  <si>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</si>
  <si>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</si>
  <si>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</si>
  <si>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</si>
  <si>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</si>
  <si>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</si>
  <si>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</si>
  <si>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</si>
  <si>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</si>
  <si>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</si>
  <si>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</si>
  <si>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</si>
  <si>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</si>
  <si>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</si>
  <si>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</si>
  <si>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</si>
  <si>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</si>
  <si>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</si>
  <si>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</si>
  <si>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</si>
  <si>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</si>
  <si>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</si>
  <si>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</si>
  <si>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</si>
  <si>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</si>
  <si>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</si>
  <si>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</si>
  <si>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</si>
  <si>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</si>
  <si>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</si>
  <si>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</si>
  <si>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</si>
  <si>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</si>
  <si>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</si>
  <si>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</si>
  <si>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</si>
  <si>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</si>
  <si>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</si>
  <si>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</si>
  <si>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</si>
  <si>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</si>
  <si>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</si>
  <si>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</si>
  <si>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</si>
  <si>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</si>
  <si>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</si>
  <si>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</si>
  <si>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</si>
  <si>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</si>
  <si>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</si>
  <si>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</si>
  <si>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</si>
  <si>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</si>
  <si>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</si>
  <si>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</si>
  <si>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</si>
  <si>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</si>
  <si>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</si>
  <si>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</si>
  <si>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</si>
  <si>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</si>
  <si>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</si>
  <si>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</si>
  <si>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</si>
  <si>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</si>
  <si>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</si>
  <si>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</si>
  <si>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</si>
  <si>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</si>
  <si>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</si>
  <si>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</si>
  <si>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</si>
  <si>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</si>
  <si>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</si>
  <si>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</si>
  <si>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</si>
  <si>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</si>
  <si>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</si>
  <si>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</si>
  <si>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</si>
  <si>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</si>
  <si>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</si>
  <si>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</si>
  <si>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</si>
  <si>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</si>
  <si>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</si>
  <si>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</si>
  <si>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</si>
  <si>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</si>
  <si>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</si>
  <si>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</si>
  <si>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</si>
  <si>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</si>
  <si>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</si>
  <si>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</si>
  <si>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</si>
  <si>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</si>
  <si>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</si>
  <si>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</si>
  <si>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</si>
  <si>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</si>
  <si>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</si>
  <si>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</si>
  <si>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</si>
  <si>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</si>
  <si>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</si>
  <si>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</si>
  <si>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</si>
  <si>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</si>
  <si>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</si>
  <si>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</si>
  <si>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</si>
  <si>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</si>
  <si>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</si>
  <si>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</si>
  <si>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</si>
  <si>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</si>
  <si>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</si>
  <si>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</si>
  <si>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</si>
  <si>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</si>
  <si>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</si>
  <si>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</si>
  <si>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</si>
  <si>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</si>
  <si>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</si>
  <si>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</si>
  <si>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</si>
  <si>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</si>
  <si>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</si>
  <si>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</si>
  <si>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</si>
  <si>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</si>
  <si>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</si>
  <si>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</si>
  <si>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</si>
  <si>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</si>
  <si>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</si>
  <si>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</si>
  <si>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</si>
  <si>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</si>
  <si>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</si>
  <si>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</si>
  <si>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</si>
  <si>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</si>
  <si>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</si>
  <si>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</si>
  <si>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</si>
  <si>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</si>
  <si>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</si>
  <si>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</si>
  <si>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</si>
  <si>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</si>
  <si>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</si>
  <si>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</si>
  <si>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</si>
  <si>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</si>
  <si>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</si>
  <si>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</si>
  <si>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</si>
  <si>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</si>
  <si>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</si>
  <si>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</si>
  <si>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</si>
  <si>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</si>
  <si>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</si>
  <si>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</si>
  <si>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</si>
  <si>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</si>
  <si>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</si>
  <si>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</si>
  <si>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</si>
  <si>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</si>
  <si>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</si>
  <si>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</si>
  <si>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</si>
  <si>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</si>
  <si>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</si>
  <si>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</si>
  <si>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</si>
  <si>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</si>
  <si>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</si>
  <si>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</si>
  <si>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</si>
  <si>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</si>
  <si>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</si>
  <si>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</si>
  <si>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</si>
  <si>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</si>
  <si>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</si>
  <si>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</si>
  <si>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</si>
  <si>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</si>
  <si>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</si>
  <si>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</si>
  <si>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</si>
  <si>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</si>
  <si>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</si>
  <si>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</si>
  <si>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</si>
  <si>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</si>
  <si>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</si>
  <si>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</si>
  <si>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</si>
  <si>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</si>
  <si>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</si>
  <si>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</si>
  <si>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</si>
  <si>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</si>
  <si>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</si>
  <si>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</si>
  <si>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</si>
  <si>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</si>
  <si>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</si>
  <si>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</si>
  <si>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</si>
  <si>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</si>
  <si>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</si>
  <si>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</si>
  <si>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</si>
  <si>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</si>
  <si>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</si>
  <si>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</si>
  <si>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</si>
  <si>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</si>
  <si>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</si>
  <si>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</si>
  <si>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</si>
  <si>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</si>
  <si>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</si>
  <si>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</si>
  <si>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</si>
  <si>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</si>
  <si>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</si>
  <si>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</si>
  <si>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</si>
  <si>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</si>
  <si>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</si>
  <si>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</si>
  <si>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</si>
  <si>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</si>
  <si>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</si>
  <si>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</si>
  <si>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</si>
  <si>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</si>
  <si>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</si>
  <si>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</si>
  <si>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</si>
  <si>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</si>
  <si>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</si>
  <si>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</si>
  <si>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</si>
  <si>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</si>
  <si>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</si>
  <si>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</si>
  <si>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</si>
  <si>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</si>
  <si>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</si>
  <si>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</si>
  <si>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</si>
  <si>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</si>
  <si>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</si>
  <si>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</si>
  <si>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</si>
  <si>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</si>
  <si>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</si>
  <si>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</si>
  <si>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</si>
  <si>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</si>
  <si>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</si>
  <si>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</si>
  <si>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</si>
  <si>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</si>
  <si>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</si>
  <si>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</si>
  <si>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</si>
  <si>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</si>
  <si>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</si>
  <si>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</si>
  <si>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</si>
  <si>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</si>
  <si>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</si>
  <si>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</si>
  <si>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</si>
  <si>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</si>
  <si>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</si>
  <si>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</si>
  <si>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</si>
  <si>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</si>
  <si>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</si>
  <si>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</si>
  <si>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</si>
  <si>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</si>
  <si>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</si>
  <si>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</si>
  <si>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</si>
  <si>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</si>
  <si>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</si>
  <si>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</si>
  <si>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</si>
  <si>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</si>
  <si>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</si>
  <si>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</si>
  <si>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</si>
  <si>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</si>
  <si>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</si>
  <si>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</si>
  <si>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</si>
  <si>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</si>
  <si>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</si>
  <si>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</si>
  <si>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</si>
  <si>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</si>
  <si>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</si>
  <si>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</si>
  <si>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</si>
  <si>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</si>
  <si>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</si>
  <si>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</si>
  <si>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</si>
  <si>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</si>
  <si>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</si>
  <si>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</si>
  <si>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</si>
  <si>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</si>
  <si>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</si>
  <si>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</si>
  <si>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</si>
  <si>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</si>
  <si>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</si>
  <si>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</si>
  <si>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</si>
  <si>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</si>
  <si>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</si>
  <si>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</si>
  <si>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</si>
  <si>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</si>
  <si>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</si>
  <si>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</si>
  <si>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</si>
  <si>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</si>
  <si>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</si>
  <si>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</si>
  <si>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</si>
  <si>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</si>
  <si>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</si>
  <si>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</si>
  <si>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</si>
  <si>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</si>
  <si>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</si>
  <si>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</si>
  <si>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</si>
  <si>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</si>
  <si>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</si>
  <si>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</si>
  <si>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</si>
  <si>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</si>
  <si>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</si>
  <si>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</si>
  <si>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</si>
  <si>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</si>
  <si>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</si>
  <si>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</si>
  <si>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</si>
  <si>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</si>
  <si>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</si>
  <si>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</si>
  <si>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</si>
  <si>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</si>
  <si>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</si>
  <si>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</si>
  <si>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</si>
  <si>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</si>
  <si>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</si>
  <si>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</si>
  <si>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</si>
  <si>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</si>
  <si>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</si>
  <si>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</si>
  <si>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</si>
  <si>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</si>
  <si>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</si>
  <si>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</si>
  <si>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</si>
  <si>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</si>
  <si>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</si>
  <si>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</si>
  <si>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</si>
  <si>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</si>
  <si>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</si>
  <si>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</si>
  <si>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</si>
  <si>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</si>
  <si>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</si>
  <si>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</si>
  <si>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</si>
  <si>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</si>
  <si>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</si>
  <si>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</si>
  <si>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</si>
  <si>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</si>
  <si>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</si>
  <si>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</si>
  <si>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</si>
  <si>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</si>
  <si>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</si>
  <si>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</si>
  <si>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</si>
  <si>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</si>
  <si>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</si>
  <si>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</si>
  <si>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</si>
  <si>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</si>
  <si>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</si>
  <si>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</si>
  <si>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</si>
  <si>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</si>
  <si>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</si>
  <si>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</si>
  <si>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</si>
  <si>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</si>
  <si>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</si>
  <si>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</si>
  <si>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</si>
  <si>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</si>
  <si>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</si>
  <si>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</si>
  <si>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</si>
  <si>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</si>
  <si>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</si>
  <si>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</si>
  <si>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</si>
  <si>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</si>
  <si>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</si>
  <si>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</si>
  <si>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</si>
  <si>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</si>
  <si>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</si>
  <si>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</si>
  <si>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</si>
  <si>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</si>
  <si>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</si>
  <si>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</si>
  <si>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</si>
  <si>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</si>
  <si>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</si>
  <si>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</si>
  <si>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</si>
  <si>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</si>
  <si>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</si>
  <si>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</si>
  <si>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</si>
  <si>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</si>
  <si>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</si>
  <si>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</si>
  <si>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</si>
  <si>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</si>
  <si>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</si>
  <si>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</si>
  <si>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</si>
  <si>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</si>
  <si>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</si>
  <si>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</si>
  <si>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</si>
  <si>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</si>
  <si>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</si>
  <si>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</si>
  <si>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</si>
  <si>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</si>
  <si>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</si>
  <si>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</si>
  <si>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</si>
  <si>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</si>
  <si>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</si>
  <si>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</si>
  <si>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</si>
  <si>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</si>
  <si>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</si>
  <si>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</si>
  <si>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</si>
  <si>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</si>
  <si>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</si>
  <si>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</si>
  <si>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</si>
  <si>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</si>
  <si>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</si>
  <si>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</si>
  <si>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</si>
  <si>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</si>
  <si>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</si>
  <si>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</si>
  <si>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</si>
  <si>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</si>
  <si>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</si>
  <si>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</si>
  <si>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</si>
  <si>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</si>
  <si>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</si>
  <si>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</si>
  <si>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</si>
  <si>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</si>
  <si>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</si>
  <si>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</si>
  <si>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</si>
  <si>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</si>
  <si>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</si>
  <si>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</si>
  <si>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</si>
  <si>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</si>
  <si>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</si>
  <si>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</si>
  <si>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</si>
  <si>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</si>
  <si>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</si>
  <si>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</si>
  <si>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</si>
  <si>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</si>
  <si>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</si>
  <si>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</si>
  <si>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</si>
  <si>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</si>
  <si>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</si>
  <si>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</si>
  <si>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</si>
  <si>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</si>
  <si>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</si>
  <si>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</si>
  <si>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</si>
  <si>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</si>
  <si>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</si>
  <si>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</si>
  <si>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</si>
  <si>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</si>
  <si>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</si>
  <si>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</si>
  <si>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</si>
  <si>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</si>
  <si>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</si>
  <si>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</si>
  <si>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</si>
  <si>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</si>
  <si>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</si>
  <si>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</si>
  <si>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</si>
  <si>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</si>
  <si>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</si>
  <si>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</si>
  <si>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</si>
  <si>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</si>
  <si>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</si>
  <si>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</si>
  <si>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</si>
  <si>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</si>
  <si>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</si>
  <si>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</si>
  <si>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</si>
  <si>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</si>
  <si>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</si>
  <si>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</si>
  <si>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</si>
  <si>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</si>
  <si>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</si>
  <si>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</si>
  <si>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</si>
  <si>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</si>
  <si>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</si>
  <si>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</si>
  <si>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</si>
  <si>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</si>
  <si>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</si>
  <si>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</si>
  <si>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</si>
  <si>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</si>
  <si>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</si>
  <si>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</si>
  <si>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</si>
  <si>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</si>
  <si>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</si>
  <si>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</si>
  <si>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</si>
  <si>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</si>
  <si>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</si>
  <si>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</si>
  <si>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</si>
  <si>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</si>
  <si>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</si>
  <si>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</si>
  <si>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</si>
  <si>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</si>
  <si>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</si>
  <si>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</si>
  <si>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</si>
  <si>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</si>
  <si>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</si>
  <si>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</si>
  <si>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</si>
  <si>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</si>
  <si>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</si>
  <si>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</si>
  <si>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</si>
  <si>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</si>
  <si>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</si>
  <si>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</si>
  <si>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</si>
  <si>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</si>
  <si>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</si>
  <si>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</si>
  <si>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</si>
  <si>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</si>
  <si>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</si>
  <si>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</si>
  <si>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</si>
  <si>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</si>
  <si>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</si>
  <si>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</si>
  <si>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</si>
  <si>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</si>
  <si>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</si>
  <si>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</si>
  <si>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</si>
  <si>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</si>
  <si>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</si>
  <si>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</si>
  <si>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</si>
  <si>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</si>
  <si>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</si>
  <si>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</si>
  <si>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</si>
  <si>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</si>
  <si>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</si>
  <si>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</si>
  <si>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</si>
  <si>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</si>
  <si>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</si>
  <si>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</si>
  <si>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</si>
  <si>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</si>
  <si>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</si>
  <si>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</si>
  <si>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</si>
  <si>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</si>
  <si>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</si>
  <si>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</si>
  <si>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</si>
  <si>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</si>
  <si>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</si>
  <si>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</si>
  <si>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</si>
  <si>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</si>
  <si>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</si>
  <si>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</si>
  <si>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</si>
  <si>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</si>
  <si>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</si>
  <si>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</si>
  <si>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</si>
  <si>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</si>
  <si>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</si>
  <si>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</si>
  <si>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</si>
  <si>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</si>
  <si>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</si>
  <si>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</si>
  <si>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</si>
  <si>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</si>
  <si>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</si>
  <si>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</si>
  <si>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</si>
  <si>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</si>
  <si>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</si>
  <si>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</si>
  <si>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</si>
  <si>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</si>
  <si>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</si>
  <si>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</si>
  <si>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</si>
  <si>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</si>
  <si>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</si>
  <si>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</si>
  <si>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</si>
  <si>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</si>
  <si>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</si>
  <si>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</si>
  <si>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</si>
  <si>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</si>
  <si>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</si>
  <si>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</si>
  <si>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</si>
  <si>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</si>
  <si>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</si>
  <si>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</si>
  <si>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</si>
  <si>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</si>
  <si>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</si>
  <si>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</si>
  <si>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</si>
  <si>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</si>
  <si>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</si>
  <si>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</si>
  <si>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</si>
  <si>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</si>
  <si>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</si>
  <si>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</si>
  <si>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</si>
  <si>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</si>
  <si>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</si>
  <si>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</si>
  <si>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</si>
  <si>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</si>
  <si>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</si>
  <si>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</si>
  <si>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</si>
  <si>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</si>
  <si>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</si>
  <si>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</si>
  <si>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</si>
  <si>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</si>
  <si>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</si>
  <si>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</si>
  <si>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</si>
  <si>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</si>
  <si>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</si>
  <si>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</si>
  <si>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</si>
  <si>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</si>
  <si>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</si>
  <si>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</si>
  <si>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</si>
  <si>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</si>
  <si>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</si>
  <si>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</si>
  <si>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</si>
  <si>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</si>
  <si>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</si>
  <si>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</si>
  <si>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</si>
  <si>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</si>
  <si>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</si>
  <si>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</si>
  <si>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</si>
  <si>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</si>
  <si>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</si>
  <si>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</si>
  <si>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</si>
  <si>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</si>
  <si>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</si>
  <si>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</si>
  <si>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</si>
  <si>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</si>
  <si>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</si>
  <si>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</si>
  <si>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</si>
  <si>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</si>
  <si>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</si>
  <si>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</si>
  <si>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</si>
  <si>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</si>
  <si>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</si>
  <si>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</si>
  <si>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</si>
  <si>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</si>
  <si>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</si>
  <si>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</si>
  <si>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</si>
  <si>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</si>
  <si>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</si>
  <si>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</si>
  <si>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</si>
  <si>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</si>
  <si>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</si>
  <si>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</si>
  <si>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</si>
  <si>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</si>
  <si>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</si>
  <si>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</si>
  <si>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</si>
  <si>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</si>
  <si>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</si>
  <si>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</si>
  <si>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</si>
  <si>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</si>
  <si>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</si>
  <si>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</si>
  <si>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</si>
  <si>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</si>
  <si>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</si>
  <si>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</si>
  <si>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</si>
  <si>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</si>
  <si>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</si>
  <si>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</si>
  <si>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</si>
  <si>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</si>
  <si>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</si>
  <si>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</si>
  <si>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</si>
  <si>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</si>
  <si>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</si>
  <si>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</si>
  <si>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</si>
  <si>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</si>
  <si>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</si>
  <si>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</si>
  <si>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</si>
  <si>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</si>
  <si>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</si>
  <si>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</si>
  <si>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</si>
  <si>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</si>
  <si>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</si>
  <si>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</si>
  <si>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</si>
  <si>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</si>
  <si>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</si>
  <si>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</si>
  <si>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</si>
  <si>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</si>
  <si>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</si>
  <si>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</si>
  <si>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</si>
  <si>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</si>
  <si>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</si>
  <si>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</si>
  <si>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</si>
  <si>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</si>
  <si>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</si>
  <si>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</si>
  <si>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</si>
  <si>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</si>
  <si>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</si>
  <si>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</si>
  <si>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</si>
  <si>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</si>
  <si>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</si>
  <si>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</si>
  <si>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</si>
  <si>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</si>
  <si>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</si>
  <si>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</si>
  <si>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</si>
  <si>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</si>
  <si>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</si>
  <si>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</si>
  <si>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</si>
  <si>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</si>
  <si>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</si>
  <si>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</si>
  <si>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</si>
  <si>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</si>
  <si>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</si>
  <si>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</si>
  <si>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</si>
  <si>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</si>
  <si>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</si>
  <si>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</si>
  <si>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</si>
  <si>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</si>
  <si>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</si>
  <si>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</si>
  <si>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</si>
  <si>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</si>
  <si>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</si>
  <si>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</si>
  <si>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</si>
  <si>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</si>
  <si>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</si>
  <si>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</si>
  <si>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</si>
  <si>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</si>
  <si>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</si>
  <si>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</si>
  <si>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</si>
  <si>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</si>
  <si>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</si>
  <si>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</si>
  <si>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</si>
  <si>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</si>
  <si>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</si>
  <si>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</si>
  <si>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</si>
  <si>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</si>
  <si>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</si>
  <si>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</si>
  <si>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</si>
  <si>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</si>
  <si>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</si>
  <si>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</si>
  <si>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</si>
  <si>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</si>
  <si>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</si>
  <si>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</si>
  <si>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</si>
  <si>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</si>
  <si>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</si>
  <si>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</si>
  <si>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</si>
  <si>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</si>
  <si>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</si>
  <si>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</si>
  <si>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</si>
  <si>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</si>
  <si>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</si>
  <si>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</si>
  <si>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</si>
  <si>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</si>
  <si>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</si>
  <si>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</si>
  <si>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</si>
  <si>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</si>
  <si>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</si>
  <si>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</si>
  <si>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</si>
  <si>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</si>
  <si>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</si>
  <si>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</si>
  <si>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</si>
  <si>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</si>
  <si>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</si>
  <si>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</si>
  <si>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</si>
  <si>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</si>
  <si>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</si>
  <si>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</si>
  <si>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</si>
  <si>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</si>
  <si>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</si>
  <si>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</si>
  <si>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</si>
  <si>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</si>
  <si>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</si>
  <si>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</si>
  <si>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</si>
  <si>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</si>
  <si>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</si>
  <si>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</si>
  <si>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</si>
  <si>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</si>
  <si>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</si>
  <si>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</si>
  <si>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</si>
  <si>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</si>
  <si>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</si>
  <si>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</si>
  <si>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</si>
  <si>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</si>
  <si>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</si>
  <si>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</si>
  <si>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</si>
  <si>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</si>
  <si>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</si>
  <si>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</si>
  <si>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</si>
  <si>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</si>
  <si>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</si>
  <si>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</si>
  <si>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</si>
  <si>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</si>
  <si>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</si>
  <si>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</si>
  <si>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</si>
  <si>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</si>
  <si>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</si>
  <si>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</si>
  <si>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</si>
  <si>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</si>
  <si>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</si>
  <si>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</si>
  <si>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</si>
  <si>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</si>
  <si>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</si>
  <si>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</si>
  <si>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</si>
  <si>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</si>
  <si>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</si>
  <si>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</si>
  <si>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</si>
  <si>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</si>
  <si>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</si>
  <si>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</si>
  <si>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</si>
  <si>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</si>
  <si>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</si>
  <si>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</si>
  <si>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</si>
  <si>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</si>
  <si>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</si>
  <si>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</si>
  <si>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</si>
  <si>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</si>
  <si>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</si>
  <si>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</si>
  <si>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</si>
  <si>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</si>
  <si>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</si>
  <si>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</si>
  <si>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</si>
  <si>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</si>
  <si>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</si>
  <si>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</si>
  <si>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</si>
  <si>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</si>
  <si>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</si>
  <si>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</si>
  <si>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</si>
  <si>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</si>
  <si>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</si>
  <si>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</si>
  <si>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</si>
  <si>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</si>
  <si>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</si>
  <si>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</si>
  <si>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</si>
  <si>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</si>
  <si>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</si>
  <si>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</si>
  <si>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</si>
  <si>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</si>
  <si>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</si>
  <si>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</si>
  <si>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</si>
  <si>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</si>
  <si>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</si>
  <si>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</si>
  <si>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</si>
  <si>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</si>
  <si>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</si>
  <si>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</si>
  <si>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</si>
  <si>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</si>
  <si>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</si>
  <si>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</si>
  <si>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</si>
  <si>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</si>
  <si>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</si>
  <si>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</si>
  <si>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</si>
  <si>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</si>
  <si>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</si>
  <si>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</si>
  <si>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</si>
  <si>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</si>
  <si>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</si>
  <si>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</si>
  <si>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</si>
  <si>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</si>
  <si>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</si>
  <si>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</si>
  <si>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</si>
  <si>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</si>
  <si>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</si>
  <si>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</si>
  <si>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</si>
  <si>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</si>
  <si>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</si>
  <si>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</si>
  <si>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</si>
  <si>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</si>
  <si>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</si>
  <si>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</si>
  <si>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</si>
  <si>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</si>
  <si>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</si>
  <si>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</si>
  <si>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</si>
  <si>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</si>
  <si>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</si>
  <si>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</si>
  <si>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</si>
  <si>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</si>
  <si>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</si>
  <si>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</si>
  <si>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</si>
  <si>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</si>
  <si>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</si>
  <si>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</si>
  <si>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</si>
  <si>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</si>
  <si>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</si>
  <si>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</si>
  <si>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</si>
  <si>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</si>
  <si>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</si>
  <si>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</si>
  <si>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</si>
  <si>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</si>
  <si>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</si>
  <si>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</si>
  <si>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</si>
  <si>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</si>
  <si>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</si>
  <si>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</si>
  <si>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</si>
  <si>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</si>
  <si>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</si>
  <si>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</si>
  <si>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</si>
  <si>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</si>
  <si>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</si>
  <si>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</si>
  <si>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</si>
  <si>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</si>
  <si>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</si>
  <si>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</si>
  <si>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</si>
  <si>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</si>
  <si>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</si>
  <si>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</si>
  <si>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</si>
  <si>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</si>
  <si>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</si>
  <si>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</si>
  <si>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</si>
  <si>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</si>
  <si>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</si>
  <si>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</si>
  <si>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</si>
  <si>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</si>
  <si>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</si>
  <si>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</si>
  <si>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</si>
  <si>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</si>
  <si>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</si>
  <si>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</si>
  <si>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</si>
  <si>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</si>
  <si>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</si>
  <si>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</si>
  <si>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</si>
  <si>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</si>
  <si>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</si>
  <si>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</si>
  <si>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</si>
  <si>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</si>
  <si>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</si>
  <si>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</si>
  <si>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</si>
  <si>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</si>
  <si>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</si>
  <si>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</si>
  <si>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</si>
  <si>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</si>
  <si>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</si>
  <si>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</si>
  <si>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</si>
  <si>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</si>
  <si>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</si>
  <si>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</si>
  <si>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</si>
  <si>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</si>
  <si>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</si>
  <si>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</si>
  <si>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</si>
  <si>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</si>
  <si>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</si>
  <si>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</si>
  <si>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</si>
  <si>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</si>
  <si>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</si>
  <si>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</si>
  <si>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</si>
  <si>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</si>
  <si>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</si>
  <si>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</si>
  <si>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</si>
  <si>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</si>
  <si>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</si>
  <si>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</si>
  <si>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</si>
  <si>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</si>
  <si>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</si>
  <si>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</si>
  <si>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</si>
  <si>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</si>
  <si>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</si>
  <si>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</si>
  <si>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</si>
  <si>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</si>
  <si>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</si>
  <si>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</si>
  <si>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</si>
  <si>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</si>
  <si>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</si>
  <si>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</si>
  <si>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</si>
  <si>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</si>
  <si>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</si>
  <si>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</si>
  <si>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</si>
  <si>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</si>
  <si>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</si>
  <si>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</si>
  <si>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</si>
  <si>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</si>
  <si>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</si>
  <si>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</si>
  <si>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</si>
  <si>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</si>
  <si>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</si>
  <si>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</si>
  <si>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</si>
  <si>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</si>
  <si>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</si>
  <si>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</si>
  <si>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</si>
  <si>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</si>
  <si>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</si>
  <si>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</si>
  <si>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</si>
  <si>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</si>
  <si>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</si>
  <si>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</si>
  <si>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</si>
  <si>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</si>
  <si>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</si>
  <si>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</si>
  <si>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</si>
  <si>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</si>
  <si>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</si>
  <si>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</si>
  <si>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</si>
  <si>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</si>
  <si>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</si>
  <si>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</si>
  <si>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</si>
  <si>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</si>
  <si>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</si>
  <si>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</si>
  <si>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</si>
  <si>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</si>
  <si>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</si>
  <si>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</si>
  <si>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</si>
  <si>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</si>
  <si>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</si>
  <si>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</si>
  <si>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</si>
  <si>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</si>
  <si>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</si>
  <si>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</si>
  <si>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</si>
  <si>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</si>
  <si>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</si>
  <si>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</si>
  <si>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</si>
  <si>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</si>
  <si>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</si>
  <si>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</si>
  <si>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</si>
  <si>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</si>
  <si>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</si>
  <si>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</si>
  <si>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</si>
  <si>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</si>
  <si>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</si>
  <si>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</si>
  <si>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</si>
  <si>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</si>
  <si>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</si>
  <si>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</si>
  <si>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</si>
  <si>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</si>
  <si>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</si>
  <si>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</si>
  <si>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</si>
  <si>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</si>
  <si>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</si>
  <si>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</si>
  <si>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</si>
  <si>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</si>
  <si>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</si>
  <si>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</si>
  <si>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</si>
  <si>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</si>
  <si>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</si>
  <si>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</si>
  <si>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</si>
  <si>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</si>
  <si>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</si>
  <si>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</si>
  <si>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</si>
  <si>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</si>
  <si>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</si>
  <si>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</si>
  <si>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</si>
  <si>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</si>
  <si>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</si>
  <si>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</si>
  <si>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</si>
  <si>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</si>
  <si>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</si>
  <si>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</si>
  <si>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</si>
  <si>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</si>
  <si>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</si>
  <si>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</si>
  <si>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</si>
  <si>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</si>
  <si>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</si>
  <si>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</si>
  <si>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</si>
  <si>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</si>
  <si>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</si>
  <si>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</si>
  <si>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</si>
  <si>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</si>
  <si>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</si>
  <si>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</si>
  <si>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</si>
  <si>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</si>
  <si>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</si>
  <si>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</si>
  <si>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</si>
  <si>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</si>
  <si>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</si>
  <si>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</si>
  <si>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</si>
  <si>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</si>
  <si>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</si>
  <si>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</si>
  <si>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</si>
  <si>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</si>
  <si>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</si>
  <si>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</si>
  <si>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</si>
  <si>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</si>
  <si>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</si>
  <si>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</si>
  <si>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</si>
  <si>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</si>
  <si>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</si>
  <si>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</si>
  <si>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</si>
  <si>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</si>
  <si>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</si>
  <si>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</si>
  <si>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</si>
  <si>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</si>
  <si>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</si>
  <si>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</si>
  <si>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</si>
  <si>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</si>
  <si>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</si>
  <si>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</si>
  <si>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</si>
  <si>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</si>
  <si>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</si>
  <si>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</si>
  <si>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</si>
  <si>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</si>
  <si>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</si>
  <si>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</si>
  <si>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</si>
  <si>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</si>
  <si>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</si>
  <si>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</si>
  <si>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</si>
  <si>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</si>
  <si>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</si>
  <si>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</si>
  <si>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</si>
  <si>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</si>
  <si>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</si>
  <si>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</si>
  <si>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</si>
  <si>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</si>
  <si>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</si>
  <si>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</si>
  <si>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</si>
  <si>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</si>
  <si>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</si>
  <si>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</si>
  <si>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</si>
  <si>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</si>
  <si>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</si>
  <si>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</si>
  <si>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</si>
  <si>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</si>
  <si>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</si>
  <si>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</si>
  <si>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</si>
  <si>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</si>
  <si>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</si>
  <si>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</si>
  <si>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</si>
  <si>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</si>
  <si>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</si>
  <si>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</si>
  <si>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</si>
  <si>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</si>
  <si>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</si>
  <si>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</si>
  <si>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</si>
  <si>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</si>
  <si>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</si>
  <si>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</si>
  <si>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</si>
  <si>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</si>
  <si>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</si>
  <si>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</si>
  <si>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</si>
  <si>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</si>
  <si>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</si>
  <si>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</si>
  <si>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</si>
  <si>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</si>
  <si>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</si>
  <si>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</si>
  <si>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</si>
  <si>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</si>
  <si>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</si>
  <si>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</si>
  <si>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</si>
  <si>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</si>
  <si>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</si>
  <si>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</si>
  <si>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</si>
  <si>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</si>
  <si>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</si>
  <si>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</si>
  <si>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</si>
  <si>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</si>
  <si>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</si>
  <si>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</si>
  <si>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</si>
  <si>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</si>
  <si>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</si>
  <si>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</si>
  <si>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</si>
  <si>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</si>
  <si>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</si>
  <si>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</si>
  <si>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</si>
  <si>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</si>
  <si>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</si>
  <si>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</si>
  <si>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</si>
  <si>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</si>
  <si>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</si>
  <si>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</si>
  <si>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</si>
  <si>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</si>
  <si>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</si>
  <si>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</si>
  <si>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</si>
  <si>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</si>
  <si>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</si>
  <si>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</si>
  <si>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</si>
  <si>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</si>
  <si>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</si>
  <si>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</si>
  <si>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</si>
  <si>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</si>
  <si>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</si>
  <si>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</si>
  <si>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</si>
  <si>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</si>
  <si>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</si>
  <si>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</si>
  <si>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</si>
  <si>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</si>
  <si>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</si>
  <si>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</si>
  <si>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</si>
  <si>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</si>
  <si>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</si>
  <si>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</si>
  <si>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</si>
  <si>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</si>
  <si>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</si>
  <si>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</si>
  <si>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</si>
  <si>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</si>
  <si>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</si>
  <si>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</si>
  <si>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</si>
  <si>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</si>
  <si>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</si>
  <si>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</si>
  <si>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</si>
  <si>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</si>
  <si>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</si>
  <si>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</si>
  <si>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</si>
  <si>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</si>
  <si>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</si>
  <si>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</si>
  <si>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</si>
  <si>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</si>
  <si>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</si>
  <si>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</si>
  <si>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</si>
  <si>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</si>
  <si>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</si>
  <si>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</si>
  <si>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</si>
  <si>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</si>
  <si>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</si>
  <si>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</si>
  <si>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</si>
  <si>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</si>
  <si>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</si>
  <si>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</si>
  <si>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</si>
  <si>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</si>
  <si>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</si>
  <si>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</si>
  <si>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</si>
  <si>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</si>
  <si>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</si>
  <si>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</si>
  <si>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</si>
  <si>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</si>
  <si>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</si>
  <si>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</si>
  <si>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</si>
  <si>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</si>
  <si>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</si>
  <si>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</si>
  <si>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</si>
  <si>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</si>
  <si>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</si>
  <si>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</si>
  <si>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</si>
  <si>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</si>
  <si>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</si>
  <si>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</si>
  <si>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</si>
  <si>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</si>
  <si>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</si>
  <si>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</si>
  <si>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</si>
  <si>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</si>
  <si>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</si>
  <si>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</si>
  <si>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</si>
  <si>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</si>
  <si>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</si>
  <si>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</si>
  <si>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</si>
  <si>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</si>
  <si>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</si>
  <si>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</si>
  <si>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</si>
  <si>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</si>
  <si>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</si>
  <si>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</si>
  <si>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</si>
  <si>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</si>
  <si>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</si>
  <si>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</si>
  <si>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</si>
  <si>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</si>
  <si>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</si>
  <si>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</si>
  <si>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</si>
  <si>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</si>
  <si>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</si>
  <si>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</si>
  <si>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</si>
  <si>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</si>
  <si>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</si>
  <si>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</si>
  <si>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</si>
  <si>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</si>
  <si>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</si>
  <si>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</si>
  <si>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</si>
  <si>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</si>
  <si>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</si>
  <si>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</si>
  <si>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</si>
  <si>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</si>
  <si>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</si>
  <si>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</si>
  <si>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</si>
  <si>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</si>
  <si>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</si>
  <si>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</si>
  <si>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</si>
  <si>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</si>
  <si>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</si>
  <si>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</si>
  <si>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</si>
  <si>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</si>
  <si>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</si>
  <si>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</si>
  <si>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</si>
  <si>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</si>
  <si>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</si>
  <si>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</si>
  <si>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</si>
  <si>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</si>
  <si>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</si>
  <si>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</si>
  <si>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</si>
  <si>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</si>
  <si>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</si>
  <si>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</si>
  <si>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</si>
  <si>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</si>
  <si>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</si>
  <si>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</si>
  <si>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</si>
  <si>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</si>
  <si>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</si>
  <si>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</si>
  <si>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</si>
  <si>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</si>
  <si>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</si>
  <si>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</si>
  <si>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</si>
  <si>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</si>
  <si>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</si>
  <si>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</si>
  <si>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</si>
  <si>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</si>
  <si>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</si>
  <si>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</si>
  <si>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</si>
  <si>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</si>
  <si>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</si>
  <si>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</si>
  <si>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</si>
  <si>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</si>
  <si>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</si>
  <si>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</si>
  <si>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</si>
  <si>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</si>
  <si>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</si>
  <si>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</si>
  <si>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</si>
  <si>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</si>
  <si>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</si>
  <si>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</si>
  <si>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</si>
  <si>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</si>
  <si>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</si>
  <si>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</si>
  <si>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</si>
  <si>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</si>
  <si>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</si>
  <si>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</si>
  <si>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</si>
  <si>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</si>
  <si>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</si>
  <si>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</si>
  <si>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</si>
  <si>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</si>
  <si>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</si>
  <si>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</si>
  <si>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</si>
  <si>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</si>
  <si>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</si>
  <si>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</si>
  <si>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</si>
  <si>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</si>
  <si>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</si>
  <si>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</si>
  <si>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</si>
  <si>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</si>
  <si>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</si>
  <si>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</si>
  <si>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</si>
  <si>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</si>
  <si>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</si>
  <si>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</si>
  <si>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</si>
  <si>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</si>
  <si>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</si>
  <si>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</si>
  <si>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</si>
  <si>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</si>
  <si>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</si>
  <si>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</si>
  <si>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</si>
  <si>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</si>
  <si>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</si>
  <si>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</si>
  <si>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</si>
  <si>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</si>
  <si>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</si>
  <si>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</si>
  <si>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</si>
  <si>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</si>
  <si>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</si>
  <si>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</si>
  <si>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</si>
  <si>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</si>
  <si>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</si>
  <si>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</si>
  <si>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</si>
  <si>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</si>
  <si>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</si>
  <si>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</si>
  <si>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</si>
  <si>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</si>
  <si>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</si>
  <si>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</si>
  <si>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</si>
  <si>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</si>
  <si>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</si>
  <si>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</si>
  <si>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</si>
  <si>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</si>
  <si>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</si>
  <si>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</si>
  <si>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</si>
  <si>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</si>
  <si>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</si>
  <si>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</si>
  <si>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</si>
  <si>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</si>
  <si>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</si>
  <si>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</si>
  <si>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</si>
  <si>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</si>
  <si>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</si>
  <si>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</si>
  <si>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</si>
  <si>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</si>
  <si>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</si>
  <si>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</si>
  <si>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</si>
  <si>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</si>
  <si>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</si>
  <si>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</si>
  <si>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</si>
  <si>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</si>
  <si>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</si>
  <si>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</si>
  <si>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</si>
  <si>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</si>
  <si>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</si>
  <si>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</si>
  <si>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</si>
  <si>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</si>
  <si>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</si>
  <si>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</si>
  <si>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</si>
  <si>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</si>
  <si>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</si>
  <si>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</si>
  <si>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</si>
  <si>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</si>
  <si>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</si>
  <si>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</si>
  <si>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</si>
  <si>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</si>
  <si>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</si>
  <si>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</si>
  <si>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</si>
  <si>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</si>
  <si>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</si>
  <si>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</si>
  <si>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</si>
  <si>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</si>
  <si>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</si>
  <si>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</si>
  <si>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</si>
  <si>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</si>
  <si>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</si>
  <si>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</si>
  <si>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</si>
  <si>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</si>
  <si>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</si>
  <si>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</si>
  <si>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</si>
  <si>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</si>
  <si>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</si>
  <si>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</si>
  <si>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</si>
  <si>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</si>
  <si>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</si>
  <si>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</si>
  <si>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</si>
  <si>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</si>
  <si>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</si>
  <si>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</si>
  <si>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</si>
  <si>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</si>
  <si>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</si>
  <si>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</si>
  <si>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</si>
  <si>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</si>
  <si>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</si>
  <si>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</si>
  <si>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</si>
  <si>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</si>
  <si>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</si>
  <si>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</si>
  <si>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</si>
  <si>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</si>
  <si>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</si>
  <si>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</si>
  <si>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</si>
  <si>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</si>
  <si>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</si>
  <si>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</si>
  <si>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</si>
  <si>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</si>
  <si>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</si>
  <si>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</si>
  <si>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</si>
  <si>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</si>
  <si>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</si>
  <si>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</si>
  <si>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</si>
  <si>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</si>
  <si>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</si>
  <si>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</si>
  <si>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</si>
  <si>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</si>
  <si>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</si>
  <si>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</si>
  <si>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</si>
  <si>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</si>
  <si>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</si>
  <si>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</si>
  <si>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</si>
  <si>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</si>
  <si>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</si>
  <si>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</si>
  <si>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</si>
  <si>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</si>
  <si>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</si>
  <si>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</si>
  <si>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</si>
  <si>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</si>
  <si>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</si>
  <si>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</si>
  <si>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</si>
  <si>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</si>
  <si>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</si>
  <si>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</si>
  <si>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</si>
  <si>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</si>
  <si>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</si>
  <si>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</si>
  <si>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</si>
  <si>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</si>
  <si>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</si>
  <si>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</si>
  <si>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</si>
  <si>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</si>
  <si>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</si>
  <si>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</si>
  <si>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</si>
  <si>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</si>
  <si>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</si>
  <si>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</si>
  <si>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</si>
  <si>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</si>
  <si>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</si>
  <si>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</si>
  <si>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</si>
  <si>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</si>
  <si>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</si>
  <si>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</si>
  <si>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</si>
  <si>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</si>
  <si>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</si>
  <si>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</si>
  <si>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</si>
  <si>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</si>
  <si>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</si>
  <si>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</si>
  <si>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</si>
  <si>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</si>
  <si>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</si>
  <si>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</si>
  <si>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</si>
  <si>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</si>
  <si>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</si>
  <si>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</si>
  <si>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</si>
  <si>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</si>
  <si>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</si>
  <si>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</si>
  <si>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</si>
  <si>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</si>
  <si>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</si>
  <si>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</si>
  <si>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</si>
  <si>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</si>
  <si>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</si>
  <si>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</si>
  <si>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</si>
  <si>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</si>
  <si>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</si>
  <si>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</si>
  <si>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</si>
  <si>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</si>
  <si>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</si>
  <si>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</si>
  <si>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</si>
  <si>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</si>
  <si>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</si>
  <si>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</si>
  <si>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</si>
  <si>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</si>
  <si>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</si>
  <si>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</si>
  <si>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</si>
  <si>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</si>
  <si>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</si>
  <si>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</si>
  <si>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</si>
  <si>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</si>
  <si>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</si>
  <si>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</si>
  <si>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</si>
  <si>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</si>
  <si>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</si>
  <si>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</si>
  <si>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</si>
  <si>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</si>
  <si>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</si>
  <si>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</si>
  <si>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</si>
  <si>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</si>
  <si>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</si>
  <si>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</si>
  <si>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</si>
  <si>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</si>
  <si>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</si>
  <si>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</si>
  <si>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</si>
  <si>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</si>
  <si>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</si>
  <si>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</si>
  <si>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</si>
  <si>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</si>
  <si>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</si>
  <si>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</si>
  <si>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</si>
  <si>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</si>
  <si>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</si>
  <si>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</si>
  <si>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</si>
  <si>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</si>
  <si>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</si>
  <si>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</si>
  <si>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</si>
  <si>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</si>
  <si>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</si>
  <si>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</si>
  <si>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</si>
  <si>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</si>
  <si>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</si>
  <si>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</si>
  <si>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</si>
  <si>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</si>
  <si>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</si>
  <si>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</si>
  <si>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</si>
  <si>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</si>
  <si>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</si>
  <si>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</si>
  <si>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</si>
  <si>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</si>
  <si>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</si>
  <si>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</si>
  <si>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</si>
  <si>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</si>
  <si>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</si>
  <si>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</si>
  <si>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</si>
  <si>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</si>
  <si>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</si>
  <si>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</si>
  <si>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</si>
  <si>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</si>
  <si>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</si>
  <si>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</si>
  <si>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</si>
  <si>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</si>
  <si>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</si>
  <si>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</si>
  <si>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</si>
  <si>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</si>
  <si>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</si>
  <si>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</si>
  <si>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</si>
  <si>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</si>
  <si>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</si>
  <si>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</si>
  <si>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</si>
  <si>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</si>
  <si>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</si>
  <si>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</si>
  <si>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</si>
  <si>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</si>
  <si>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</si>
  <si>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</si>
  <si>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</si>
  <si>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</si>
  <si>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</si>
  <si>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</si>
  <si>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</si>
  <si>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</si>
  <si>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</si>
  <si>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</si>
  <si>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</si>
  <si>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</si>
  <si>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</si>
  <si>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</si>
  <si>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</si>
  <si>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</si>
  <si>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</si>
  <si>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</si>
  <si>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</si>
  <si>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</si>
  <si>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</si>
  <si>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</si>
  <si>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</si>
  <si>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</si>
  <si>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</si>
  <si>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</si>
  <si>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</si>
  <si>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</si>
  <si>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</si>
  <si>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</si>
  <si>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</si>
  <si>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</si>
  <si>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</si>
  <si>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</si>
  <si>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</si>
  <si>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</si>
  <si>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</si>
  <si>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</si>
  <si>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</si>
  <si>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</si>
  <si>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</si>
  <si>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</si>
  <si>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</si>
  <si>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</si>
  <si>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</si>
  <si>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</si>
  <si>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</si>
  <si>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</si>
  <si>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</si>
  <si>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</si>
  <si>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</si>
  <si>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</si>
  <si>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</si>
  <si>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</si>
  <si>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</si>
  <si>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</si>
  <si>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</si>
  <si>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</si>
  <si>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</si>
  <si>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</si>
  <si>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</si>
  <si>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</si>
  <si>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</si>
  <si>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</si>
  <si>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</si>
  <si>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</si>
  <si>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</si>
  <si>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</si>
  <si>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</si>
  <si>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</si>
  <si>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</si>
  <si>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</si>
  <si>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</si>
  <si>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</si>
  <si>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</si>
  <si>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</si>
  <si>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</si>
  <si>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</si>
  <si>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</si>
  <si>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</si>
  <si>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</si>
  <si>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</si>
  <si>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</si>
  <si>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</si>
  <si>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</si>
  <si>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</si>
  <si>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</si>
  <si>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</si>
  <si>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</si>
  <si>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</si>
  <si>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</si>
  <si>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</si>
  <si>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</si>
  <si>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</si>
  <si>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</si>
  <si>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</si>
  <si>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</si>
  <si>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</si>
  <si>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</si>
  <si>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</si>
  <si>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</si>
  <si>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</si>
  <si>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</si>
  <si>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</si>
  <si>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</si>
  <si>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</si>
  <si>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</si>
  <si>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</si>
  <si>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</si>
  <si>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</si>
  <si>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</si>
  <si>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</si>
  <si>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</si>
  <si>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</si>
  <si>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</si>
  <si>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</si>
  <si>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</si>
  <si>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</si>
  <si>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</si>
  <si>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</si>
  <si>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</si>
  <si>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</si>
  <si>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</si>
  <si>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</si>
  <si>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</si>
  <si>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</si>
  <si>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</si>
  <si>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</si>
  <si>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</si>
  <si>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</si>
  <si>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</si>
  <si>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</si>
  <si>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</si>
  <si>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</si>
  <si>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</si>
  <si>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</si>
  <si>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</si>
  <si>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</si>
  <si>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</si>
  <si>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</si>
  <si>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</si>
  <si>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</si>
  <si>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</si>
  <si>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</si>
  <si>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</si>
  <si>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</si>
  <si>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</si>
  <si>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</si>
  <si>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</si>
  <si>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</si>
  <si>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</si>
  <si>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</si>
  <si>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</si>
  <si>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</si>
  <si>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</si>
  <si>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</si>
  <si>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</si>
  <si>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</si>
  <si>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</si>
  <si>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</si>
  <si>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</si>
  <si>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</si>
  <si>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</si>
  <si>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</si>
  <si>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</si>
  <si>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</si>
  <si>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</si>
  <si>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</si>
  <si>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</si>
  <si>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</si>
  <si>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</si>
  <si>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</si>
  <si>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</si>
  <si>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</si>
  <si>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</si>
  <si>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</si>
  <si>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</si>
  <si>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</si>
  <si>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</si>
  <si>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</si>
  <si>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</si>
  <si>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</si>
  <si>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</si>
  <si>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</si>
  <si>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</si>
  <si>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</si>
  <si>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</si>
  <si>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</si>
  <si>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</si>
  <si>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</si>
  <si>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</si>
  <si>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</si>
  <si>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</si>
  <si>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</si>
  <si>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</si>
  <si>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</si>
  <si>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</si>
  <si>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</si>
  <si>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</si>
  <si>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</si>
  <si>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</si>
  <si>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</si>
  <si>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</si>
  <si>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</si>
  <si>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</si>
  <si>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</si>
  <si>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</si>
  <si>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</si>
  <si>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</si>
  <si>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</si>
  <si>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</si>
  <si>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</si>
  <si>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</si>
  <si>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</si>
  <si>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</si>
  <si>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</si>
  <si>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</si>
  <si>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</si>
  <si>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</si>
  <si>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</si>
  <si>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</si>
  <si>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</si>
  <si>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</si>
  <si>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</si>
  <si>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</si>
  <si>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</si>
  <si>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</si>
  <si>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</si>
  <si>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</si>
  <si>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</si>
  <si>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</si>
  <si>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</si>
  <si>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</si>
  <si>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</si>
  <si>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</si>
  <si>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</si>
  <si>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</si>
  <si>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</si>
  <si>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</si>
  <si>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</si>
  <si>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</si>
  <si>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</si>
  <si>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</si>
  <si>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</si>
  <si>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</si>
  <si>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</si>
  <si>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</si>
  <si>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</si>
  <si>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</si>
  <si>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</si>
  <si>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</si>
  <si>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</si>
  <si>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</si>
  <si>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</si>
  <si>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</si>
  <si>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</si>
  <si>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</si>
  <si>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</si>
  <si>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</si>
  <si>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</si>
  <si>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</si>
  <si>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</si>
  <si>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</si>
  <si>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</si>
  <si>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</si>
  <si>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</si>
  <si>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</si>
  <si>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</si>
  <si>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</si>
  <si>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</si>
  <si>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</si>
  <si>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</si>
  <si>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</si>
  <si>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</si>
  <si>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</si>
  <si>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</si>
  <si>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</si>
  <si>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</si>
  <si>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</si>
  <si>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</si>
  <si>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</si>
  <si>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</si>
  <si>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</si>
  <si>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</si>
  <si>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</si>
  <si>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</si>
  <si>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</si>
  <si>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</si>
  <si>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</si>
  <si>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</si>
  <si>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</si>
  <si>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</si>
  <si>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</si>
  <si>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</si>
  <si>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</si>
  <si>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</si>
  <si>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</si>
  <si>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</si>
  <si>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</si>
  <si>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</si>
  <si>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</si>
  <si>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</si>
  <si>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</si>
  <si>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</si>
  <si>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</si>
  <si>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</si>
  <si>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</si>
  <si>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</si>
  <si>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</si>
  <si>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</si>
  <si>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</si>
  <si>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</si>
  <si>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</si>
  <si>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</si>
  <si>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</si>
  <si>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</si>
  <si>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</si>
  <si>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</si>
  <si>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</si>
  <si>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</si>
  <si>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</si>
  <si>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</si>
  <si>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</si>
  <si>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</si>
  <si>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</si>
  <si>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</si>
  <si>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</si>
  <si>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</si>
  <si>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</si>
  <si>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</si>
  <si>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</si>
  <si>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</si>
  <si>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</si>
  <si>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</si>
  <si>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</si>
  <si>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</si>
  <si>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</si>
  <si>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</si>
  <si>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</si>
  <si>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</si>
  <si>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</si>
  <si>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</si>
  <si>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</si>
  <si>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</si>
  <si>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</si>
  <si>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</si>
  <si>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</si>
  <si>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</si>
  <si>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</si>
  <si>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</si>
  <si>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</si>
  <si>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</si>
  <si>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</si>
  <si>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</si>
  <si>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</si>
  <si>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</si>
  <si>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</si>
  <si>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</si>
  <si>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</si>
  <si>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</si>
  <si>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</si>
  <si>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</si>
  <si>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</si>
  <si>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</si>
  <si>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</si>
  <si>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</si>
  <si>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</si>
  <si>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</si>
  <si>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</si>
  <si>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</si>
  <si>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</si>
  <si>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</si>
  <si>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</si>
  <si>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</si>
  <si>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</si>
  <si>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</si>
  <si>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</si>
  <si>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</si>
  <si>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</si>
  <si>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</si>
  <si>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</si>
  <si>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</si>
  <si>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</si>
  <si>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</si>
  <si>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</si>
  <si>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</si>
  <si>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</si>
  <si>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</si>
  <si>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</si>
  <si>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</si>
  <si>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</si>
  <si>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</si>
  <si>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</si>
  <si>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</si>
  <si>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</si>
  <si>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</si>
  <si>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</si>
  <si>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</si>
  <si>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</si>
  <si>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</si>
  <si>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</si>
  <si>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</si>
  <si>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</si>
  <si>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</si>
  <si>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</si>
  <si>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</si>
  <si>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</si>
  <si>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</si>
  <si>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</si>
  <si>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</si>
  <si>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</si>
  <si>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</si>
  <si>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</si>
  <si>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</si>
  <si>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</si>
  <si>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</si>
  <si>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</si>
  <si>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</si>
  <si>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</si>
  <si>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</si>
  <si>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</si>
  <si>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</si>
  <si>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</si>
  <si>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</si>
  <si>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</si>
  <si>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</si>
  <si>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</si>
  <si>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</si>
  <si>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</si>
  <si>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</si>
  <si>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</si>
  <si>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</si>
  <si>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</si>
  <si>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</si>
  <si>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</si>
  <si>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</si>
  <si>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</si>
  <si>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</si>
  <si>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</si>
  <si>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</si>
  <si>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</si>
  <si>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</si>
  <si>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</si>
  <si>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</si>
  <si>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</si>
  <si>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</si>
  <si>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</si>
  <si>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</si>
  <si>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</si>
  <si>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</si>
  <si>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</si>
  <si>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</si>
  <si>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</si>
  <si>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</si>
  <si>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</si>
  <si>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</si>
  <si>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</si>
  <si>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</si>
  <si>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</si>
  <si>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</si>
  <si>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</si>
  <si>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</si>
  <si>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</si>
  <si>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</si>
  <si>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</si>
  <si>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</si>
  <si>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</si>
  <si>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</si>
  <si>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</si>
  <si>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</si>
  <si>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</si>
  <si>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</si>
  <si>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</si>
  <si>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</si>
  <si>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</si>
  <si>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</si>
  <si>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</si>
  <si>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</si>
  <si>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</si>
  <si>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</si>
  <si>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</si>
  <si>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</si>
  <si>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</si>
  <si>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</si>
  <si>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</si>
  <si>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</si>
  <si>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</si>
  <si>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</si>
  <si>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</si>
  <si>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</si>
  <si>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</si>
  <si>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</si>
  <si>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</si>
  <si>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</si>
  <si>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</si>
  <si>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</si>
  <si>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</si>
  <si>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</si>
  <si>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</si>
  <si>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</si>
  <si>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</si>
  <si>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</si>
  <si>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</si>
  <si>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</si>
  <si>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</si>
  <si>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</si>
  <si>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</si>
  <si>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</si>
  <si>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</si>
  <si>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</si>
  <si>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</si>
  <si>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</si>
  <si>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</si>
  <si>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</si>
  <si>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</si>
  <si>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</si>
  <si>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</si>
  <si>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</si>
  <si>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</si>
  <si>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</si>
  <si>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</si>
  <si>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</si>
  <si>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</si>
  <si>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</si>
  <si>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</si>
  <si>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</si>
  <si>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</si>
  <si>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</si>
  <si>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</si>
  <si>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</si>
  <si>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</si>
  <si>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</si>
  <si>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</si>
  <si>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</si>
  <si>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</si>
  <si>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</si>
  <si>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</si>
  <si>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</si>
  <si>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</si>
  <si>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</si>
  <si>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</si>
  <si>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</si>
  <si>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</si>
  <si>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</si>
  <si>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</si>
  <si>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</si>
  <si>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</si>
  <si>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</si>
  <si>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</si>
  <si>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</si>
  <si>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</si>
  <si>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</si>
  <si>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</si>
  <si>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</si>
  <si>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</si>
  <si>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</si>
  <si>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</si>
  <si>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</si>
  <si>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</si>
  <si>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</si>
  <si>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</si>
  <si>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</si>
  <si>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</si>
  <si>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</si>
  <si>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</si>
  <si>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</si>
  <si>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</si>
  <si>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</si>
  <si>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</si>
  <si>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</si>
  <si>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</si>
  <si>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</si>
  <si>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</si>
  <si>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</si>
  <si>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</si>
  <si>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</si>
  <si>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</si>
  <si>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</si>
  <si>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</si>
  <si>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</si>
  <si>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</si>
  <si>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</si>
  <si>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</si>
  <si>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</si>
  <si>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</si>
  <si>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</si>
  <si>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</si>
  <si>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</si>
  <si>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</si>
  <si>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</si>
  <si>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</si>
  <si>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</si>
  <si>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</si>
  <si>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</si>
  <si>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</si>
  <si>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</si>
  <si>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</si>
  <si>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</si>
  <si>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</si>
  <si>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</si>
  <si>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</si>
  <si>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</si>
  <si>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</si>
  <si>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</si>
  <si>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</si>
  <si>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</si>
  <si>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</si>
  <si>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</si>
  <si>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</si>
  <si>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</si>
  <si>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</si>
  <si>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</si>
  <si>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</si>
  <si>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</si>
  <si>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</si>
  <si>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</si>
  <si>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</si>
  <si>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</si>
  <si>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</si>
  <si>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</si>
  <si>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</si>
  <si>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</si>
  <si>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</si>
  <si>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</si>
  <si>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</si>
  <si>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</si>
  <si>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</si>
  <si>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</si>
  <si>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</si>
  <si>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</si>
  <si>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</si>
  <si>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</si>
  <si>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</si>
  <si>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</si>
  <si>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</si>
  <si>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</si>
  <si>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</si>
  <si>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</si>
  <si>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</si>
  <si>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</si>
  <si>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</si>
  <si>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</si>
  <si>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</si>
  <si>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</si>
  <si>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</si>
  <si>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</si>
  <si>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</si>
  <si>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</si>
  <si>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</si>
  <si>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</si>
  <si>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</si>
  <si>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</si>
  <si>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</si>
  <si>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</si>
  <si>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</si>
  <si>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</si>
  <si>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</si>
  <si>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</si>
  <si>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</si>
  <si>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</si>
  <si>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</si>
  <si>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</si>
  <si>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</si>
  <si>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</si>
  <si>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</si>
  <si>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</si>
  <si>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</si>
  <si>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</si>
  <si>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</si>
  <si>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</si>
  <si>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</si>
  <si>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</si>
  <si>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</si>
  <si>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</si>
  <si>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</si>
  <si>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</si>
  <si>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</si>
  <si>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</si>
  <si>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</si>
  <si>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</si>
  <si>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</si>
  <si>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</si>
  <si>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</si>
  <si>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</si>
  <si>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</si>
  <si>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</si>
  <si>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</si>
  <si>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</si>
  <si>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</si>
  <si>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</si>
  <si>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</si>
  <si>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</si>
  <si>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</si>
  <si>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</si>
  <si>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</si>
  <si>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</si>
  <si>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</si>
  <si>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</si>
  <si>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</si>
  <si>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</si>
  <si>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</si>
  <si>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</si>
  <si>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</si>
  <si>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</si>
  <si>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</si>
  <si>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</si>
  <si>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</si>
  <si>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</si>
  <si>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</si>
  <si>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</si>
  <si>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</si>
  <si>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</si>
  <si>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</si>
  <si>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</si>
  <si>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</si>
  <si>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</si>
  <si>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</si>
  <si>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</si>
  <si>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</si>
  <si>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</si>
  <si>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</si>
  <si>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</si>
  <si>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</si>
  <si>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</si>
  <si>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</si>
  <si>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</si>
  <si>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</si>
  <si>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</si>
  <si>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</si>
  <si>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</si>
  <si>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</si>
  <si>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</si>
  <si>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</si>
  <si>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</si>
  <si>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</si>
  <si>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</si>
  <si>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</si>
  <si>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</si>
  <si>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</si>
  <si>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</si>
  <si>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</si>
  <si>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</si>
  <si>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</si>
  <si>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</si>
  <si>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</si>
  <si>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</si>
  <si>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</si>
  <si>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</si>
  <si>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</si>
  <si>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</si>
  <si>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</si>
  <si>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</si>
  <si>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</si>
  <si>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</si>
  <si>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</si>
  <si>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</si>
  <si>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</si>
  <si>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</si>
  <si>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</si>
  <si>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</si>
  <si>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</si>
  <si>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</si>
  <si>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</si>
  <si>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</si>
  <si>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</si>
  <si>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</si>
  <si>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</si>
  <si>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</si>
  <si>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</si>
  <si>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</si>
  <si>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</si>
  <si>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</si>
  <si>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</si>
  <si>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</si>
  <si>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</si>
  <si>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</si>
  <si>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</si>
  <si>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</si>
  <si>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</si>
  <si>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</si>
  <si>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</si>
  <si>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</si>
  <si>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</si>
  <si>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</si>
  <si>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</si>
  <si>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</si>
  <si>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</si>
  <si>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</si>
  <si>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</si>
  <si>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</si>
  <si>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</si>
  <si>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</si>
  <si>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</si>
  <si>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</si>
  <si>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</si>
  <si>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</si>
  <si>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</si>
  <si>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</si>
  <si>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</si>
  <si>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</si>
  <si>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</si>
  <si>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</si>
  <si>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</si>
  <si>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</si>
  <si>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</si>
  <si>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</si>
  <si>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</si>
  <si>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</si>
  <si>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</si>
  <si>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</si>
  <si>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</si>
  <si>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</si>
  <si>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</si>
  <si>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</si>
  <si>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</si>
  <si>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</si>
  <si>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</si>
  <si>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</si>
  <si>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</si>
  <si>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</si>
  <si>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</si>
  <si>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</si>
  <si>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</si>
  <si>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</si>
  <si>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</si>
  <si>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</si>
  <si>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</si>
  <si>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</si>
  <si>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</si>
  <si>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</si>
  <si>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</si>
  <si>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</si>
  <si>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</si>
  <si>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</si>
  <si>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</si>
  <si>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</si>
  <si>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</si>
  <si>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</si>
  <si>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</si>
  <si>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</si>
  <si>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</si>
  <si>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</si>
  <si>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</si>
  <si>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</si>
  <si>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</si>
  <si>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</si>
  <si>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</si>
  <si>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</si>
  <si>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</si>
  <si>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</si>
  <si>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</si>
  <si>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</si>
  <si>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</si>
  <si>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</si>
  <si>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</si>
  <si>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</si>
  <si>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</si>
  <si>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</si>
  <si>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</si>
  <si>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</si>
  <si>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</si>
  <si>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</si>
  <si>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</si>
  <si>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</si>
  <si>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</si>
  <si>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</si>
  <si>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</si>
  <si>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</si>
  <si>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</si>
  <si>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</si>
  <si>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</si>
  <si>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</si>
  <si>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</si>
  <si>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</si>
  <si>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</si>
  <si>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</si>
  <si>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</si>
  <si>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</si>
  <si>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</si>
  <si>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</si>
  <si>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</si>
  <si>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</si>
  <si>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</si>
  <si>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</si>
  <si>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</si>
  <si>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</si>
  <si>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</si>
  <si>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</si>
  <si>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</si>
  <si>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</si>
  <si>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</si>
  <si>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</si>
  <si>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</si>
  <si>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</si>
  <si>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</si>
  <si>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</si>
  <si>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</si>
  <si>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</si>
  <si>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</si>
  <si>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</si>
  <si>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</si>
  <si>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</si>
  <si>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</si>
  <si>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</si>
  <si>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</si>
  <si>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</si>
  <si>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</si>
  <si>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</si>
  <si>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</si>
  <si>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</si>
  <si>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</si>
  <si>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</si>
  <si>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</si>
  <si>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</si>
  <si>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</si>
  <si>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</si>
  <si>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</si>
  <si>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</si>
  <si>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</si>
  <si>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</si>
  <si>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</si>
  <si>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</si>
  <si>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</si>
  <si>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</si>
  <si>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</si>
  <si>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</si>
  <si>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</si>
  <si>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</si>
  <si>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</si>
  <si>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</si>
  <si>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</si>
  <si>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</si>
  <si>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</si>
  <si>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</si>
  <si>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</si>
  <si>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</si>
  <si>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</si>
  <si>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</si>
  <si>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</si>
  <si>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</si>
  <si>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</si>
  <si>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</si>
  <si>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</si>
  <si>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</si>
  <si>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</si>
  <si>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</si>
  <si>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</si>
  <si>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</si>
  <si>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</si>
  <si>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</si>
  <si>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</si>
  <si>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</si>
  <si>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</si>
  <si>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</si>
  <si>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</si>
  <si>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</si>
  <si>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</si>
  <si>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</si>
  <si>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</si>
  <si>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</si>
  <si>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</si>
  <si>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</si>
  <si>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</si>
  <si>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</si>
  <si>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</si>
  <si>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</si>
  <si>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</si>
  <si>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</si>
  <si>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</si>
  <si>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</si>
  <si>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</si>
  <si>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</si>
  <si>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</si>
  <si>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</si>
  <si>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</si>
  <si>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</si>
  <si>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</si>
  <si>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</si>
  <si>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</si>
  <si>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</si>
  <si>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</si>
  <si>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</si>
  <si>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</si>
  <si>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</si>
  <si>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</si>
  <si>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</si>
  <si>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</si>
  <si>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</si>
  <si>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</si>
  <si>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</si>
  <si>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</si>
  <si>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</si>
  <si>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</si>
  <si>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</si>
  <si>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</si>
  <si>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</si>
  <si>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</si>
  <si>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</si>
  <si>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</si>
  <si>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</si>
  <si>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</si>
  <si>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</si>
  <si>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</si>
  <si>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</si>
  <si>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</si>
  <si>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</si>
  <si>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</si>
  <si>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</si>
  <si>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</si>
  <si>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</si>
  <si>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</si>
  <si>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</si>
  <si>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</si>
  <si>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</si>
  <si>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</si>
  <si>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</si>
  <si>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</si>
  <si>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</si>
  <si>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</si>
  <si>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</si>
  <si>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</si>
  <si>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</si>
  <si>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</si>
  <si>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</si>
  <si>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</si>
  <si>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</si>
  <si>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</si>
  <si>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</si>
  <si>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</si>
  <si>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</si>
  <si>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</si>
  <si>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</si>
  <si>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</si>
  <si>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</si>
  <si>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</si>
  <si>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</si>
  <si>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</si>
  <si>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</si>
  <si>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</si>
  <si>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</si>
  <si>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</si>
  <si>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</si>
  <si>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</si>
  <si>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</si>
  <si>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</si>
  <si>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</si>
  <si>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</si>
  <si>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</si>
  <si>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</si>
  <si>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</si>
  <si>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</si>
  <si>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</si>
  <si>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</si>
  <si>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</si>
  <si>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</si>
  <si>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</si>
  <si>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</si>
  <si>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</si>
  <si>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</si>
  <si>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</si>
  <si>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</si>
  <si>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</si>
  <si>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</si>
  <si>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</si>
  <si>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</si>
  <si>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</si>
  <si>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</si>
  <si>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</si>
  <si>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</si>
  <si>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</si>
  <si>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</si>
  <si>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</si>
  <si>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</si>
  <si>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</si>
  <si>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</si>
  <si>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</si>
  <si>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</si>
  <si>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</si>
  <si>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</si>
  <si>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</si>
  <si>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</si>
  <si>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</si>
  <si>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</si>
  <si>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</si>
  <si>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</si>
  <si>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</si>
  <si>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</si>
  <si>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</si>
  <si>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</si>
  <si>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</si>
  <si>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</si>
  <si>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</si>
  <si>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</si>
  <si>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</si>
  <si>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</si>
  <si>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</si>
  <si>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</si>
  <si>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</si>
  <si>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</si>
  <si>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</si>
  <si>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</si>
  <si>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</si>
  <si>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</si>
  <si>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</si>
  <si>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</si>
  <si>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</si>
  <si>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</si>
  <si>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</si>
  <si>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</si>
  <si>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</si>
  <si>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</si>
  <si>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</si>
  <si>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</si>
  <si>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</si>
  <si>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</si>
  <si>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</si>
  <si>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</si>
  <si>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</si>
  <si>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</si>
  <si>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</si>
  <si>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</si>
  <si>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</si>
  <si>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</si>
  <si>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</si>
  <si>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</si>
  <si>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</si>
  <si>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</si>
  <si>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</si>
  <si>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</si>
  <si>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</si>
  <si>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</si>
  <si>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</si>
  <si>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</si>
  <si>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</si>
  <si>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</si>
  <si>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</si>
  <si>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</si>
  <si>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</si>
  <si>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</si>
  <si>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</si>
  <si>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</si>
  <si>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</si>
  <si>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</si>
  <si>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</si>
  <si>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</si>
  <si>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</si>
  <si>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</si>
  <si>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</si>
  <si>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</si>
  <si>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</si>
  <si>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</si>
  <si>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</si>
  <si>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</si>
  <si>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</si>
  <si>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</si>
  <si>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</si>
  <si>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</si>
  <si>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</si>
  <si>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</si>
  <si>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</si>
  <si>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</si>
  <si>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</si>
  <si>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</si>
  <si>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</si>
  <si>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</si>
  <si>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</si>
  <si>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</si>
  <si>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</si>
  <si>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</si>
  <si>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</si>
  <si>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</si>
  <si>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</si>
  <si>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</si>
  <si>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</si>
  <si>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</si>
  <si>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</si>
  <si>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</si>
  <si>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</si>
  <si>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</si>
  <si>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</si>
  <si>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</si>
  <si>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</si>
  <si>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</si>
  <si>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</si>
  <si>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</si>
  <si>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</si>
  <si>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</si>
  <si>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</si>
  <si>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</si>
  <si>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</si>
  <si>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</si>
  <si>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</si>
  <si>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</si>
  <si>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</si>
  <si>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</si>
  <si>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</si>
  <si>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</si>
  <si>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</si>
  <si>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</si>
  <si>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</si>
  <si>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</si>
  <si>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</si>
  <si>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</si>
  <si>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</si>
  <si>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</si>
  <si>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</si>
  <si>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</si>
  <si>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</si>
  <si>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</si>
  <si>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</si>
  <si>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</si>
  <si>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</si>
  <si>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</si>
  <si>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</si>
  <si>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</si>
  <si>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</si>
  <si>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</si>
  <si>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</si>
  <si>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</si>
  <si>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</si>
  <si>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</si>
  <si>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</si>
  <si>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</si>
  <si>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</si>
  <si>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</si>
  <si>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</si>
  <si>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</si>
  <si>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</si>
  <si>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</si>
  <si>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</si>
  <si>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</si>
  <si>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</si>
  <si>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</si>
  <si>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</si>
  <si>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</si>
  <si>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</si>
  <si>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</si>
  <si>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</si>
  <si>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</si>
  <si>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</si>
  <si>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</si>
  <si>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</si>
  <si>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</si>
  <si>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</si>
  <si>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</si>
  <si>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</si>
  <si>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</si>
  <si>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</si>
  <si>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</si>
  <si>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</si>
  <si>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</si>
  <si>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</si>
  <si>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</si>
  <si>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</si>
  <si>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</si>
  <si>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</si>
  <si>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</si>
  <si>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</si>
  <si>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</si>
  <si>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</si>
  <si>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</si>
  <si>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</si>
  <si>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</si>
  <si>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</si>
  <si>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</si>
  <si>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</si>
  <si>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</si>
  <si>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</si>
  <si>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</si>
  <si>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</si>
  <si>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</si>
  <si>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</si>
  <si>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</si>
  <si>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</si>
  <si>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</si>
  <si>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</si>
  <si>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</si>
  <si>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</si>
  <si>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</si>
  <si>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</si>
  <si>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</si>
  <si>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</si>
  <si>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</si>
  <si>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</si>
  <si>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</si>
  <si>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</si>
  <si>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</si>
  <si>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</si>
  <si>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</si>
  <si>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</si>
  <si>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</si>
  <si>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</si>
  <si>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</si>
  <si>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</si>
  <si>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</si>
  <si>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</si>
  <si>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</si>
  <si>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</si>
  <si>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</si>
  <si>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</si>
  <si>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</si>
  <si>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</si>
  <si>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</si>
  <si>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</si>
  <si>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</si>
  <si>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</si>
  <si>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</si>
  <si>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</si>
  <si>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</si>
  <si>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</si>
  <si>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</si>
  <si>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</si>
  <si>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</si>
  <si>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</si>
  <si>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</si>
  <si>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</si>
  <si>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</si>
  <si>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</si>
  <si>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</si>
  <si>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</si>
  <si>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</si>
  <si>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</si>
  <si>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</si>
  <si>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</si>
  <si>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</si>
  <si>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</si>
  <si>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</si>
  <si>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</si>
  <si>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</si>
  <si>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</si>
  <si>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</si>
  <si>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</si>
  <si>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</si>
  <si>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</si>
  <si>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</si>
  <si>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</si>
  <si>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</si>
  <si>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</si>
  <si>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</si>
  <si>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</si>
  <si>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</si>
  <si>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</si>
  <si>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</si>
  <si>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</si>
  <si>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</si>
  <si>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</si>
  <si>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</si>
  <si>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</si>
  <si>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</si>
  <si>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</si>
  <si>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</si>
  <si>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</si>
  <si>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</si>
  <si>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</si>
  <si>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</si>
  <si>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</si>
  <si>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</si>
  <si>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</si>
  <si>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</si>
  <si>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</si>
  <si>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</si>
  <si>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</si>
  <si>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</si>
  <si>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</si>
  <si>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</si>
  <si>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</si>
  <si>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</si>
  <si>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</si>
  <si>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</si>
  <si>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</si>
  <si>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</si>
  <si>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</si>
  <si>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</si>
  <si>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</si>
  <si>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</si>
  <si>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</si>
  <si>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</si>
  <si>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</si>
  <si>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</si>
  <si>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</si>
  <si>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</si>
  <si>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</si>
  <si>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</si>
  <si>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</si>
  <si>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</si>
  <si>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</si>
  <si>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</si>
  <si>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</si>
  <si>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</si>
  <si>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</si>
  <si>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</si>
  <si>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</si>
  <si>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</si>
  <si>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</si>
  <si>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</si>
  <si>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</si>
  <si>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</si>
  <si>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</si>
  <si>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</si>
  <si>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</si>
  <si>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</si>
  <si>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</si>
  <si>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</si>
  <si>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</si>
  <si>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</si>
  <si>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</si>
  <si>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</si>
  <si>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</si>
  <si>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</si>
  <si>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</si>
  <si>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</si>
  <si>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</si>
  <si>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</si>
  <si>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</si>
  <si>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</si>
  <si>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</si>
  <si>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</si>
  <si>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</si>
  <si>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</si>
  <si>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</si>
  <si>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</si>
  <si>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</si>
  <si>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</si>
  <si>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</si>
  <si>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</si>
  <si>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</si>
  <si>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</si>
  <si>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</si>
  <si>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</si>
  <si>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</si>
  <si>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</si>
  <si>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</si>
  <si>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</si>
  <si>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</si>
  <si>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</si>
  <si>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</si>
  <si>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</si>
  <si>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</si>
  <si>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</si>
  <si>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</si>
  <si>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</si>
  <si>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</si>
  <si>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</si>
  <si>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</si>
  <si>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</si>
  <si>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</si>
  <si>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</si>
  <si>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</si>
  <si>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</si>
  <si>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</si>
  <si>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</si>
  <si>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</si>
  <si>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</si>
  <si>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</si>
  <si>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</si>
  <si>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</si>
  <si>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</si>
  <si>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</si>
  <si>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</si>
  <si>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</si>
  <si>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</si>
  <si>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</si>
  <si>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</si>
  <si>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</si>
  <si>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</si>
  <si>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</si>
  <si>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</si>
  <si>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</si>
  <si>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</si>
  <si>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</si>
  <si>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</si>
  <si>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</si>
  <si>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</si>
  <si>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</si>
  <si>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</si>
  <si>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</si>
  <si>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</si>
  <si>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</si>
  <si>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</si>
  <si>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</si>
  <si>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</si>
  <si>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</si>
  <si>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</si>
  <si>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</si>
  <si>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</si>
  <si>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</si>
  <si>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</si>
  <si>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</si>
  <si>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</si>
  <si>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</si>
  <si>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</si>
  <si>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</si>
  <si>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</si>
  <si>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</si>
  <si>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</si>
  <si>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</si>
  <si>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</si>
  <si>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</si>
  <si>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</si>
  <si>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</si>
  <si>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</si>
  <si>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</si>
  <si>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</si>
  <si>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</si>
  <si>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</si>
  <si>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</si>
  <si>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</si>
  <si>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</si>
  <si>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</si>
  <si>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</si>
  <si>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</si>
  <si>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</si>
  <si>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</si>
  <si>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</si>
  <si>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</si>
  <si>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</si>
  <si>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</si>
  <si>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</si>
  <si>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</si>
  <si>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</si>
  <si>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</si>
  <si>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</si>
  <si>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</si>
  <si>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</si>
  <si>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</si>
  <si>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</si>
  <si>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</si>
  <si>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</si>
  <si>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</si>
  <si>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</si>
  <si>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</si>
  <si>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</si>
  <si>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</si>
  <si>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</si>
  <si>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</si>
  <si>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</si>
  <si>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</si>
  <si>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</si>
  <si>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</si>
  <si>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</si>
  <si>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</si>
  <si>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</si>
  <si>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</si>
  <si>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</si>
  <si>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</si>
  <si>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</si>
  <si>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</si>
  <si>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</si>
  <si>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</si>
  <si>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</si>
  <si>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</si>
  <si>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</si>
  <si>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</si>
  <si>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</si>
  <si>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</si>
  <si>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</si>
  <si>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</si>
  <si>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</si>
  <si>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</si>
  <si>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</si>
  <si>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</si>
  <si>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</si>
  <si>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</si>
  <si>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</si>
  <si>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</si>
  <si>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</si>
  <si>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</si>
  <si>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</si>
  <si>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</si>
  <si>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</si>
  <si>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</si>
  <si>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</si>
  <si>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</si>
  <si>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</si>
  <si>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</si>
  <si>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</si>
  <si>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</si>
  <si>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</si>
  <si>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</si>
  <si>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</si>
  <si>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</si>
  <si>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</si>
  <si>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</si>
  <si>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</si>
  <si>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</si>
  <si>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</si>
  <si>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</si>
  <si>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</si>
  <si>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</si>
  <si>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</si>
  <si>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</si>
  <si>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</si>
  <si>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</si>
  <si>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</si>
  <si>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</si>
  <si>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</si>
  <si>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</si>
  <si>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</si>
  <si>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</si>
  <si>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</si>
  <si>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</si>
  <si>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</si>
  <si>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</si>
  <si>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</si>
  <si>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</si>
  <si>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</si>
  <si>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</si>
  <si>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</si>
  <si>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</si>
  <si>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</si>
  <si>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</si>
  <si>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</si>
  <si>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</si>
  <si>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</si>
  <si>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</si>
  <si>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</si>
  <si>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</si>
  <si>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</si>
  <si>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</si>
  <si>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</si>
  <si>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</si>
  <si>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</si>
  <si>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</si>
  <si>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</si>
  <si>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</si>
  <si>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</si>
  <si>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</si>
  <si>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</si>
  <si>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</si>
  <si>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</si>
  <si>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</si>
  <si>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</si>
  <si>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</si>
  <si>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</si>
  <si>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</si>
  <si>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</si>
  <si>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</si>
  <si>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</si>
  <si>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</si>
  <si>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</si>
  <si>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</si>
  <si>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</si>
  <si>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</si>
  <si>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</si>
  <si>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</si>
  <si>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</si>
  <si>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</si>
  <si>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</si>
  <si>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</si>
  <si>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</si>
  <si>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</si>
  <si>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</si>
  <si>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</si>
  <si>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</si>
  <si>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</si>
  <si>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</si>
  <si>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</si>
  <si>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</si>
  <si>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</si>
  <si>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</si>
  <si>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</si>
  <si>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</si>
  <si>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</si>
  <si>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</si>
  <si>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</si>
  <si>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</si>
  <si>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</si>
  <si>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</si>
  <si>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</si>
  <si>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</si>
  <si>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</si>
  <si>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</si>
  <si>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</si>
  <si>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</si>
  <si>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</si>
  <si>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</si>
  <si>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</si>
  <si>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</si>
  <si>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</si>
  <si>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</si>
  <si>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</si>
  <si>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</si>
  <si>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</si>
  <si>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</si>
  <si>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</si>
  <si>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</si>
  <si>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</si>
  <si>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</si>
  <si>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</si>
  <si>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</si>
  <si>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</si>
  <si>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</si>
  <si>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</si>
  <si>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</si>
  <si>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</si>
  <si>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</si>
  <si>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</si>
  <si>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</si>
  <si>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</si>
  <si>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</si>
  <si>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</si>
  <si>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</si>
  <si>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</si>
  <si>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</si>
  <si>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</si>
  <si>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</si>
  <si>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</si>
  <si>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</si>
  <si>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</si>
  <si>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</si>
  <si>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</si>
  <si>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</si>
  <si>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</si>
  <si>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</si>
  <si>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</si>
  <si>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</si>
  <si>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</si>
  <si>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</si>
  <si>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</si>
  <si>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</si>
  <si>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</si>
  <si>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</si>
  <si>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</si>
  <si>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</si>
  <si>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</si>
  <si>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</si>
  <si>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</si>
  <si>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</si>
  <si>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</si>
  <si>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</si>
  <si>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</si>
  <si>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</si>
  <si>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</si>
  <si>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</si>
  <si>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</si>
  <si>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</si>
  <si>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</si>
  <si>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</si>
  <si>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</si>
  <si>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</si>
  <si>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</si>
  <si>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</si>
  <si>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</si>
  <si>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</si>
  <si>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</si>
  <si>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</si>
  <si>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</si>
  <si>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</si>
  <si>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</si>
  <si>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</si>
  <si>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</si>
  <si>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</si>
  <si>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</si>
  <si>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</si>
  <si>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</si>
  <si>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</si>
  <si>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</si>
  <si>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</si>
  <si>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</si>
  <si>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</si>
  <si>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</si>
  <si>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</si>
  <si>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</si>
  <si>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</si>
  <si>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</si>
  <si>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</si>
  <si>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</si>
  <si>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</si>
  <si>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</si>
  <si>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</si>
  <si>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</si>
  <si>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</si>
  <si>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</si>
  <si>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</si>
  <si>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</si>
  <si>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</si>
  <si>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</si>
  <si>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</si>
  <si>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</si>
  <si>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</si>
  <si>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</si>
  <si>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</si>
  <si>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</si>
  <si>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</si>
  <si>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</si>
  <si>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</si>
  <si>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</si>
  <si>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</si>
  <si>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</si>
  <si>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</si>
  <si>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</si>
  <si>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</si>
  <si>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</si>
  <si>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</si>
  <si>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</si>
  <si>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</si>
  <si>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</si>
  <si>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</si>
  <si>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</si>
  <si>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</si>
  <si>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</si>
  <si>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</si>
  <si>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</si>
  <si>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</si>
  <si>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</si>
  <si>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</si>
  <si>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</si>
  <si>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</si>
  <si>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</si>
  <si>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</si>
  <si>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</si>
  <si>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</si>
  <si>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</si>
  <si>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</si>
  <si>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</si>
  <si>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</si>
  <si>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</si>
  <si>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</si>
  <si>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</si>
  <si>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</si>
  <si>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</si>
  <si>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</si>
  <si>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</si>
  <si>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</si>
  <si>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</si>
  <si>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</si>
  <si>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</si>
  <si>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</si>
  <si>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</si>
  <si>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</si>
  <si>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</si>
  <si>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</si>
  <si>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</si>
  <si>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</si>
  <si>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</si>
  <si>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</si>
  <si>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</si>
  <si>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</si>
  <si>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</si>
  <si>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</si>
  <si>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</si>
  <si>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</si>
  <si>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</si>
  <si>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</si>
  <si>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</si>
  <si>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</si>
  <si>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</si>
  <si>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</si>
  <si>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</si>
  <si>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</si>
  <si>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</si>
  <si>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</si>
  <si>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</si>
  <si>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</si>
  <si>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</si>
  <si>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</si>
  <si>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</si>
  <si>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</si>
  <si>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</si>
  <si>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</si>
  <si>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</si>
  <si>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</si>
  <si>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</si>
  <si>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</si>
  <si>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</si>
  <si>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</si>
  <si>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</si>
  <si>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</si>
  <si>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</si>
  <si>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</si>
  <si>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</si>
  <si>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</si>
  <si>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</si>
  <si>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</si>
  <si>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</si>
  <si>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</si>
  <si>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</si>
  <si>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</si>
  <si>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</si>
  <si>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</si>
  <si>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</si>
  <si>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</si>
  <si>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</si>
  <si>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</si>
  <si>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</si>
  <si>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</si>
  <si>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</si>
  <si>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</si>
  <si>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</si>
  <si>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</si>
  <si>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</si>
  <si>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</si>
  <si>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</si>
  <si>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</si>
  <si>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</si>
  <si>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</si>
  <si>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</si>
  <si>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</si>
  <si>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</si>
  <si>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</si>
  <si>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</si>
  <si>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</si>
  <si>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</si>
  <si>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</si>
  <si>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</si>
  <si>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</si>
  <si>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</si>
  <si>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</si>
  <si>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</si>
  <si>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</si>
  <si>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</si>
  <si>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</si>
  <si>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</si>
  <si>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</si>
  <si>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</si>
  <si>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</si>
  <si>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</si>
  <si>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</si>
  <si>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</si>
  <si>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</si>
  <si>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</si>
  <si>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</si>
  <si>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</si>
  <si>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</si>
  <si>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</si>
  <si>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</si>
  <si>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</si>
  <si>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</si>
  <si>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</si>
  <si>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</si>
  <si>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</si>
  <si>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</si>
  <si>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</si>
  <si>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</si>
  <si>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</si>
  <si>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</si>
  <si>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</si>
  <si>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</si>
  <si>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</si>
  <si>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</si>
  <si>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</si>
  <si>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</si>
  <si>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</si>
  <si>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</si>
  <si>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</si>
  <si>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</si>
  <si>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</si>
  <si>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</si>
  <si>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</si>
  <si>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</si>
  <si>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</si>
  <si>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</si>
  <si>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</si>
  <si>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</si>
  <si>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</si>
  <si>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</si>
  <si>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</si>
  <si>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</si>
  <si>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</si>
  <si>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</si>
  <si>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</si>
  <si>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</si>
  <si>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</si>
  <si>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</si>
  <si>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</si>
  <si>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</si>
  <si>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</si>
  <si>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</si>
  <si>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</si>
  <si>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</si>
  <si>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</si>
  <si>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</si>
  <si>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</si>
  <si>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</si>
  <si>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</si>
  <si>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</si>
  <si>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</si>
  <si>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</si>
  <si>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</si>
  <si>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</si>
  <si>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</si>
  <si>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</si>
  <si>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</si>
  <si>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</si>
  <si>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</si>
  <si>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</si>
  <si>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</si>
  <si>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</si>
  <si>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</si>
  <si>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</si>
  <si>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</si>
  <si>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</si>
  <si>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</si>
  <si>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</si>
  <si>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</si>
  <si>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</si>
  <si>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</si>
  <si>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</si>
  <si>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</si>
  <si>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</si>
  <si>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</si>
  <si>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</si>
  <si>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</si>
  <si>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</si>
  <si>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</si>
  <si>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</si>
  <si>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</si>
  <si>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</si>
  <si>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</si>
  <si>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</si>
  <si>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</si>
  <si>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</si>
  <si>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</si>
  <si>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</si>
  <si>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</si>
  <si>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</si>
  <si>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</si>
  <si>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</si>
  <si>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</si>
  <si>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</si>
  <si>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</si>
  <si>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</si>
  <si>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</si>
  <si>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</si>
  <si>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</si>
  <si>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</si>
  <si>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</si>
  <si>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</si>
  <si>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</si>
  <si>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</si>
  <si>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</si>
  <si>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</si>
  <si>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</si>
  <si>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</si>
  <si>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</si>
  <si>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</si>
  <si>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</si>
  <si>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</si>
  <si>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</si>
  <si>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</si>
  <si>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</si>
  <si>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</si>
  <si>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</si>
  <si>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</si>
  <si>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</si>
  <si>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</si>
  <si>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</si>
  <si>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</si>
  <si>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</si>
  <si>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</si>
  <si>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</si>
  <si>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</si>
  <si>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</si>
  <si>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</si>
  <si>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</si>
  <si>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</si>
  <si>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</si>
  <si>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</si>
  <si>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</si>
  <si>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</si>
  <si>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</si>
  <si>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</si>
  <si>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</si>
  <si>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</si>
  <si>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</si>
  <si>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</si>
  <si>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</si>
  <si>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</si>
  <si>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</si>
  <si>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</si>
  <si>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</si>
  <si>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</si>
  <si>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</si>
  <si>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</si>
  <si>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</si>
  <si>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</si>
  <si>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</si>
  <si>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</si>
  <si>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</si>
  <si>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</si>
  <si>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</si>
  <si>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</si>
  <si>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</si>
  <si>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</si>
  <si>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</si>
  <si>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</si>
  <si>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</si>
  <si>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</si>
  <si>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</si>
  <si>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</si>
  <si>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</si>
  <si>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</si>
  <si>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</si>
  <si>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</si>
  <si>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</si>
  <si>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</si>
  <si>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</si>
  <si>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</si>
  <si>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</si>
  <si>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</si>
  <si>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</si>
  <si>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</si>
  <si>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</si>
  <si>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</si>
  <si>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</si>
  <si>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</si>
  <si>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</si>
  <si>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</si>
  <si>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</si>
  <si>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</si>
  <si>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</si>
  <si>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</si>
  <si>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</si>
  <si>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</si>
  <si>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</si>
  <si>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</si>
  <si>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</si>
  <si>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</si>
  <si>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</si>
  <si>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</si>
  <si>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</si>
  <si>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</si>
  <si>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</si>
  <si>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</si>
  <si>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</si>
  <si>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</si>
  <si>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</si>
  <si>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</si>
  <si>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</si>
  <si>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</si>
  <si>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</si>
  <si>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</si>
  <si>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</si>
  <si>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</si>
  <si>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</si>
  <si>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</si>
  <si>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</si>
  <si>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</si>
  <si>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</si>
  <si>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</si>
  <si>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</si>
  <si>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</si>
  <si>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</si>
  <si>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</si>
  <si>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</si>
  <si>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</si>
  <si>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</si>
  <si>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</si>
  <si>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</si>
  <si>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</si>
  <si>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</si>
  <si>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</si>
  <si>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</si>
  <si>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</si>
  <si>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</si>
  <si>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</si>
  <si>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</si>
  <si>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</si>
  <si>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</si>
  <si>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</si>
  <si>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</si>
  <si>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</si>
  <si>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</si>
  <si>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</si>
  <si>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</si>
  <si>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</si>
  <si>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</si>
  <si>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</si>
  <si>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</si>
  <si>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</si>
  <si>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</si>
  <si>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</si>
  <si>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</si>
  <si>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</si>
  <si>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</si>
  <si>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</si>
  <si>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</si>
  <si>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</si>
  <si>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</si>
  <si>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</si>
  <si>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</si>
  <si>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</si>
  <si>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</si>
  <si>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</si>
  <si>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</si>
  <si>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</si>
  <si>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</si>
  <si>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</si>
  <si>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</si>
  <si>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</si>
  <si>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</si>
  <si>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</si>
  <si>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</si>
  <si>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</si>
  <si>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</si>
  <si>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</si>
  <si>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</si>
  <si>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</si>
  <si>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</si>
  <si>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</si>
  <si>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</si>
  <si>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</si>
  <si>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</si>
  <si>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</si>
  <si>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</si>
  <si>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</si>
  <si>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</si>
  <si>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</si>
  <si>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</si>
  <si>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</si>
  <si>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</si>
  <si>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</si>
  <si>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</si>
  <si>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</si>
  <si>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</si>
  <si>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</si>
  <si>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</si>
  <si>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</si>
  <si>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</si>
  <si>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</si>
  <si>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</si>
  <si>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</si>
  <si>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</si>
  <si>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</si>
  <si>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</si>
  <si>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</si>
  <si>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</si>
  <si>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</si>
  <si>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</si>
  <si>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</si>
  <si>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</si>
  <si>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</si>
  <si>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</si>
  <si>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</si>
  <si>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</si>
  <si>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</si>
  <si>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</si>
  <si>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</si>
  <si>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</si>
  <si>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</si>
  <si>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</si>
  <si>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</si>
  <si>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</si>
  <si>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</si>
  <si>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</si>
  <si>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</si>
  <si>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</si>
  <si>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</si>
  <si>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</si>
  <si>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</si>
  <si>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</si>
  <si>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</si>
  <si>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</si>
  <si>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</si>
  <si>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</si>
  <si>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</si>
  <si>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</si>
  <si>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</si>
  <si>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</si>
  <si>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</si>
  <si>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</si>
  <si>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</si>
  <si>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</si>
  <si>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</si>
  <si>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</si>
  <si>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</si>
  <si>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</si>
  <si>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</si>
  <si>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</si>
  <si>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</si>
  <si>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</si>
  <si>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</si>
  <si>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</si>
  <si>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</si>
  <si>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</si>
  <si>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</si>
  <si>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</si>
  <si>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</si>
  <si>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</si>
  <si>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</si>
  <si>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</si>
  <si>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</si>
  <si>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</si>
  <si>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</si>
  <si>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</si>
  <si>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</si>
  <si>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</si>
  <si>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</si>
  <si>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</si>
  <si>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</si>
  <si>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</si>
  <si>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</si>
  <si>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</si>
  <si>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</si>
  <si>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</si>
  <si>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</si>
  <si>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</si>
  <si>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</si>
  <si>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</si>
  <si>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</si>
  <si>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</si>
  <si>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</si>
  <si>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</si>
  <si>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</si>
  <si>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</si>
  <si>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</si>
  <si>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</si>
  <si>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</si>
  <si>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</si>
  <si>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</si>
  <si>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</si>
  <si>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</si>
  <si>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</si>
  <si>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</si>
  <si>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</si>
  <si>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</si>
  <si>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</si>
  <si>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</si>
  <si>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</si>
  <si>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</si>
  <si>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</si>
  <si>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</si>
  <si>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</si>
  <si>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</si>
  <si>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</si>
  <si>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</si>
  <si>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</si>
  <si>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</si>
  <si>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</si>
  <si>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</si>
  <si>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</si>
  <si>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</si>
  <si>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</si>
  <si>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</si>
  <si>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</si>
  <si>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</si>
  <si>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</si>
  <si>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</si>
  <si>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</si>
  <si>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</si>
  <si>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</si>
  <si>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</si>
  <si>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</si>
  <si>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</si>
  <si>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</si>
  <si>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</si>
  <si>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</si>
  <si>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</si>
  <si>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</si>
  <si>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</si>
  <si>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</si>
  <si>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</si>
  <si>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</si>
  <si>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</si>
  <si>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</si>
  <si>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</si>
  <si>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</si>
  <si>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</si>
  <si>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</si>
  <si>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</si>
  <si>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</si>
  <si>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</si>
  <si>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</si>
  <si>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</si>
  <si>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</si>
  <si>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</si>
  <si>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</si>
  <si>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</si>
  <si>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</si>
  <si>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</si>
  <si>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</si>
  <si>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</si>
  <si>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</si>
  <si>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</si>
  <si>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</si>
  <si>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</si>
  <si>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</si>
  <si>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</si>
  <si>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</si>
  <si>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</si>
  <si>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</si>
  <si>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</si>
  <si>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</si>
  <si>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</si>
  <si>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</si>
  <si>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</si>
  <si>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</si>
  <si>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</si>
  <si>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</si>
  <si>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</si>
  <si>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</si>
  <si>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</si>
  <si>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</si>
  <si>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</si>
  <si>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</si>
  <si>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</si>
  <si>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</si>
  <si>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</si>
  <si>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</si>
  <si>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</si>
  <si>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</si>
  <si>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</si>
  <si>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</si>
  <si>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</si>
  <si>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</si>
  <si>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</si>
  <si>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</si>
  <si>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</si>
  <si>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</si>
  <si>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</si>
  <si>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</si>
  <si>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</si>
  <si>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</si>
  <si>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</si>
  <si>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</si>
  <si>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</si>
  <si>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</si>
  <si>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</si>
  <si>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</si>
  <si>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</si>
  <si>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</si>
  <si>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</si>
  <si>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</si>
  <si>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</si>
  <si>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</si>
  <si>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</si>
  <si>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</si>
  <si>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</si>
  <si>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</si>
  <si>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</si>
  <si>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</si>
  <si>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</si>
  <si>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</si>
  <si>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</si>
  <si>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</si>
  <si>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</si>
  <si>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</si>
  <si>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</si>
  <si>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</si>
  <si>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</si>
  <si>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</si>
  <si>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</si>
  <si>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</si>
  <si>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</si>
  <si>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</si>
  <si>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</si>
  <si>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</si>
  <si>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</si>
  <si>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</si>
  <si>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</si>
  <si>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</si>
  <si>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</si>
  <si>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</si>
  <si>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</si>
  <si>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</si>
  <si>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</si>
  <si>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</si>
  <si>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</si>
  <si>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</si>
  <si>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</si>
  <si>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</si>
  <si>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</si>
  <si>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</si>
  <si>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</si>
  <si>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</si>
  <si>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</si>
  <si>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</si>
  <si>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</si>
  <si>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</si>
  <si>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</si>
  <si>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</si>
  <si>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</si>
  <si>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</si>
  <si>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</si>
  <si>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</si>
  <si>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</si>
  <si>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</si>
  <si>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</si>
  <si>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</si>
  <si>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</si>
  <si>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</si>
  <si>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</si>
  <si>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</si>
  <si>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</si>
  <si>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</si>
  <si>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</si>
  <si>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</si>
  <si>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</si>
  <si>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</si>
  <si>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</si>
  <si>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</si>
  <si>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</si>
  <si>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</si>
  <si>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</si>
  <si>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</si>
  <si>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</si>
  <si>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</si>
  <si>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</si>
  <si>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</si>
  <si>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</si>
  <si>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</si>
  <si>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</si>
  <si>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</si>
  <si>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</si>
  <si>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</si>
  <si>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</si>
  <si>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</si>
  <si>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</si>
  <si>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</si>
  <si>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</si>
  <si>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</si>
  <si>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</si>
  <si>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</si>
  <si>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</si>
  <si>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</si>
  <si>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</si>
  <si>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</si>
  <si>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</si>
  <si>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</si>
  <si>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</si>
  <si>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</si>
  <si>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</si>
  <si>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</si>
  <si>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</si>
  <si>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</si>
  <si>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</si>
  <si>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</si>
  <si>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</si>
  <si>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</si>
  <si>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</si>
  <si>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</si>
  <si>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</si>
  <si>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</si>
  <si>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</si>
  <si>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</si>
  <si>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</si>
  <si>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</si>
  <si>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</si>
  <si>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</si>
  <si>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</si>
  <si>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</si>
  <si>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</si>
  <si>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</si>
  <si>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</si>
  <si>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</si>
  <si>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</si>
  <si>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</si>
  <si>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</si>
  <si>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</si>
  <si>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</si>
  <si>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</si>
  <si>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</si>
  <si>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</si>
  <si>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</si>
  <si>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</si>
  <si>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</si>
  <si>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</si>
  <si>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</si>
  <si>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</si>
  <si>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</si>
  <si>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</si>
  <si>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</si>
  <si>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</si>
  <si>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</si>
  <si>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</si>
  <si>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</si>
  <si>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</si>
  <si>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</si>
  <si>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</si>
  <si>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</si>
  <si>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</si>
  <si>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</si>
  <si>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</si>
  <si>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</si>
  <si>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</si>
  <si>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</si>
  <si>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</si>
  <si>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</si>
  <si>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</si>
  <si>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</si>
  <si>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</si>
  <si>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</si>
  <si>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</si>
  <si>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</si>
  <si>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</si>
  <si>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</si>
  <si>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</si>
  <si>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</si>
  <si>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</si>
  <si>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</si>
  <si>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</si>
  <si>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</si>
  <si>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</si>
  <si>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</si>
  <si>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</si>
  <si>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</si>
  <si>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</si>
  <si>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</si>
  <si>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</si>
  <si>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</si>
  <si>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</si>
  <si>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</si>
  <si>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</si>
  <si>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</si>
  <si>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</si>
  <si>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</si>
  <si>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</si>
  <si>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</si>
  <si>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</si>
  <si>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</si>
  <si>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</si>
  <si>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</si>
  <si>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</si>
  <si>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</si>
  <si>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</si>
  <si>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</si>
  <si>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</si>
  <si>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</si>
  <si>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</si>
  <si>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</si>
  <si>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</si>
  <si>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</si>
  <si>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</si>
  <si>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</si>
  <si>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</si>
  <si>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</si>
  <si>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</si>
  <si>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</si>
  <si>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</si>
  <si>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</si>
  <si>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</si>
  <si>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</si>
  <si>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</si>
  <si>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</si>
  <si>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</si>
  <si>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</si>
  <si>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</si>
  <si>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</si>
  <si>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</si>
  <si>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</si>
  <si>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</si>
  <si>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</si>
  <si>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</si>
  <si>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</si>
  <si>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</si>
  <si>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</si>
  <si>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</si>
  <si>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</si>
  <si>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</si>
  <si>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</si>
  <si>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</si>
  <si>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</si>
  <si>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</si>
  <si>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</si>
  <si>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</si>
  <si>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</si>
  <si>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</si>
  <si>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</si>
  <si>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</si>
  <si>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</si>
  <si>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</si>
  <si>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</si>
  <si>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</si>
  <si>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</si>
  <si>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</si>
  <si>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</si>
  <si>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</si>
  <si>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</si>
  <si>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</si>
  <si>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</si>
  <si>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</si>
  <si>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</si>
  <si>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</si>
  <si>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</si>
  <si>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</si>
  <si>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</si>
  <si>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</si>
  <si>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</si>
  <si>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</si>
  <si>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</si>
  <si>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</si>
  <si>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</si>
  <si>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</si>
  <si>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</si>
  <si>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</si>
  <si>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</si>
  <si>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</si>
  <si>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</si>
  <si>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</si>
  <si>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</si>
  <si>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</si>
  <si>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</si>
  <si>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</si>
  <si>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</si>
  <si>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</si>
  <si>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</si>
  <si>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</si>
  <si>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</si>
  <si>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</si>
  <si>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</si>
  <si>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</si>
  <si>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</si>
  <si>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</si>
  <si>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</si>
  <si>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</si>
  <si>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</si>
  <si>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</si>
  <si>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</si>
  <si>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</si>
  <si>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</si>
  <si>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</si>
  <si>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</si>
  <si>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</si>
  <si>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</si>
  <si>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</si>
  <si>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</si>
  <si>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</si>
  <si>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</si>
  <si>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</si>
  <si>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</si>
  <si>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</si>
  <si>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</si>
  <si>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</si>
  <si>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</si>
  <si>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</si>
  <si>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</si>
  <si>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</si>
  <si>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</si>
  <si>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</si>
  <si>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</si>
  <si>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</si>
  <si>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</si>
  <si>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</si>
  <si>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</si>
  <si>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</si>
  <si>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</si>
  <si>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</si>
  <si>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</si>
  <si>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</si>
  <si>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</si>
  <si>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</si>
  <si>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</si>
  <si>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</si>
  <si>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</si>
  <si>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</si>
  <si>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</si>
  <si>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</si>
  <si>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</si>
  <si>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</si>
  <si>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</si>
  <si>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</si>
  <si>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</si>
  <si>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</si>
  <si>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</si>
  <si>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</si>
  <si>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</si>
  <si>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</si>
  <si>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</si>
  <si>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</si>
  <si>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</si>
  <si>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</si>
  <si>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</si>
  <si>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</si>
  <si>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</si>
  <si>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</si>
  <si>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</si>
  <si>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</si>
  <si>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</si>
  <si>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</si>
  <si>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</si>
  <si>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</si>
  <si>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</si>
  <si>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</si>
  <si>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</si>
  <si>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</si>
  <si>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</si>
  <si>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</si>
  <si>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</si>
  <si>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</si>
  <si>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</si>
  <si>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</si>
  <si>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</si>
  <si>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</si>
  <si>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</si>
  <si>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</si>
  <si>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</si>
  <si>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</si>
  <si>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</si>
  <si>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</si>
  <si>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</si>
  <si>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</si>
  <si>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</si>
  <si>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</si>
  <si>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</si>
  <si>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</si>
  <si>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</si>
  <si>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</si>
  <si>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</si>
  <si>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</si>
  <si>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</si>
  <si>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</si>
  <si>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</si>
  <si>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</si>
  <si>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</si>
  <si>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</si>
  <si>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</si>
  <si>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</si>
  <si>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</si>
  <si>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</si>
  <si>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</si>
  <si>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</si>
  <si>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</si>
  <si>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</si>
  <si>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</si>
  <si>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</si>
  <si>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</si>
  <si>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</si>
  <si>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</si>
  <si>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</si>
  <si>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</si>
  <si>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</si>
  <si>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</si>
  <si>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</si>
  <si>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</si>
  <si>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</si>
  <si>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</si>
  <si>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</si>
  <si>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</si>
  <si>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</si>
  <si>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</si>
  <si>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</si>
  <si>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</si>
  <si>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</si>
  <si>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</si>
  <si>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</si>
  <si>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</si>
  <si>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</si>
  <si>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</si>
  <si>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</si>
  <si>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</si>
  <si>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</si>
  <si>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</si>
  <si>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</si>
  <si>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</si>
  <si>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</si>
  <si>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</si>
  <si>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</si>
  <si>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</si>
  <si>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</si>
  <si>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</si>
  <si>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</si>
  <si>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</si>
  <si>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</si>
  <si>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</si>
  <si>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</si>
  <si>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</si>
  <si>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</si>
  <si>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</si>
  <si>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</si>
  <si>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</si>
  <si>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</si>
  <si>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</si>
  <si>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</si>
  <si>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</si>
  <si>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</si>
  <si>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</si>
  <si>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</si>
  <si>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</si>
  <si>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</si>
  <si>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</si>
  <si>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</si>
  <si>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</si>
  <si>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</si>
  <si>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</si>
  <si>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</si>
  <si>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</si>
  <si>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</si>
  <si>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</si>
  <si>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</si>
  <si>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</si>
  <si>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</si>
  <si>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</si>
  <si>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</si>
  <si>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</si>
  <si>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</si>
  <si>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</si>
  <si>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</si>
  <si>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</si>
  <si>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</si>
  <si>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</si>
  <si>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</si>
  <si>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</si>
  <si>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</si>
  <si>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</si>
  <si>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</si>
  <si>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</si>
  <si>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</si>
  <si>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</si>
  <si>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</si>
  <si>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</si>
  <si>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</si>
  <si>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</si>
  <si>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</si>
  <si>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</si>
  <si>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</si>
  <si>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</si>
  <si>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</si>
  <si>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</si>
  <si>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</si>
  <si>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</si>
  <si>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</si>
  <si>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</si>
  <si>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</si>
  <si>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</si>
  <si>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</si>
  <si>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</si>
  <si>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</si>
  <si>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</si>
  <si>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</si>
  <si>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</si>
  <si>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</si>
  <si>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</si>
  <si>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</si>
  <si>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</si>
  <si>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</si>
  <si>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</si>
  <si>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</si>
  <si>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</si>
  <si>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</si>
  <si>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</si>
  <si>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</si>
  <si>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</si>
  <si>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</si>
  <si>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</si>
  <si>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</si>
  <si>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</si>
  <si>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</si>
  <si>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</si>
  <si>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</si>
  <si>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</si>
  <si>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</si>
  <si>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</si>
  <si>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</si>
  <si>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</si>
  <si>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</si>
  <si>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</si>
  <si>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</si>
  <si>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</si>
  <si>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</si>
  <si>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</si>
  <si>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</si>
  <si>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</si>
  <si>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</si>
  <si>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</si>
  <si>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</si>
  <si>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</si>
  <si>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</si>
  <si>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</si>
  <si>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</si>
  <si>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</si>
  <si>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</si>
  <si>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</si>
  <si>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</si>
  <si>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</si>
  <si>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</si>
  <si>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</si>
  <si>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</si>
  <si>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</si>
  <si>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</si>
  <si>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</si>
  <si>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</si>
  <si>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</si>
  <si>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</si>
  <si>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</si>
  <si>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</si>
  <si>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</si>
  <si>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</si>
  <si>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</si>
  <si>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</si>
  <si>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</si>
  <si>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</si>
  <si>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</si>
  <si>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</si>
  <si>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</si>
  <si>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</si>
  <si>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</si>
  <si>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</si>
  <si>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</si>
  <si>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</si>
  <si>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</si>
  <si>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</si>
  <si>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</si>
  <si>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</si>
  <si>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</si>
  <si>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</si>
  <si>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</si>
  <si>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</si>
  <si>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</si>
  <si>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</si>
  <si>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</si>
  <si>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</si>
  <si>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</si>
  <si>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</si>
  <si>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</si>
  <si>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</si>
  <si>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</si>
  <si>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</si>
  <si>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</si>
  <si>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</si>
  <si>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</si>
  <si>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</si>
  <si>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</si>
  <si>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</si>
  <si>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</si>
  <si>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</si>
  <si>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</si>
  <si>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</si>
  <si>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</si>
  <si>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</si>
  <si>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</si>
  <si>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</si>
  <si>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</si>
  <si>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</si>
  <si>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</si>
  <si>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</si>
  <si>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</si>
  <si>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</si>
  <si>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</si>
  <si>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</si>
  <si>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</si>
  <si>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</si>
  <si>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</si>
  <si>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</si>
  <si>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</si>
  <si>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</si>
  <si>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</si>
  <si>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</si>
  <si>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</si>
  <si>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</si>
  <si>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</si>
  <si>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</si>
  <si>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</si>
  <si>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</si>
  <si>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</si>
  <si>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</si>
  <si>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</si>
  <si>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</si>
  <si>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</si>
  <si>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</si>
  <si>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</si>
  <si>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</si>
  <si>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</si>
  <si>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</si>
  <si>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</si>
  <si>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</si>
  <si>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</si>
  <si>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</si>
  <si>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</si>
  <si>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</si>
  <si>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</si>
  <si>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</si>
  <si>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</si>
  <si>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</si>
  <si>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</si>
  <si>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</si>
  <si>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</si>
  <si>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</si>
  <si>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</si>
  <si>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</si>
  <si>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</si>
  <si>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</si>
  <si>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</si>
  <si>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</si>
  <si>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</si>
  <si>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</si>
  <si>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</si>
  <si>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</si>
  <si>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</si>
  <si>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</si>
  <si>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</si>
  <si>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</si>
  <si>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</si>
  <si>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</si>
  <si>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</si>
  <si>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</si>
  <si>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</si>
  <si>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</si>
  <si>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</si>
  <si>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</si>
  <si>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</si>
  <si>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</si>
  <si>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</si>
  <si>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</si>
  <si>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</si>
  <si>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</si>
  <si>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</si>
  <si>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</si>
  <si>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</si>
  <si>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</si>
  <si>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</si>
  <si>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</si>
  <si>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</si>
  <si>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</si>
  <si>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</si>
  <si>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</si>
  <si>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</si>
  <si>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</si>
  <si>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</si>
  <si>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</si>
  <si>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</si>
  <si>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</si>
  <si>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</si>
  <si>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</si>
  <si>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</si>
  <si>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</si>
  <si>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</si>
  <si>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</si>
  <si>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</si>
  <si>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</si>
  <si>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</si>
  <si>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</si>
  <si>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</si>
  <si>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</si>
  <si>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</si>
  <si>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</si>
  <si>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</si>
  <si>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</si>
  <si>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</si>
  <si>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</si>
  <si>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</si>
  <si>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</si>
  <si>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</si>
  <si>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</si>
  <si>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</si>
  <si>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</si>
  <si>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</si>
  <si>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</si>
  <si>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</si>
  <si>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</si>
  <si>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</si>
  <si>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</si>
  <si>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</si>
  <si>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</si>
  <si>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</si>
  <si>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</si>
  <si>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</si>
  <si>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</si>
  <si>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</si>
  <si>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</si>
  <si>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</si>
  <si>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</si>
  <si>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</si>
  <si>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</si>
  <si>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</si>
  <si>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</si>
  <si>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</si>
  <si>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</si>
  <si>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</si>
  <si>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</si>
  <si>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</si>
  <si>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</si>
  <si>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</si>
  <si>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</si>
  <si>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</si>
  <si>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</si>
  <si>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</si>
  <si>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</si>
  <si>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</si>
  <si>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</si>
  <si>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</si>
  <si>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</si>
  <si>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</si>
  <si>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</si>
  <si>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</si>
  <si>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</si>
  <si>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</si>
  <si>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</si>
  <si>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</si>
  <si>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</si>
  <si>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</si>
  <si>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</si>
  <si>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</si>
  <si>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</si>
  <si>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</si>
  <si>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</si>
  <si>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</si>
  <si>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</si>
  <si>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</si>
  <si>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</si>
  <si>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</si>
  <si>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</si>
  <si>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</si>
  <si>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</si>
  <si>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</si>
  <si>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</si>
  <si>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</si>
  <si>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</si>
  <si>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</si>
  <si>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</si>
  <si>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</si>
  <si>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</si>
  <si>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</si>
  <si>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</si>
  <si>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</si>
  <si>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</si>
  <si>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</si>
  <si>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</si>
  <si>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</si>
  <si>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</si>
  <si>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</si>
  <si>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</si>
  <si>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</si>
  <si>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</si>
  <si>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</si>
  <si>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</si>
  <si>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</si>
  <si>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</si>
  <si>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</si>
  <si>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</si>
  <si>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</si>
  <si>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</si>
  <si>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</si>
  <si>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</si>
  <si>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</si>
  <si>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</si>
  <si>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</si>
  <si>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</si>
  <si>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</si>
  <si>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</si>
  <si>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</si>
  <si>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</si>
  <si>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</si>
  <si>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</si>
  <si>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</si>
  <si>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</si>
  <si>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</si>
  <si>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</si>
  <si>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</si>
  <si>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</si>
  <si>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</si>
  <si>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</si>
  <si>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</si>
  <si>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</si>
  <si>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</si>
  <si>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</si>
  <si>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</si>
  <si>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</si>
  <si>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</si>
  <si>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</si>
  <si>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</si>
  <si>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</si>
  <si>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</si>
  <si>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</si>
  <si>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</si>
  <si>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</si>
  <si>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</si>
  <si>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</si>
  <si>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</si>
  <si>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</si>
  <si>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</si>
  <si>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</si>
  <si>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</si>
  <si>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</si>
  <si>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</si>
  <si>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</si>
  <si>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</si>
  <si>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</si>
  <si>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</si>
  <si>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</si>
  <si>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</si>
  <si>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</si>
  <si>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</si>
  <si>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</si>
  <si>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</si>
  <si>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</si>
  <si>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</si>
  <si>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</si>
  <si>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</si>
  <si>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</si>
  <si>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</si>
  <si>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</si>
  <si>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</si>
  <si>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</si>
  <si>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</si>
  <si>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</si>
  <si>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</si>
  <si>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</si>
  <si>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</si>
  <si>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</si>
  <si>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</si>
  <si>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</si>
  <si>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</si>
  <si>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</si>
  <si>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</si>
  <si>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</si>
  <si>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</si>
  <si>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</si>
  <si>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</si>
  <si>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</si>
  <si>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</si>
  <si>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</si>
  <si>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</si>
  <si>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</si>
  <si>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</si>
  <si>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</si>
  <si>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</si>
  <si>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</si>
  <si>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</si>
  <si>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</si>
  <si>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</si>
  <si>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</si>
  <si>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</si>
  <si>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</si>
  <si>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</si>
  <si>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</si>
  <si>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</si>
  <si>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</si>
  <si>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</si>
  <si>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</si>
  <si>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</si>
  <si>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</si>
  <si>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</si>
  <si>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</si>
  <si>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</si>
  <si>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</si>
  <si>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</si>
  <si>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</si>
  <si>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</si>
  <si>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</si>
  <si>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</si>
  <si>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</si>
  <si>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</si>
  <si>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</si>
  <si>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</si>
  <si>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</si>
  <si>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</si>
  <si>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</si>
  <si>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</si>
  <si>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</si>
  <si>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</si>
  <si>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</si>
  <si>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</si>
  <si>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</si>
  <si>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</si>
  <si>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</si>
  <si>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</si>
  <si>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</si>
  <si>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</si>
  <si>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</si>
  <si>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</si>
  <si>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</si>
  <si>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</si>
  <si>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</si>
  <si>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</si>
  <si>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</si>
  <si>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</si>
  <si>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</si>
  <si>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</si>
  <si>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</si>
  <si>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</si>
  <si>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</si>
  <si>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</si>
  <si>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</si>
  <si>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</si>
  <si>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</si>
  <si>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</si>
  <si>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</si>
  <si>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</si>
  <si>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</si>
  <si>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</si>
  <si>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</si>
  <si>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</si>
  <si>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</si>
  <si>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</si>
  <si>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</si>
  <si>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</si>
  <si>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</si>
  <si>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</si>
  <si>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</si>
  <si>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</si>
  <si>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</si>
  <si>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</si>
  <si>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</si>
  <si>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</si>
  <si>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</si>
  <si>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</si>
  <si>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</si>
  <si>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</si>
  <si>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</si>
  <si>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</si>
  <si>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</si>
  <si>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</si>
  <si>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</si>
  <si>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</si>
  <si>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</si>
  <si>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</si>
  <si>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</si>
  <si>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</si>
  <si>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</si>
  <si>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</si>
  <si>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</si>
  <si>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</si>
  <si>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</si>
  <si>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</si>
  <si>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</si>
  <si>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</si>
  <si>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</si>
  <si>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</si>
  <si>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</si>
  <si>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</si>
  <si>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</si>
  <si>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</si>
  <si>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</si>
  <si>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</si>
  <si>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</si>
  <si>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</si>
  <si>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</si>
  <si>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</si>
  <si>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</si>
  <si>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</si>
  <si>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</si>
  <si>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</si>
  <si>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</si>
  <si>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</si>
  <si>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</si>
  <si>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</si>
  <si>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</si>
  <si>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</si>
  <si>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</si>
  <si>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</si>
  <si>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</si>
  <si>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</si>
  <si>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</si>
  <si>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</si>
  <si>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</si>
  <si>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</si>
  <si>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</si>
  <si>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</si>
  <si>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</si>
  <si>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</si>
  <si>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</si>
  <si>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</si>
  <si>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</si>
  <si>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</si>
  <si>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</si>
  <si>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</si>
  <si>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</si>
  <si>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</si>
  <si>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</si>
  <si>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</si>
  <si>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</si>
  <si>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</si>
  <si>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</si>
  <si>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</si>
  <si>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</si>
  <si>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</si>
  <si>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</si>
  <si>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</si>
  <si>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</si>
  <si>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</si>
  <si>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</si>
  <si>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</si>
  <si>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</si>
  <si>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</si>
  <si>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</si>
  <si>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</si>
  <si>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</si>
  <si>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</si>
  <si>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</si>
  <si>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</si>
  <si>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</si>
  <si>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</si>
  <si>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</si>
  <si>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</si>
  <si>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</si>
  <si>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</si>
  <si>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</si>
  <si>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</si>
  <si>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</si>
  <si>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</si>
  <si>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</si>
  <si>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</si>
  <si>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</si>
  <si>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</si>
  <si>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</si>
  <si>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</si>
  <si>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</si>
  <si>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</si>
  <si>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</si>
  <si>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</si>
  <si>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</si>
  <si>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</si>
  <si>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</si>
  <si>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</si>
  <si>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</si>
  <si>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</si>
  <si>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</si>
  <si>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</si>
  <si>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</si>
  <si>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</si>
  <si>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</si>
  <si>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</si>
  <si>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</si>
  <si>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</si>
  <si>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</si>
  <si>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</si>
  <si>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</si>
  <si>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</si>
  <si>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</si>
  <si>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</si>
  <si>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</si>
  <si>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</si>
  <si>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</si>
  <si>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</si>
  <si>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</si>
  <si>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</si>
  <si>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</si>
  <si>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</si>
  <si>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</si>
  <si>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</si>
  <si>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</si>
  <si>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</si>
  <si>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</si>
  <si>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</si>
  <si>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</si>
  <si>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</si>
  <si>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</si>
  <si>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</si>
  <si>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</si>
  <si>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</si>
  <si>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</si>
  <si>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</si>
  <si>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</si>
  <si>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</si>
  <si>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</si>
  <si>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</si>
  <si>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</si>
  <si>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</si>
  <si>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</si>
  <si>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</si>
  <si>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</si>
  <si>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</si>
  <si>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</si>
  <si>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</si>
  <si>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</si>
  <si>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</si>
  <si>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</si>
  <si>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</si>
  <si>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</si>
  <si>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</si>
  <si>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</si>
  <si>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</si>
  <si>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</si>
  <si>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</si>
  <si>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</si>
  <si>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</si>
  <si>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</si>
  <si>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</si>
  <si>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</si>
  <si>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</si>
  <si>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</si>
  <si>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</si>
  <si>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</si>
  <si>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</si>
  <si>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</si>
  <si>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</si>
  <si>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</si>
  <si>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</si>
  <si>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</si>
  <si>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</si>
  <si>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</si>
  <si>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</si>
  <si>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</si>
  <si>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</si>
  <si>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</si>
  <si>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</si>
  <si>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</si>
  <si>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</si>
  <si>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</si>
  <si>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</si>
  <si>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</si>
  <si>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</si>
  <si>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</si>
  <si>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</si>
  <si>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</si>
  <si>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</si>
  <si>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</si>
  <si>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</si>
  <si>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</si>
  <si>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</si>
  <si>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</si>
  <si>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</si>
  <si>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</si>
  <si>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</si>
  <si>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</si>
  <si>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</si>
  <si>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</si>
  <si>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</si>
  <si>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</si>
  <si>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</si>
  <si>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</si>
  <si>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</si>
  <si>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</si>
  <si>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</si>
  <si>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</si>
  <si>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</si>
  <si>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</si>
  <si>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</si>
  <si>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</si>
  <si>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</si>
  <si>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</si>
  <si>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</si>
  <si>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</si>
  <si>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</si>
  <si>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</si>
  <si>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</si>
  <si>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</si>
  <si>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</si>
  <si>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</si>
  <si>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</si>
  <si>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</si>
  <si>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</si>
  <si>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</si>
  <si>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</si>
  <si>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</si>
  <si>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</si>
  <si>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</si>
  <si>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</si>
  <si>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</si>
  <si>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</si>
  <si>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</si>
  <si>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</si>
  <si>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</si>
  <si>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</si>
  <si>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</si>
  <si>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</si>
  <si>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</si>
  <si>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</si>
  <si>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</si>
  <si>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</si>
  <si>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</si>
  <si>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</si>
  <si>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</si>
  <si>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</si>
  <si>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</si>
  <si>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</si>
  <si>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</si>
  <si>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</si>
  <si>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</si>
  <si>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</si>
  <si>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</si>
  <si>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</si>
  <si>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</si>
  <si>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</si>
  <si>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</si>
  <si>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</si>
  <si>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</si>
  <si>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</si>
  <si>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</si>
  <si>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</si>
  <si>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</si>
  <si>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</si>
  <si>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</si>
  <si>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</si>
  <si>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</si>
  <si>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</si>
  <si>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</si>
  <si>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</si>
  <si>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</si>
  <si>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</si>
  <si>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</si>
  <si>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</si>
  <si>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</si>
  <si>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</si>
  <si>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</si>
  <si>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</si>
  <si>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</si>
  <si>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</si>
  <si>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</si>
  <si>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</si>
  <si>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</si>
  <si>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</si>
  <si>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</si>
  <si>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</si>
  <si>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</si>
  <si>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</si>
  <si>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</si>
  <si>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</si>
  <si>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</si>
  <si>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</si>
  <si>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</si>
  <si>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</si>
  <si>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</si>
  <si>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</si>
  <si>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</si>
  <si>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</si>
  <si>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</si>
  <si>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</si>
  <si>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</si>
  <si>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</si>
  <si>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</si>
  <si>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</si>
  <si>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</si>
  <si>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</si>
  <si>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</si>
  <si>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</si>
  <si>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</si>
  <si>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</si>
  <si>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</si>
  <si>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</si>
  <si>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</si>
  <si>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</si>
  <si>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</si>
  <si>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</si>
  <si>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</si>
  <si>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</si>
  <si>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</si>
  <si>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</si>
  <si>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</si>
  <si>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</si>
  <si>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</si>
  <si>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</si>
  <si>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</si>
  <si>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</si>
  <si>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</si>
  <si>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</si>
  <si>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</si>
  <si>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</si>
  <si>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</si>
  <si>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</si>
  <si>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</si>
  <si>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</si>
  <si>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</si>
  <si>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</si>
  <si>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</si>
  <si>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</si>
  <si>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</si>
  <si>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</si>
  <si>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</si>
  <si>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</si>
  <si>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</si>
  <si>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</si>
  <si>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</si>
  <si>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</si>
  <si>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</si>
  <si>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</si>
  <si>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</si>
  <si>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</si>
  <si>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</si>
  <si>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</si>
  <si>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</si>
  <si>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</si>
  <si>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</si>
  <si>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</si>
  <si>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</si>
  <si>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</si>
  <si>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</si>
  <si>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</si>
  <si>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</si>
  <si>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</si>
  <si>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</si>
  <si>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</si>
  <si>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</si>
  <si>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</si>
  <si>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</si>
  <si>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</si>
  <si>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</si>
  <si>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</si>
  <si>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</si>
  <si>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</si>
  <si>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</si>
  <si>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</si>
  <si>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</si>
  <si>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</si>
  <si>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</si>
  <si>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</si>
  <si>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</si>
  <si>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</si>
  <si>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</si>
  <si>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</si>
  <si>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</si>
  <si>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</si>
  <si>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</si>
  <si>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</si>
  <si>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</si>
  <si>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</si>
  <si>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</si>
  <si>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</si>
  <si>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</si>
  <si>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</si>
  <si>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</si>
  <si>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</si>
  <si>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</si>
  <si>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</si>
  <si>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</si>
  <si>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</si>
  <si>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</si>
  <si>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</si>
  <si>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</si>
  <si>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</si>
  <si>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</si>
  <si>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</si>
  <si>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</si>
  <si>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</si>
  <si>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</si>
  <si>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</si>
  <si>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</si>
  <si>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</si>
  <si>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</si>
  <si>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</si>
  <si>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</si>
  <si>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</si>
  <si>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</si>
  <si>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</si>
  <si>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</si>
  <si>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</si>
  <si>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</si>
  <si>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</si>
  <si>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</si>
  <si>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</si>
  <si>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</si>
  <si>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</si>
  <si>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</si>
  <si>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</si>
  <si>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</si>
  <si>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</si>
  <si>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</si>
  <si>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</si>
  <si>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</si>
  <si>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</si>
  <si>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</si>
  <si>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</si>
  <si>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</si>
  <si>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</si>
  <si>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</si>
  <si>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</si>
  <si>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</si>
  <si>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</si>
  <si>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</si>
  <si>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</si>
  <si>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</si>
  <si>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</si>
  <si>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</si>
  <si>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</si>
  <si>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</si>
  <si>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</si>
  <si>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</si>
  <si>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</si>
  <si>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</si>
  <si>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</si>
  <si>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</si>
  <si>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</si>
  <si>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</si>
  <si>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</si>
  <si>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</si>
  <si>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</si>
  <si>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</si>
  <si>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</si>
  <si>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</si>
  <si>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</si>
  <si>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</si>
  <si>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</si>
  <si>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</si>
  <si>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</si>
  <si>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</si>
  <si>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</si>
  <si>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</si>
  <si>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</si>
  <si>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</si>
  <si>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</si>
  <si>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</si>
  <si>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</si>
  <si>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</si>
  <si>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</si>
  <si>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</si>
  <si>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</si>
  <si>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</si>
  <si>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</si>
  <si>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</si>
  <si>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</si>
  <si>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</si>
  <si>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</si>
  <si>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</si>
  <si>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</si>
  <si>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</si>
  <si>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</si>
  <si>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</si>
  <si>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</si>
  <si>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</si>
  <si>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</si>
  <si>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</si>
  <si>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</si>
  <si>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</si>
  <si>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</si>
  <si>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</si>
  <si>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</si>
  <si>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</si>
  <si>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</si>
  <si>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</si>
  <si>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</si>
  <si>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</si>
  <si>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</si>
  <si>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</si>
  <si>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</si>
  <si>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</si>
  <si>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</si>
  <si>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</si>
  <si>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</si>
  <si>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</si>
  <si>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</si>
  <si>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</si>
  <si>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</si>
  <si>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</si>
  <si>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</si>
  <si>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</si>
  <si>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</si>
  <si>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</si>
  <si>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</si>
  <si>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</si>
  <si>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</si>
  <si>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</si>
  <si>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</si>
  <si>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</si>
  <si>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</si>
  <si>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</si>
  <si>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</si>
  <si>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</si>
  <si>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</si>
  <si>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</si>
  <si>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</si>
  <si>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</si>
  <si>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</si>
  <si>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</si>
  <si>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</si>
  <si>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</si>
  <si>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</si>
  <si>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</si>
  <si>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</si>
  <si>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</si>
  <si>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</si>
  <si>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</si>
  <si>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</si>
  <si>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</si>
  <si>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</si>
  <si>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</si>
  <si>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</si>
  <si>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</si>
  <si>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</si>
  <si>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</si>
  <si>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</si>
  <si>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</si>
  <si>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</si>
  <si>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</si>
  <si>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</si>
  <si>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</si>
  <si>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</si>
  <si>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</si>
  <si>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</si>
  <si>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</si>
  <si>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</si>
  <si>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</si>
  <si>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</si>
  <si>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</si>
  <si>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</si>
  <si>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</si>
  <si>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</si>
  <si>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</si>
  <si>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</si>
  <si>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</si>
  <si>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</si>
  <si>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</si>
  <si>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</si>
  <si>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</si>
  <si>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</si>
  <si>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</si>
  <si>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</si>
  <si>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</si>
  <si>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</si>
  <si>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</si>
  <si>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</si>
  <si>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</si>
  <si>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</si>
  <si>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</si>
  <si>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</si>
  <si>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</si>
  <si>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</si>
  <si>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</si>
  <si>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</si>
  <si>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</si>
  <si>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</si>
  <si>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</si>
  <si>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</si>
  <si>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</si>
  <si>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</si>
  <si>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</si>
  <si>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</si>
  <si>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</si>
  <si>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</si>
  <si>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</si>
  <si>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</si>
  <si>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</si>
  <si>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</si>
  <si>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</si>
  <si>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</si>
  <si>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</si>
  <si>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</si>
  <si>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</si>
  <si>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</si>
  <si>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</si>
  <si>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</si>
  <si>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</si>
  <si>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</si>
  <si>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</si>
  <si>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</si>
  <si>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</si>
  <si>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</si>
  <si>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</si>
  <si>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</si>
  <si>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</si>
  <si>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</si>
  <si>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</si>
  <si>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</si>
  <si>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</si>
  <si>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</si>
  <si>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</si>
  <si>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</si>
  <si>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</si>
  <si>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</si>
  <si>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</si>
  <si>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</si>
  <si>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</si>
  <si>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</si>
  <si>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</si>
  <si>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</si>
  <si>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</si>
  <si>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</si>
  <si>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</si>
  <si>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</si>
  <si>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</si>
  <si>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</si>
  <si>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</si>
  <si>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</si>
  <si>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</si>
  <si>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</si>
  <si>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</si>
  <si>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</si>
  <si>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</si>
  <si>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</si>
  <si>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</si>
  <si>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</si>
  <si>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</si>
  <si>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</si>
  <si>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</si>
  <si>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</si>
  <si>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</si>
  <si>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</si>
  <si>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</si>
  <si>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</si>
  <si>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</si>
  <si>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</si>
  <si>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</si>
  <si>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</si>
  <si>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</si>
  <si>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</si>
  <si>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</si>
  <si>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</si>
  <si>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</si>
  <si>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</si>
  <si>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</si>
  <si>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</si>
  <si>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</si>
  <si>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</si>
  <si>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</si>
  <si>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</si>
  <si>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</si>
  <si>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</si>
  <si>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</si>
  <si>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</si>
  <si>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</si>
  <si>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</si>
  <si>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</si>
  <si>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</si>
  <si>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</si>
  <si>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</si>
  <si>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</si>
  <si>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</si>
  <si>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</si>
  <si>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</si>
  <si>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</si>
  <si>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</si>
  <si>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</si>
  <si>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</si>
  <si>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</si>
  <si>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</si>
  <si>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</si>
  <si>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</si>
  <si>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</si>
  <si>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</si>
  <si>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</si>
  <si>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</si>
  <si>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</si>
  <si>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</si>
  <si>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</si>
  <si>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</si>
  <si>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</si>
  <si>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</si>
  <si>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</si>
  <si>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</si>
  <si>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</si>
  <si>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</si>
  <si>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</si>
  <si>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</si>
  <si>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</si>
  <si>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</si>
  <si>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</si>
  <si>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</si>
  <si>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</si>
  <si>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</si>
  <si>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</si>
  <si>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</si>
  <si>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</si>
  <si>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</si>
  <si>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</si>
  <si>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</si>
  <si>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</si>
  <si>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</si>
  <si>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</si>
  <si>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</si>
  <si>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</si>
  <si>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</si>
  <si>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</si>
  <si>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</si>
  <si>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</si>
  <si>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</si>
  <si>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</si>
  <si>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</si>
  <si>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</si>
  <si>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</si>
  <si>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</si>
  <si>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</si>
  <si>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</si>
  <si>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</si>
  <si>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</si>
  <si>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</si>
  <si>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</si>
  <si>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</si>
  <si>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</si>
  <si>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</si>
  <si>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</si>
  <si>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</si>
  <si>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</si>
  <si>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</si>
  <si>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</si>
  <si>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</si>
  <si>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</si>
  <si>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</si>
  <si>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</si>
  <si>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</si>
  <si>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</si>
  <si>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</si>
  <si>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</si>
  <si>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</si>
  <si>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</si>
  <si>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</si>
  <si>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</si>
  <si>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</si>
  <si>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</si>
  <si>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</si>
  <si>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</si>
  <si>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</si>
  <si>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</si>
  <si>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</si>
  <si>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</si>
  <si>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</si>
  <si>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</si>
  <si>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</si>
  <si>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</si>
  <si>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</si>
  <si>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</si>
  <si>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</si>
  <si>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</si>
  <si>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</si>
  <si>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</si>
  <si>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</si>
  <si>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</si>
  <si>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</si>
  <si>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</si>
  <si>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</si>
  <si>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</si>
  <si>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</si>
  <si>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</si>
  <si>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</si>
  <si>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</si>
  <si>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</si>
  <si>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</si>
  <si>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</si>
  <si>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</si>
  <si>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</si>
  <si>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</si>
  <si>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</si>
  <si>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</si>
  <si>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</si>
  <si>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</si>
  <si>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</si>
  <si>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</si>
  <si>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</si>
  <si>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</si>
  <si>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</si>
  <si>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</si>
  <si>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</si>
  <si>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</si>
  <si>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</si>
  <si>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</si>
  <si>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</si>
  <si>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</si>
  <si>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</si>
  <si>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</si>
  <si>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</si>
  <si>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</si>
  <si>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</si>
  <si>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</si>
  <si>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</si>
  <si>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</si>
  <si>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</si>
  <si>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</si>
  <si>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</si>
  <si>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</si>
  <si>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</si>
  <si>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</si>
  <si>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</si>
  <si>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</si>
  <si>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</si>
  <si>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</si>
  <si>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</si>
  <si>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</si>
  <si>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</si>
  <si>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</si>
  <si>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</si>
  <si>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</si>
  <si>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</si>
  <si>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</si>
  <si>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</si>
  <si>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</si>
  <si>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</si>
  <si>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</si>
  <si>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</si>
  <si>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</si>
  <si>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</si>
  <si>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</si>
  <si>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</si>
  <si>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</si>
  <si>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</si>
  <si>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</si>
  <si>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</si>
  <si>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</si>
  <si>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</si>
  <si>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</si>
  <si>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</si>
  <si>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</si>
  <si>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</si>
  <si>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</si>
  <si>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</si>
  <si>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</si>
  <si>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</si>
  <si>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</si>
  <si>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</si>
  <si>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</si>
  <si>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</si>
  <si>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</si>
  <si>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</si>
  <si>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</si>
  <si>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</si>
  <si>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</si>
  <si>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</si>
  <si>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</si>
  <si>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</si>
  <si>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</si>
  <si>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</si>
  <si>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</si>
  <si>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</si>
  <si>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</si>
  <si>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</si>
  <si>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</si>
  <si>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</si>
  <si>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</si>
  <si>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</si>
  <si>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</si>
  <si>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</si>
  <si>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</si>
  <si>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</si>
  <si>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</si>
  <si>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</si>
  <si>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</si>
  <si>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</si>
  <si>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</si>
  <si>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</si>
  <si>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</si>
  <si>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</si>
  <si>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</si>
  <si>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</si>
  <si>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</si>
  <si>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</si>
  <si>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</si>
  <si>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</si>
  <si>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</si>
  <si>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</si>
  <si>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</si>
  <si>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</si>
  <si>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</si>
  <si>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</si>
  <si>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</si>
  <si>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</si>
  <si>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</si>
  <si>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</si>
  <si>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</si>
  <si>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</si>
  <si>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</si>
  <si>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</si>
  <si>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</si>
  <si>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</si>
  <si>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</si>
  <si>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</si>
  <si>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</si>
  <si>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</si>
  <si>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</si>
  <si>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</si>
  <si>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</si>
  <si>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</si>
  <si>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</si>
  <si>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</si>
  <si>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</si>
  <si>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</si>
  <si>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</si>
  <si>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</si>
  <si>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</si>
  <si>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</si>
  <si>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</si>
  <si>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</si>
  <si>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</si>
  <si>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</si>
  <si>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</si>
  <si>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</si>
  <si>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</si>
  <si>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</si>
  <si>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</si>
  <si>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</si>
  <si>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</si>
  <si>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</si>
  <si>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</si>
  <si>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</si>
  <si>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</si>
  <si>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</si>
  <si>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</si>
  <si>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</si>
  <si>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</si>
  <si>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</si>
  <si>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</si>
  <si>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</si>
  <si>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</si>
  <si>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</si>
  <si>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</si>
  <si>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</si>
  <si>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</si>
  <si>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</si>
  <si>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</si>
  <si>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</si>
  <si>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</si>
  <si>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</si>
  <si>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</si>
  <si>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</si>
  <si>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</si>
  <si>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</si>
  <si>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</si>
  <si>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</si>
  <si>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</si>
  <si>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</si>
  <si>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</si>
  <si>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</si>
  <si>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</si>
  <si>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</si>
  <si>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</si>
  <si>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</si>
  <si>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</si>
  <si>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</si>
  <si>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</si>
  <si>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</si>
  <si>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</si>
  <si>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</si>
  <si>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</si>
  <si>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</si>
  <si>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</si>
  <si>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</si>
  <si>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</si>
  <si>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</si>
  <si>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</si>
  <si>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</si>
  <si>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</si>
  <si>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</si>
  <si>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</si>
  <si>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</si>
  <si>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</si>
  <si>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</si>
  <si>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</si>
  <si>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</si>
  <si>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</si>
  <si>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</si>
  <si>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</si>
  <si>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</si>
  <si>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</si>
  <si>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</si>
  <si>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</si>
  <si>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</si>
  <si>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</si>
  <si>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</si>
  <si>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</si>
  <si>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</si>
  <si>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</si>
  <si>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</si>
  <si>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</si>
  <si>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</si>
  <si>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</si>
  <si>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</si>
  <si>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</si>
  <si>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</si>
  <si>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</si>
  <si>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</si>
  <si>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</si>
  <si>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</si>
  <si>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</si>
  <si>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</si>
  <si>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</si>
  <si>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</si>
  <si>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</si>
  <si>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</si>
  <si>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</si>
  <si>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</si>
  <si>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</si>
  <si>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</si>
  <si>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</si>
  <si>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</si>
  <si>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</si>
  <si>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</si>
  <si>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</si>
  <si>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</si>
  <si>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</si>
  <si>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</si>
  <si>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</si>
  <si>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</si>
  <si>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</si>
  <si>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</si>
  <si>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</si>
  <si>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</si>
  <si>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</si>
  <si>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</si>
  <si>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</si>
  <si>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</si>
  <si>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</si>
  <si>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</si>
  <si>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</si>
  <si>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</si>
  <si>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</si>
  <si>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</si>
  <si>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</si>
  <si>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</si>
  <si>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</si>
  <si>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</si>
  <si>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</si>
  <si>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</si>
  <si>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</si>
  <si>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</si>
  <si>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</si>
  <si>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</si>
  <si>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</si>
  <si>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</si>
  <si>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</si>
  <si>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</si>
  <si>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</si>
  <si>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</si>
  <si>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</si>
  <si>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</si>
  <si>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</si>
  <si>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</si>
  <si>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</si>
  <si>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</si>
  <si>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</si>
  <si>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</si>
  <si>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</si>
  <si>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</si>
  <si>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</si>
  <si>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</si>
  <si>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</si>
  <si>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</si>
  <si>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</si>
  <si>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</si>
  <si>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</si>
  <si>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</si>
  <si>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</si>
  <si>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</si>
  <si>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</si>
  <si>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</si>
  <si>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</si>
  <si>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</si>
  <si>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</si>
  <si>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</si>
  <si>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</si>
  <si>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</si>
  <si>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</si>
  <si>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</si>
  <si>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</si>
  <si>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</si>
  <si>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</si>
  <si>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</si>
  <si>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</si>
  <si>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</si>
  <si>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</si>
  <si>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</si>
  <si>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</si>
  <si>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</si>
  <si>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</si>
  <si>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</si>
  <si>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</si>
  <si>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</si>
  <si>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</si>
  <si>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</si>
  <si>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</si>
  <si>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</si>
  <si>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</si>
  <si>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</si>
  <si>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</si>
  <si>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</si>
  <si>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</si>
  <si>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</si>
  <si>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</si>
  <si>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</si>
  <si>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</si>
  <si>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</si>
  <si>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</si>
  <si>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</si>
  <si>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</si>
  <si>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</si>
  <si>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</si>
  <si>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</si>
  <si>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</si>
  <si>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</si>
  <si>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</si>
  <si>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</si>
  <si>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</si>
  <si>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</si>
  <si>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</si>
  <si>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</si>
  <si>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</si>
  <si>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</si>
  <si>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</si>
  <si>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</si>
  <si>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</si>
  <si>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</si>
  <si>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</si>
  <si>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</si>
  <si>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</si>
  <si>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</si>
  <si>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</si>
  <si>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</si>
  <si>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</si>
  <si>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</si>
  <si>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</si>
  <si>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</si>
  <si>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</si>
  <si>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</si>
  <si>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</si>
  <si>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</si>
  <si>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</si>
  <si>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</si>
  <si>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</si>
  <si>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</si>
  <si>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</si>
  <si>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</si>
  <si>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</si>
  <si>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</si>
  <si>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</si>
  <si>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</si>
  <si>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</si>
  <si>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</si>
  <si>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</si>
  <si>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</si>
  <si>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</si>
  <si>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</si>
  <si>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</si>
  <si>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</si>
  <si>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</si>
  <si>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</si>
  <si>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</si>
  <si>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</si>
  <si>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</si>
  <si>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</si>
  <si>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</si>
  <si>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</si>
  <si>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</si>
  <si>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</si>
  <si>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</si>
  <si>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</si>
  <si>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</si>
  <si>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</si>
  <si>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</si>
  <si>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</si>
  <si>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</si>
  <si>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</si>
  <si>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</si>
  <si>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</si>
  <si>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</si>
  <si>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</si>
  <si>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</si>
  <si>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</si>
  <si>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</si>
  <si>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</si>
  <si>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</si>
  <si>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</si>
  <si>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</si>
  <si>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</si>
  <si>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</si>
  <si>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</si>
  <si>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</si>
  <si>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</si>
  <si>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</si>
  <si>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</si>
  <si>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</si>
  <si>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</si>
  <si>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</si>
  <si>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</si>
  <si>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</si>
  <si>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</si>
  <si>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</si>
  <si>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</si>
  <si>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</si>
  <si>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</si>
  <si>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</si>
  <si>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</si>
  <si>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</si>
  <si>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</si>
  <si>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</si>
  <si>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</si>
  <si>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</si>
  <si>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</si>
  <si>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</si>
  <si>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</si>
  <si>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</si>
  <si>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</si>
  <si>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</si>
  <si>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</si>
  <si>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</si>
  <si>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</si>
  <si>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</si>
  <si>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</si>
  <si>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</si>
  <si>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</si>
  <si>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</si>
  <si>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</si>
  <si>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</si>
  <si>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</si>
  <si>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</si>
  <si>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</si>
  <si>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</si>
  <si>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</si>
  <si>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</si>
  <si>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</si>
  <si>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</si>
  <si>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</si>
  <si>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</si>
  <si>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</si>
  <si>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</si>
  <si>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</si>
  <si>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</si>
  <si>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</si>
  <si>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</si>
  <si>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</si>
  <si>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</si>
  <si>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</si>
  <si>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</si>
  <si>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</si>
  <si>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</si>
  <si>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</si>
  <si>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</si>
  <si>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</si>
  <si>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</si>
  <si>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</si>
  <si>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</si>
  <si>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</si>
  <si>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</si>
  <si>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</si>
  <si>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</si>
  <si>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</si>
  <si>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</si>
  <si>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</si>
  <si>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</si>
  <si>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</si>
  <si>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</si>
  <si>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</si>
  <si>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</si>
  <si>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</si>
  <si>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</si>
  <si>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</si>
  <si>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</si>
  <si>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</si>
  <si>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</si>
  <si>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</si>
  <si>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</si>
  <si>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</si>
  <si>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</si>
  <si>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</si>
  <si>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</si>
  <si>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</si>
  <si>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</si>
  <si>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</si>
  <si>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</si>
  <si>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</si>
  <si>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</si>
  <si>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</si>
  <si>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</si>
  <si>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</si>
  <si>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</si>
  <si>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</si>
  <si>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</si>
  <si>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</si>
  <si>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</si>
  <si>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</si>
  <si>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</si>
  <si>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</si>
  <si>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</si>
  <si>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</si>
  <si>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</si>
  <si>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</si>
  <si>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</si>
  <si>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</si>
  <si>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</si>
  <si>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</si>
  <si>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</si>
  <si>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</si>
  <si>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</si>
  <si>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</si>
  <si>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</si>
  <si>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</si>
  <si>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</si>
  <si>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</si>
  <si>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</si>
  <si>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</si>
  <si>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</si>
  <si>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</si>
  <si>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</si>
  <si>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</si>
  <si>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</si>
  <si>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</si>
  <si>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</si>
  <si>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</si>
  <si>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</si>
  <si>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</si>
  <si>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</si>
  <si>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</si>
  <si>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</si>
  <si>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</si>
  <si>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</si>
  <si>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</si>
  <si>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</si>
  <si>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</si>
  <si>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</si>
  <si>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</si>
  <si>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</si>
  <si>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</si>
  <si>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</si>
  <si>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</si>
  <si>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</si>
  <si>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</si>
  <si>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</si>
  <si>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</si>
  <si>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</si>
  <si>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</si>
  <si>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</si>
  <si>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</si>
  <si>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</si>
  <si>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</si>
  <si>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</si>
  <si>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</si>
  <si>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</si>
  <si>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</si>
  <si>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</si>
  <si>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</si>
  <si>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</si>
  <si>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</si>
  <si>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</si>
  <si>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</si>
  <si>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</si>
  <si>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</si>
  <si>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</si>
  <si>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</si>
  <si>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</si>
  <si>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</si>
  <si>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</si>
  <si>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</si>
  <si>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</si>
  <si>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</si>
  <si>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</si>
  <si>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</si>
  <si>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</si>
  <si>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</si>
  <si>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</si>
  <si>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</si>
  <si>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</si>
  <si>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</si>
  <si>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</si>
  <si>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</si>
  <si>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</si>
  <si>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</si>
  <si>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</si>
  <si>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</si>
  <si>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</si>
  <si>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</si>
  <si>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</si>
  <si>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</si>
  <si>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</si>
  <si>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</si>
  <si>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</si>
  <si>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</si>
  <si>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</si>
  <si>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</si>
  <si>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</si>
  <si>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</si>
  <si>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</si>
  <si>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</si>
  <si>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</si>
  <si>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</si>
  <si>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</si>
  <si>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</si>
  <si>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</si>
  <si>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</si>
  <si>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</si>
  <si>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</si>
  <si>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</si>
  <si>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</si>
  <si>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</si>
  <si>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</si>
  <si>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</si>
  <si>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</si>
  <si>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</si>
  <si>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</si>
  <si>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</si>
  <si>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</si>
  <si>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</si>
  <si>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</si>
  <si>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</si>
  <si>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</si>
  <si>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</si>
  <si>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</si>
  <si>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</si>
  <si>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</si>
  <si>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</si>
  <si>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</si>
  <si>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</si>
  <si>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</si>
  <si>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</si>
  <si>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</si>
  <si>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</si>
  <si>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</si>
  <si>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</si>
  <si>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</si>
  <si>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</si>
  <si>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</si>
  <si>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</si>
  <si>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</si>
  <si>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</si>
  <si>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</si>
  <si>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</si>
  <si>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</si>
  <si>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</si>
  <si>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</si>
  <si>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</si>
  <si>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</si>
  <si>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</si>
  <si>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</si>
  <si>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</si>
  <si>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</si>
  <si>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</si>
  <si>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</si>
  <si>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</si>
  <si>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</si>
  <si>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</si>
  <si>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</si>
  <si>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</si>
  <si>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</si>
  <si>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</si>
  <si>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</si>
  <si>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</si>
  <si>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</si>
  <si>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</si>
  <si>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</si>
  <si>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</si>
  <si>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</si>
  <si>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</si>
  <si>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</si>
  <si>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</si>
  <si>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</si>
  <si>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</si>
  <si>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</si>
  <si>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</si>
  <si>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</si>
  <si>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</si>
  <si>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</si>
  <si>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</si>
  <si>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</si>
  <si>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</si>
  <si>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</si>
  <si>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</si>
  <si>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</si>
  <si>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</si>
  <si>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</si>
  <si>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</si>
  <si>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</si>
  <si>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</si>
  <si>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</si>
  <si>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</si>
  <si>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</si>
  <si>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</si>
  <si>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</si>
  <si>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</si>
  <si>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</si>
  <si>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</si>
  <si>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</si>
  <si>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</si>
  <si>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</si>
  <si>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</si>
  <si>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</si>
  <si>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</si>
  <si>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</si>
  <si>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</si>
  <si>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</si>
  <si>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</si>
  <si>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</si>
  <si>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</si>
  <si>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</si>
  <si>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</si>
  <si>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</si>
  <si>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</si>
  <si>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</si>
  <si>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</si>
  <si>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</si>
  <si>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</si>
  <si>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</si>
  <si>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</si>
  <si>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</si>
  <si>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</si>
  <si>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</si>
  <si>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</si>
  <si>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</si>
  <si>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</si>
  <si>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</si>
  <si>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</si>
  <si>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</si>
  <si>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</si>
  <si>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</si>
  <si>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</si>
  <si>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</si>
  <si>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</si>
  <si>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</si>
  <si>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</si>
  <si>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</si>
  <si>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</si>
  <si>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</si>
  <si>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</si>
  <si>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</si>
  <si>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</si>
  <si>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</si>
  <si>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</si>
  <si>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</si>
  <si>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</si>
  <si>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</si>
  <si>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</si>
  <si>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</si>
  <si>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</si>
  <si>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</si>
  <si>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</si>
  <si>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</si>
  <si>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</si>
  <si>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</si>
  <si>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</si>
  <si>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</si>
  <si>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</si>
  <si>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</si>
  <si>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</si>
  <si>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</si>
  <si>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</si>
  <si>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</si>
  <si>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</si>
  <si>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</si>
  <si>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</si>
  <si>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</si>
  <si>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</si>
  <si>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</si>
  <si>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</si>
  <si>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</si>
  <si>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</si>
  <si>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</si>
  <si>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</si>
  <si>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</si>
  <si>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</si>
  <si>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</si>
  <si>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</si>
  <si>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</si>
  <si>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</si>
  <si>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</si>
  <si>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</si>
  <si>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</si>
  <si>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</si>
  <si>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</si>
  <si>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</si>
  <si>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</si>
  <si>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</si>
  <si>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</si>
  <si>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</si>
  <si>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</si>
  <si>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</si>
  <si>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</si>
  <si>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</si>
  <si>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</si>
  <si>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</si>
  <si>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</si>
  <si>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</si>
  <si>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</si>
  <si>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</si>
  <si>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</si>
  <si>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</si>
  <si>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</si>
  <si>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</si>
  <si>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</si>
  <si>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</si>
  <si>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</si>
  <si>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</si>
  <si>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</si>
  <si>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</si>
  <si>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</si>
  <si>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</si>
  <si>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</si>
  <si>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</si>
  <si>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</si>
  <si>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</si>
  <si>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</si>
  <si>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</si>
  <si>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</si>
  <si>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</si>
  <si>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</si>
  <si>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</si>
  <si>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</si>
  <si>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</si>
  <si>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</si>
  <si>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</si>
  <si>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</si>
  <si>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</si>
  <si>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</si>
  <si>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</si>
  <si>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</si>
  <si>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</si>
  <si>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</si>
  <si>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</si>
  <si>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</si>
  <si>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</si>
  <si>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</si>
  <si>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</si>
  <si>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</si>
  <si>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</si>
  <si>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</si>
  <si>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</si>
  <si>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</si>
  <si>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</si>
  <si>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</si>
  <si>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</si>
  <si>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</si>
  <si>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</si>
  <si>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</si>
  <si>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</si>
  <si>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</si>
  <si>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</si>
  <si>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</si>
  <si>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</si>
  <si>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</si>
  <si>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</si>
  <si>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</si>
  <si>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</si>
  <si>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</si>
  <si>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</si>
  <si>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</si>
  <si>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</si>
  <si>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</si>
  <si>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</si>
  <si>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</si>
  <si>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</si>
  <si>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</si>
  <si>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</si>
  <si>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</si>
  <si>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</si>
  <si>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</si>
  <si>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</si>
  <si>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</si>
  <si>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</si>
  <si>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</si>
  <si>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</si>
  <si>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</si>
  <si>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</si>
  <si>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</si>
  <si>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</si>
  <si>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</si>
  <si>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</si>
  <si>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</si>
  <si>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</si>
  <si>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</si>
  <si>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</si>
  <si>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</si>
  <si>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</si>
  <si>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</si>
  <si>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</si>
  <si>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</si>
  <si>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</si>
  <si>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</si>
  <si>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</si>
  <si>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</si>
  <si>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</si>
  <si>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</si>
  <si>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</si>
  <si>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</si>
  <si>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</si>
  <si>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</si>
  <si>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</si>
  <si>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</si>
  <si>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</si>
  <si>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</si>
  <si>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</si>
  <si>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</si>
  <si>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</si>
  <si>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</si>
  <si>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</si>
  <si>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</si>
  <si>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</si>
  <si>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</si>
  <si>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</si>
  <si>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</si>
  <si>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</si>
  <si>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</si>
  <si>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</si>
  <si>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</si>
  <si>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</si>
  <si>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</si>
  <si>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</si>
  <si>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</si>
  <si>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</si>
  <si>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</si>
  <si>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</si>
  <si>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</si>
  <si>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</si>
  <si>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</si>
  <si>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</si>
  <si>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</si>
  <si>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</si>
  <si>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</si>
  <si>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</si>
  <si>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</si>
  <si>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</si>
  <si>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</si>
  <si>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</si>
  <si>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</si>
  <si>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</si>
  <si>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</si>
  <si>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</si>
  <si>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</si>
  <si>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</si>
  <si>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</si>
  <si>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</si>
  <si>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</si>
  <si>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</si>
  <si>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</si>
  <si>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</si>
  <si>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</si>
  <si>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</si>
  <si>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</si>
  <si>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</si>
  <si>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</si>
  <si>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</si>
  <si>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</si>
  <si>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</si>
  <si>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</si>
  <si>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</si>
  <si>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</si>
  <si>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</si>
  <si>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</si>
  <si>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</si>
  <si>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</si>
  <si>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</si>
  <si>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</si>
  <si>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</si>
  <si>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</si>
  <si>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</si>
  <si>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</si>
  <si>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</si>
  <si>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</si>
  <si>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</si>
  <si>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</si>
  <si>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</si>
  <si>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</si>
  <si>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</si>
  <si>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</si>
  <si>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</si>
  <si>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</si>
  <si>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</si>
  <si>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</si>
  <si>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</si>
  <si>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</si>
  <si>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</si>
  <si>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</si>
  <si>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</si>
  <si>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</si>
  <si>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</si>
  <si>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</si>
  <si>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</si>
  <si>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</si>
  <si>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</si>
  <si>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</si>
  <si>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</si>
  <si>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</si>
  <si>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</si>
  <si>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</si>
  <si>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</si>
  <si>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</si>
  <si>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</si>
  <si>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</si>
  <si>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</si>
  <si>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</si>
  <si>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</si>
  <si>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</si>
  <si>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</si>
  <si>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</si>
  <si>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</si>
  <si>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</si>
  <si>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</si>
  <si>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</si>
  <si>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</si>
  <si>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</si>
  <si>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</si>
  <si>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</si>
  <si>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</si>
  <si>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</si>
  <si>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</si>
  <si>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</si>
  <si>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</si>
  <si>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</si>
  <si>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</si>
  <si>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</si>
  <si>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</si>
  <si>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</si>
  <si>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</si>
  <si>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</si>
  <si>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</si>
  <si>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</si>
  <si>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</si>
  <si>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</si>
  <si>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</si>
  <si>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</si>
  <si>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</si>
  <si>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</si>
  <si>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</si>
  <si>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</si>
  <si>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</si>
  <si>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</si>
  <si>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</si>
  <si>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</si>
  <si>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</si>
  <si>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</si>
  <si>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</si>
  <si>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</si>
  <si>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</si>
  <si>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</si>
  <si>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</si>
  <si>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</si>
  <si>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</si>
  <si>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</si>
  <si>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</si>
  <si>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</si>
  <si>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</si>
  <si>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</si>
  <si>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</si>
  <si>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</si>
  <si>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</si>
  <si>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</si>
  <si>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</si>
  <si>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</si>
  <si>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</si>
  <si>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</si>
  <si>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</si>
  <si>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</si>
  <si>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</si>
  <si>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</si>
  <si>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</si>
  <si>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</si>
  <si>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</si>
  <si>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</si>
  <si>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</si>
  <si>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</si>
  <si>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</si>
  <si>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</si>
  <si>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</si>
  <si>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</si>
  <si>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</si>
  <si>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</si>
  <si>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</si>
  <si>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</si>
  <si>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</si>
  <si>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</si>
  <si>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</si>
  <si>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</si>
  <si>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</si>
  <si>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</si>
  <si>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</si>
  <si>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</si>
  <si>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</si>
  <si>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</si>
  <si>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</si>
  <si>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</si>
  <si>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</si>
  <si>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</si>
  <si>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</si>
  <si>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</si>
  <si>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</si>
  <si>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</si>
  <si>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</si>
  <si>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</si>
  <si>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</si>
  <si>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</si>
  <si>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</si>
  <si>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</si>
  <si>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</si>
  <si>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</si>
  <si>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</si>
  <si>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</si>
  <si>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</si>
  <si>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</si>
  <si>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</si>
  <si>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</si>
  <si>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</si>
  <si>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</si>
  <si>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</si>
  <si>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</si>
  <si>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</si>
  <si>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</si>
  <si>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</si>
  <si>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</si>
  <si>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</si>
  <si>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</si>
  <si>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</si>
  <si>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</si>
  <si>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</si>
  <si>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</si>
  <si>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</si>
  <si>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</si>
  <si>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</si>
  <si>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</si>
  <si>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</si>
  <si>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</si>
  <si>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</si>
  <si>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</si>
  <si>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</si>
  <si>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</si>
  <si>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</si>
  <si>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</si>
  <si>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</si>
  <si>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</si>
  <si>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</si>
  <si>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</si>
  <si>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</si>
  <si>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</si>
  <si>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</si>
  <si>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</si>
  <si>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</si>
  <si>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</si>
  <si>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</si>
  <si>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</si>
  <si>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</si>
  <si>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</si>
  <si>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</si>
  <si>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</si>
  <si>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</si>
  <si>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</si>
  <si>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</si>
  <si>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</si>
  <si>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</si>
  <si>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</si>
  <si>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</si>
  <si>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</si>
  <si>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</si>
  <si>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</si>
  <si>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</si>
  <si>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</si>
  <si>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</si>
  <si>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</si>
  <si>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</si>
  <si>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</si>
  <si>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</si>
  <si>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</si>
  <si>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</si>
  <si>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</si>
  <si>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</si>
  <si>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</si>
  <si>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</si>
  <si>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</si>
  <si>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</si>
  <si>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</si>
  <si>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</si>
  <si>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</si>
  <si>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</si>
  <si>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</si>
  <si>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</si>
  <si>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</si>
  <si>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</si>
  <si>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</si>
  <si>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</si>
  <si>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</si>
  <si>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</si>
  <si>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</si>
  <si>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</si>
  <si>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</si>
  <si>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</si>
  <si>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</si>
  <si>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</si>
  <si>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</si>
  <si>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</si>
  <si>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</si>
  <si>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</si>
  <si>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</si>
  <si>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</si>
  <si>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</si>
  <si>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</si>
  <si>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</si>
  <si>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</si>
  <si>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</si>
  <si>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</si>
  <si>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</si>
  <si>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</si>
  <si>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</si>
  <si>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</si>
  <si>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</si>
  <si>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</si>
  <si>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</si>
  <si>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</si>
  <si>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</si>
  <si>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</si>
  <si>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</si>
  <si>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</si>
  <si>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</si>
  <si>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</si>
  <si>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</si>
  <si>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</si>
  <si>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</si>
  <si>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</si>
  <si>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</si>
  <si>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</si>
  <si>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</si>
  <si>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</si>
  <si>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</si>
  <si>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</si>
  <si>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</si>
  <si>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</si>
  <si>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</si>
  <si>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</si>
  <si>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</si>
  <si>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</si>
  <si>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</si>
  <si>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</si>
  <si>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</si>
  <si>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</si>
  <si>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</si>
  <si>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</si>
  <si>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</si>
  <si>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</si>
  <si>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</si>
  <si>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</si>
  <si>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</si>
  <si>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</si>
  <si>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</si>
  <si>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</si>
  <si>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</si>
  <si>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</si>
  <si>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</si>
  <si>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</si>
  <si>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</si>
  <si>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</si>
  <si>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</si>
  <si>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</si>
  <si>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</si>
  <si>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</si>
  <si>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</si>
  <si>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</si>
  <si>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</si>
  <si>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</si>
  <si>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</si>
  <si>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</si>
  <si>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</si>
  <si>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</si>
  <si>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</si>
  <si>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</si>
  <si>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</si>
  <si>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</si>
  <si>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</si>
  <si>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</si>
  <si>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</si>
  <si>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</si>
  <si>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</si>
  <si>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</si>
  <si>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</si>
  <si>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</si>
  <si>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</si>
  <si>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</si>
  <si>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</si>
  <si>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</si>
  <si>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</si>
  <si>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</si>
  <si>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</si>
  <si>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</si>
  <si>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</si>
  <si>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</si>
  <si>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</si>
  <si>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</si>
  <si>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</si>
  <si>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</si>
  <si>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</si>
  <si>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</si>
  <si>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</si>
  <si>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</si>
  <si>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</si>
  <si>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</si>
  <si>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</si>
  <si>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</si>
  <si>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</si>
  <si>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</si>
  <si>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</si>
  <si>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</si>
  <si>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</si>
  <si>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</si>
  <si>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</si>
  <si>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</si>
  <si>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</si>
  <si>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</si>
  <si>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</si>
  <si>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</si>
  <si>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</si>
  <si>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</si>
  <si>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</si>
  <si>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</si>
  <si>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</si>
  <si>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</si>
  <si>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</si>
  <si>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</si>
  <si>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</si>
  <si>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</si>
  <si>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</si>
  <si>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</si>
  <si>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</si>
  <si>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</si>
  <si>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</si>
  <si>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</si>
  <si>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</si>
  <si>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</si>
  <si>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</si>
  <si>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</si>
  <si>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</si>
  <si>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</si>
  <si>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</si>
  <si>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</si>
  <si>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</si>
  <si>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</si>
  <si>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</si>
  <si>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</si>
  <si>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</si>
  <si>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</si>
  <si>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</si>
  <si>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</si>
  <si>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</si>
  <si>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</si>
  <si>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</si>
  <si>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</si>
  <si>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</si>
  <si>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</si>
  <si>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</si>
  <si>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</si>
  <si>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</si>
  <si>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</si>
  <si>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</si>
  <si>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</si>
  <si>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</si>
  <si>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</si>
  <si>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</si>
  <si>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</si>
  <si>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</si>
  <si>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</si>
  <si>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</si>
  <si>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</si>
  <si>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</si>
  <si>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</si>
  <si>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</si>
  <si>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</si>
  <si>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</si>
  <si>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</si>
  <si>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</si>
  <si>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</si>
  <si>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</si>
  <si>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</si>
  <si>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</si>
  <si>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</si>
  <si>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</si>
  <si>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</si>
  <si>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</si>
  <si>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</si>
  <si>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</si>
  <si>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</si>
  <si>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</si>
  <si>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</si>
  <si>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</si>
  <si>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</si>
  <si>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</si>
  <si>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</si>
  <si>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</si>
  <si>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</si>
  <si>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</si>
  <si>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</si>
  <si>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</si>
  <si>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</si>
  <si>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</si>
  <si>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</si>
  <si>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</si>
  <si>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</si>
  <si>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</si>
  <si>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</si>
  <si>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</si>
  <si>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</si>
  <si>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</si>
  <si>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</si>
  <si>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</si>
  <si>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</si>
  <si>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</si>
  <si>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</si>
  <si>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</si>
  <si>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</si>
  <si>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</si>
  <si>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</si>
  <si>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</si>
  <si>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</si>
  <si>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</si>
  <si>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</si>
  <si>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</si>
  <si>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</si>
  <si>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</si>
  <si>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</si>
  <si>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</si>
  <si>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</si>
  <si>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</si>
  <si>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</si>
  <si>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</si>
  <si>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</si>
  <si>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</si>
  <si>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</si>
  <si>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</si>
  <si>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</si>
  <si>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</si>
  <si>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</si>
  <si>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</si>
  <si>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</si>
  <si>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</si>
  <si>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</si>
  <si>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</si>
  <si>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</si>
  <si>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</si>
  <si>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</si>
  <si>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</si>
  <si>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</si>
  <si>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</si>
  <si>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</si>
  <si>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</si>
  <si>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</si>
  <si>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</si>
  <si>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</si>
  <si>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</si>
  <si>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</si>
  <si>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</si>
  <si>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</si>
  <si>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</si>
  <si>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</si>
  <si>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</si>
  <si>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</si>
  <si>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</si>
  <si>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</si>
  <si>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</si>
  <si>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</si>
  <si>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</si>
  <si>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</si>
  <si>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</si>
  <si>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</si>
  <si>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</si>
  <si>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</si>
  <si>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</si>
  <si>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</si>
  <si>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</si>
  <si>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</si>
  <si>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</si>
  <si>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</si>
  <si>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</si>
  <si>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</si>
  <si>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</si>
  <si>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</si>
  <si>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</si>
  <si>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</si>
  <si>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</si>
  <si>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</si>
  <si>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</si>
  <si>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</si>
  <si>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</si>
  <si>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</si>
  <si>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</si>
  <si>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</si>
  <si>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</si>
  <si>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</si>
  <si>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</si>
  <si>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</si>
  <si>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</si>
  <si>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</si>
  <si>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</si>
  <si>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</si>
  <si>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</si>
  <si>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</si>
  <si>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</si>
  <si>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</si>
  <si>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</si>
  <si>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</si>
  <si>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</si>
  <si>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</si>
  <si>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</si>
  <si>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</si>
  <si>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</si>
  <si>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</si>
  <si>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</si>
  <si>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</si>
  <si>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</si>
  <si>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</si>
  <si>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</si>
  <si>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</si>
  <si>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</si>
  <si>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</si>
  <si>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</si>
  <si>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</si>
  <si>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</si>
  <si>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</si>
  <si>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</si>
  <si>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</si>
  <si>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</si>
  <si>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</si>
  <si>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</si>
  <si>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</si>
  <si>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</si>
  <si>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</si>
  <si>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</si>
  <si>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</si>
  <si>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</si>
  <si>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</si>
  <si>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</si>
  <si>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</si>
  <si>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</si>
  <si>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</si>
  <si>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</si>
  <si>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</si>
  <si>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</si>
  <si>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</si>
  <si>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</si>
  <si>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</si>
  <si>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</si>
  <si>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</si>
  <si>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</si>
  <si>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</si>
  <si>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</si>
  <si>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</si>
  <si>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</si>
  <si>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</si>
  <si>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</si>
  <si>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</si>
  <si>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</si>
  <si>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</si>
  <si>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</si>
  <si>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</si>
  <si>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</si>
  <si>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</si>
  <si>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</si>
  <si>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</si>
  <si>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</si>
  <si>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</si>
  <si>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</si>
  <si>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</si>
  <si>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</si>
  <si>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</si>
  <si>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</si>
  <si>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</si>
  <si>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</si>
  <si>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</si>
  <si>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</si>
  <si>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</si>
  <si>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</si>
  <si>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</si>
  <si>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</si>
  <si>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</si>
  <si>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</si>
  <si>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</si>
  <si>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</si>
  <si>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</si>
  <si>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</si>
  <si>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</si>
  <si>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</si>
  <si>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</si>
  <si>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</si>
  <si>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</si>
  <si>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</si>
  <si>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</si>
  <si>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</si>
  <si>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</si>
  <si>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</si>
  <si>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</si>
  <si>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</si>
  <si>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</si>
  <si>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</si>
  <si>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</si>
  <si>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</si>
  <si>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</si>
  <si>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</si>
  <si>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</si>
  <si>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</si>
  <si>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</si>
  <si>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</si>
  <si>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</si>
  <si>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</si>
  <si>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</si>
  <si>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</si>
  <si>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</si>
  <si>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</si>
  <si>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</si>
  <si>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</si>
  <si>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</si>
  <si>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</si>
  <si>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</si>
  <si>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</si>
  <si>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</si>
  <si>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</si>
  <si>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</si>
  <si>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</si>
  <si>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</si>
  <si>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</si>
  <si>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</si>
  <si>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</si>
  <si>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</si>
  <si>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</si>
  <si>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</si>
  <si>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</si>
  <si>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</si>
  <si>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</si>
  <si>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</si>
  <si>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</si>
  <si>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</si>
  <si>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</si>
  <si>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</si>
  <si>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</si>
  <si>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</si>
  <si>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</si>
  <si>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</si>
  <si>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</si>
  <si>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</si>
  <si>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</si>
  <si>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</si>
  <si>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</si>
  <si>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</si>
  <si>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</si>
  <si>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</si>
  <si>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</si>
  <si>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</si>
  <si>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</si>
  <si>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</si>
  <si>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</si>
  <si>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</si>
  <si>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</si>
  <si>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</si>
  <si>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</si>
  <si>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</si>
  <si>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</si>
  <si>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</si>
  <si>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</si>
  <si>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</si>
  <si>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</si>
  <si>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</si>
  <si>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</si>
  <si>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</si>
  <si>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</si>
  <si>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</si>
  <si>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</si>
  <si>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</si>
  <si>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</si>
  <si>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</si>
  <si>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</si>
  <si>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</si>
  <si>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</si>
  <si>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</si>
  <si>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</si>
  <si>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</si>
  <si>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</si>
  <si>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</si>
  <si>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</si>
  <si>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</si>
  <si>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</si>
  <si>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</si>
  <si>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</si>
  <si>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</si>
  <si>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</si>
  <si>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</si>
  <si>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</si>
  <si>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</si>
  <si>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</si>
  <si>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</si>
  <si>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</si>
  <si>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</si>
  <si>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</si>
  <si>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</si>
  <si>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</si>
  <si>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</si>
  <si>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</si>
  <si>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</si>
  <si>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</si>
  <si>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</si>
  <si>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</si>
  <si>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</si>
  <si>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</si>
  <si>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</si>
  <si>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</si>
  <si>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</si>
  <si>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</si>
  <si>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</si>
  <si>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</si>
  <si>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</si>
  <si>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</si>
  <si>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</si>
  <si>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</si>
  <si>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</si>
  <si>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</si>
  <si>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</si>
  <si>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</si>
  <si>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</si>
  <si>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</si>
  <si>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</si>
  <si>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</si>
  <si>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</si>
  <si>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</si>
  <si>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</si>
  <si>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</si>
  <si>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</si>
  <si>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</si>
  <si>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</si>
  <si>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</si>
  <si>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</si>
  <si>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</si>
  <si>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</si>
  <si>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</si>
  <si>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</si>
  <si>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</si>
  <si>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</si>
  <si>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</si>
  <si>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</si>
  <si>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</si>
  <si>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</si>
  <si>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</si>
  <si>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</si>
  <si>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</si>
  <si>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</si>
  <si>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</si>
  <si>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</si>
  <si>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</si>
  <si>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</si>
  <si>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</si>
  <si>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</si>
  <si>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</si>
  <si>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</si>
  <si>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</si>
  <si>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</si>
  <si>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</si>
  <si>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</si>
  <si>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</si>
  <si>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</si>
  <si>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</si>
  <si>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</si>
  <si>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</si>
  <si>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</si>
  <si>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</si>
  <si>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</si>
  <si>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</si>
  <si>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</si>
  <si>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</si>
  <si>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</si>
  <si>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</si>
  <si>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</si>
  <si>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</si>
  <si>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</si>
  <si>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</si>
  <si>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</si>
  <si>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</si>
  <si>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</si>
  <si>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</si>
  <si>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</si>
  <si>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</si>
  <si>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</si>
  <si>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</si>
  <si>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</si>
  <si>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</si>
  <si>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</si>
  <si>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</si>
  <si>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</si>
  <si>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</si>
  <si>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</si>
  <si>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</si>
  <si>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</si>
  <si>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</si>
  <si>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</si>
  <si>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</si>
  <si>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</si>
  <si>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</si>
  <si>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</si>
  <si>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</si>
  <si>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</si>
  <si>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</si>
  <si>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</si>
  <si>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</si>
  <si>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</si>
  <si>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</si>
  <si>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</si>
  <si>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</si>
  <si>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</si>
  <si>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</si>
  <si>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</si>
  <si>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</si>
  <si>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</si>
  <si>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</si>
  <si>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</si>
  <si>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</si>
  <si>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</si>
  <si>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</si>
  <si>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</si>
  <si>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</si>
  <si>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</si>
  <si>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</si>
  <si>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</si>
  <si>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</si>
  <si>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</si>
  <si>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</si>
  <si>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</si>
  <si>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</si>
  <si>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</si>
  <si>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</si>
  <si>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</si>
  <si>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</si>
  <si>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</si>
  <si>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</si>
  <si>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</si>
  <si>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</si>
  <si>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</si>
  <si>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</si>
  <si>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</si>
  <si>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</si>
  <si>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</si>
  <si>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</si>
  <si>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</si>
  <si>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</si>
  <si>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</si>
  <si>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</si>
  <si>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</si>
  <si>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</si>
  <si>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</si>
  <si>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</si>
  <si>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</si>
  <si>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</si>
  <si>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</si>
  <si>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</si>
  <si>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</si>
  <si>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</si>
  <si>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</si>
  <si>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</si>
  <si>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</si>
  <si>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</si>
  <si>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</si>
  <si>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</si>
  <si>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</si>
  <si>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</si>
  <si>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</si>
  <si>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</si>
  <si>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</si>
  <si>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</si>
  <si>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</si>
  <si>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</si>
  <si>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</si>
  <si>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</si>
  <si>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</si>
  <si>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</si>
  <si>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</si>
  <si>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</si>
  <si>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</si>
  <si>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</si>
  <si>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</si>
  <si>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</si>
  <si>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</si>
  <si>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</si>
  <si>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</si>
  <si>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</si>
  <si>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</si>
  <si>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</si>
  <si>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</si>
  <si>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</si>
  <si>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</si>
  <si>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</si>
  <si>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</si>
  <si>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</si>
  <si>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</si>
  <si>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</si>
  <si>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</si>
  <si>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</si>
  <si>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</si>
  <si>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</si>
  <si>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</si>
  <si>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</si>
  <si>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</si>
  <si>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</si>
  <si>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</si>
  <si>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</si>
  <si>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</si>
  <si>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</si>
  <si>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</si>
  <si>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</si>
  <si>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</si>
  <si>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</si>
  <si>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</si>
  <si>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</si>
  <si>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</si>
  <si>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</si>
  <si>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</si>
  <si>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</si>
  <si>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</si>
  <si>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</si>
  <si>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</si>
  <si>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</si>
  <si>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</si>
  <si>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</si>
  <si>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</si>
  <si>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</si>
  <si>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</si>
  <si>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</si>
  <si>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</si>
  <si>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</si>
  <si>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</si>
  <si>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</si>
  <si>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</si>
  <si>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</si>
  <si>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</si>
  <si>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</si>
  <si>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</si>
  <si>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</si>
  <si>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</si>
  <si>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</si>
  <si>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</si>
  <si>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</si>
  <si>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</si>
  <si>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</si>
  <si>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</si>
  <si>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</si>
  <si>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</si>
  <si>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</si>
  <si>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</si>
  <si>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</si>
  <si>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</si>
  <si>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</si>
  <si>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</si>
  <si>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</si>
  <si>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</si>
  <si>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</si>
  <si>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</si>
  <si>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</si>
  <si>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</si>
  <si>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</si>
  <si>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</si>
  <si>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</si>
  <si>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</si>
  <si>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</si>
  <si>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</si>
  <si>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</si>
  <si>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</si>
  <si>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</si>
  <si>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</si>
  <si>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</si>
  <si>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</si>
  <si>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</si>
  <si>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</si>
  <si>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</si>
  <si>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</si>
  <si>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</si>
  <si>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</si>
  <si>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</si>
  <si>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</si>
  <si>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</si>
  <si>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</si>
  <si>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</si>
  <si>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</si>
  <si>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</si>
  <si>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</si>
  <si>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</si>
  <si>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</si>
  <si>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</si>
  <si>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</si>
  <si>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</si>
  <si>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</si>
  <si>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</si>
  <si>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</si>
  <si>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</si>
  <si>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</si>
  <si>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</si>
  <si>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</si>
  <si>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</si>
  <si>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</si>
  <si>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</si>
  <si>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</si>
  <si>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</si>
  <si>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</si>
  <si>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</si>
  <si>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</si>
  <si>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</si>
  <si>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</si>
  <si>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</si>
  <si>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</si>
  <si>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</si>
  <si>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</si>
  <si>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</si>
  <si>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</si>
  <si>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</si>
  <si>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</si>
  <si>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</si>
  <si>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</si>
  <si>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</si>
  <si>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</si>
  <si>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</si>
  <si>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</si>
  <si>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</si>
  <si>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</si>
  <si>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</si>
  <si>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</si>
  <si>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</si>
  <si>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</si>
  <si>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</si>
  <si>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</si>
  <si>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</si>
  <si>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</si>
  <si>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</si>
  <si>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</si>
  <si>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</si>
  <si>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</si>
  <si>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</si>
  <si>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</si>
  <si>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</si>
  <si>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</si>
  <si>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</si>
  <si>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</si>
  <si>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</si>
  <si>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</si>
  <si>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</si>
  <si>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</si>
  <si>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</si>
  <si>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</si>
  <si>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</si>
  <si>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</si>
  <si>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</si>
  <si>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</si>
  <si>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</si>
  <si>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</si>
  <si>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</si>
  <si>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</si>
  <si>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</si>
  <si>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</si>
  <si>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</si>
  <si>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</si>
  <si>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</si>
  <si>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</si>
  <si>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</si>
  <si>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</si>
  <si>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</si>
  <si>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</si>
  <si>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</si>
  <si>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</si>
  <si>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</si>
  <si>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</si>
  <si>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</si>
  <si>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</si>
  <si>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</si>
  <si>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</si>
  <si>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</si>
  <si>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</si>
  <si>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</si>
  <si>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</si>
  <si>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</si>
  <si>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</si>
  <si>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</si>
  <si>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</si>
  <si>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</si>
  <si>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</si>
  <si>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</si>
  <si>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</si>
  <si>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</si>
  <si>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</si>
  <si>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</si>
  <si>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</si>
  <si>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</si>
  <si>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</si>
  <si>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</si>
  <si>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</si>
  <si>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</si>
  <si>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</si>
  <si>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</si>
  <si>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</si>
  <si>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</si>
  <si>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</si>
  <si>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</si>
  <si>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</si>
  <si>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</si>
  <si>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</si>
  <si>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</si>
  <si>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</si>
  <si>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</si>
  <si>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</si>
  <si>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</si>
  <si>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</si>
  <si>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</si>
  <si>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</si>
  <si>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</si>
  <si>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</si>
  <si>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</si>
  <si>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</si>
  <si>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</si>
  <si>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</si>
  <si>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</si>
  <si>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</si>
  <si>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</si>
  <si>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</si>
  <si>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</si>
  <si>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</si>
  <si>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</si>
  <si>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</si>
  <si>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</si>
  <si>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</si>
  <si>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</si>
  <si>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</si>
  <si>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</si>
  <si>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</si>
  <si>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</si>
  <si>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</si>
  <si>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</si>
  <si>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</si>
  <si>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</si>
  <si>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</si>
  <si>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</si>
  <si>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</si>
  <si>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</si>
  <si>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</si>
  <si>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</si>
  <si>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</si>
  <si>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</si>
  <si>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</si>
  <si>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</si>
  <si>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</si>
  <si>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</si>
  <si>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</si>
  <si>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</si>
  <si>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</si>
  <si>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</si>
  <si>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</si>
  <si>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</si>
  <si>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</si>
  <si>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</si>
  <si>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</si>
  <si>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</si>
  <si>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</si>
  <si>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</si>
  <si>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</si>
  <si>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</si>
  <si>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</si>
  <si>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</si>
  <si>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</si>
  <si>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</si>
  <si>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</si>
  <si>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</si>
  <si>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</si>
  <si>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</si>
  <si>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</si>
  <si>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</si>
  <si>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</si>
  <si>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</si>
  <si>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</si>
  <si>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</si>
  <si>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</si>
  <si>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</si>
  <si>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</si>
  <si>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</si>
  <si>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</si>
  <si>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</si>
  <si>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</si>
  <si>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</si>
  <si>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</si>
  <si>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</si>
  <si>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</si>
  <si>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</si>
  <si>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</si>
  <si>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</si>
  <si>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</si>
  <si>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</si>
  <si>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</si>
  <si>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</si>
  <si>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</si>
  <si>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</si>
  <si>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</si>
  <si>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</si>
  <si>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</si>
  <si>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</si>
  <si>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</si>
  <si>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</si>
  <si>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</si>
  <si>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</si>
  <si>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</si>
  <si>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</si>
  <si>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</si>
  <si>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</si>
  <si>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</si>
  <si>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</si>
  <si>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</si>
  <si>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</si>
  <si>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</si>
  <si>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</si>
  <si>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</si>
  <si>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</si>
  <si>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</si>
  <si>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</si>
  <si>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</si>
  <si>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</si>
  <si>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</si>
  <si>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</si>
  <si>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</si>
  <si>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</si>
  <si>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</si>
  <si>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</si>
  <si>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</si>
  <si>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</si>
  <si>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</si>
  <si>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</si>
  <si>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</si>
  <si>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</si>
  <si>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</si>
  <si>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</si>
  <si>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</si>
  <si>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</si>
  <si>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</si>
  <si>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</si>
  <si>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</si>
  <si>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</si>
  <si>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</si>
  <si>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</si>
  <si>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</si>
  <si>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</si>
  <si>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</si>
  <si>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</si>
  <si>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</si>
  <si>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</si>
  <si>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</si>
  <si>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</si>
  <si>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</si>
  <si>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</si>
  <si>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</si>
  <si>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</si>
  <si>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</si>
  <si>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</si>
  <si>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</si>
  <si>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</si>
  <si>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</si>
  <si>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</si>
  <si>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</si>
  <si>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</si>
  <si>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</si>
  <si>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</si>
  <si>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</si>
  <si>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</si>
  <si>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</si>
  <si>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</si>
  <si>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</si>
  <si>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</si>
  <si>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</si>
  <si>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</si>
  <si>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</si>
  <si>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</si>
  <si>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</si>
  <si>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</si>
  <si>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</si>
  <si>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</si>
  <si>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</si>
  <si>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</si>
  <si>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</si>
  <si>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</si>
  <si>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</si>
  <si>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</si>
  <si>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</si>
  <si>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</si>
  <si>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</si>
  <si>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</si>
  <si>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</si>
  <si>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</si>
  <si>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</si>
  <si>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</si>
  <si>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</si>
  <si>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</si>
  <si>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</si>
  <si>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</si>
  <si>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</si>
  <si>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</si>
  <si>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</si>
  <si>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</si>
  <si>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</si>
  <si>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</si>
  <si>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</si>
  <si>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</si>
  <si>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</si>
  <si>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</si>
  <si>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</si>
  <si>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</si>
  <si>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</si>
  <si>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</si>
  <si>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</si>
  <si>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</si>
  <si>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</si>
  <si>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</si>
  <si>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</si>
  <si>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</si>
  <si>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</si>
  <si>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</si>
  <si>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</si>
  <si>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</si>
  <si>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</si>
  <si>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</si>
  <si>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</si>
  <si>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</si>
  <si>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</si>
  <si>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</si>
  <si>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</si>
  <si>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</si>
  <si>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</si>
  <si>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</si>
  <si>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</si>
  <si>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</si>
  <si>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</si>
  <si>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</si>
  <si>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</si>
  <si>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</si>
  <si>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</si>
  <si>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</si>
  <si>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</si>
  <si>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</si>
  <si>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</si>
  <si>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</si>
  <si>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</si>
  <si>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</si>
  <si>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</si>
  <si>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</si>
  <si>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</si>
  <si>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</si>
  <si>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</si>
  <si>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</si>
  <si>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</si>
  <si>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</si>
  <si>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</si>
  <si>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</si>
  <si>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</si>
  <si>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</si>
  <si>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</si>
  <si>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</si>
  <si>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</si>
  <si>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</si>
  <si>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</si>
  <si>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</si>
  <si>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</si>
  <si>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</si>
  <si>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</si>
  <si>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</si>
  <si>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</si>
  <si>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</si>
  <si>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</si>
  <si>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</si>
  <si>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</si>
  <si>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</si>
  <si>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</si>
  <si>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</si>
  <si>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</si>
  <si>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</si>
  <si>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</si>
  <si>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</si>
  <si>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</si>
  <si>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</si>
  <si>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</si>
  <si>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</si>
  <si>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</si>
  <si>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</si>
  <si>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</si>
  <si>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</si>
  <si>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</si>
  <si>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</si>
  <si>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</si>
  <si>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</si>
  <si>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</si>
  <si>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</si>
  <si>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</si>
  <si>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</si>
  <si>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</si>
  <si>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</si>
  <si>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</si>
  <si>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</si>
  <si>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</si>
  <si>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</si>
  <si>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</si>
  <si>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</si>
  <si>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</si>
  <si>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</si>
  <si>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</si>
  <si>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</si>
  <si>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</si>
  <si>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</si>
  <si>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</si>
  <si>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</si>
  <si>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</si>
  <si>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</si>
  <si>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</si>
  <si>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</si>
  <si>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</si>
  <si>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</si>
  <si>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</si>
  <si>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</si>
  <si>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</si>
  <si>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</si>
  <si>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</si>
  <si>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</si>
  <si>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</si>
  <si>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</si>
  <si>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</si>
  <si>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</si>
  <si>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</si>
  <si>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</si>
  <si>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</si>
  <si>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</si>
  <si>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</si>
  <si>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</si>
  <si>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</si>
  <si>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</si>
  <si>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</si>
  <si>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</si>
  <si>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</si>
  <si>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</si>
  <si>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</si>
  <si>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</si>
  <si>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</si>
  <si>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</si>
  <si>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</si>
  <si>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</si>
  <si>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</si>
  <si>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</si>
  <si>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</si>
  <si>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</si>
  <si>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</si>
  <si>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</si>
  <si>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</si>
  <si>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</si>
  <si>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</si>
  <si>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</si>
  <si>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</si>
  <si>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</si>
  <si>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</si>
  <si>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</si>
  <si>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</si>
  <si>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</si>
  <si>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</si>
  <si>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</si>
  <si>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</si>
  <si>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</si>
  <si>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</si>
  <si>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</si>
  <si>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</si>
  <si>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</si>
  <si>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</si>
  <si>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</si>
  <si>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</si>
  <si>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</si>
  <si>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</si>
  <si>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</si>
  <si>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</si>
  <si>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</si>
  <si>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</si>
  <si>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</si>
  <si>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</si>
  <si>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</si>
  <si>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</si>
  <si>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</si>
  <si>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</si>
  <si>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</si>
  <si>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</si>
  <si>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</si>
  <si>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</si>
  <si>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</si>
  <si>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</si>
  <si>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</si>
  <si>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</si>
  <si>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</si>
  <si>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</si>
  <si>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</si>
  <si>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</si>
  <si>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</si>
  <si>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</si>
  <si>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</si>
  <si>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</si>
  <si>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</si>
  <si>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</si>
  <si>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</si>
  <si>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</si>
  <si>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</si>
  <si>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</si>
  <si>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</si>
  <si>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</si>
  <si>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</si>
  <si>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</si>
  <si>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</si>
  <si>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</si>
  <si>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</si>
  <si>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</si>
  <si>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</si>
  <si>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</si>
  <si>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</si>
  <si>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</si>
  <si>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</si>
  <si>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</si>
  <si>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</si>
  <si>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</si>
  <si>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</si>
  <si>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</si>
  <si>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</si>
  <si>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</si>
  <si>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</si>
  <si>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</si>
  <si>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</si>
  <si>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</si>
  <si>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</si>
  <si>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</si>
  <si>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</si>
  <si>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</si>
  <si>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</si>
  <si>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</si>
  <si>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</si>
  <si>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</si>
  <si>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</si>
  <si>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</si>
  <si>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</si>
  <si>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</si>
  <si>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</si>
  <si>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</si>
  <si>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</si>
  <si>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</si>
  <si>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</si>
  <si>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</si>
  <si>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</si>
  <si>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</si>
  <si>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</si>
  <si>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</si>
  <si>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</si>
  <si>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</si>
  <si>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</si>
  <si>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</si>
  <si>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</si>
  <si>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</si>
  <si>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</si>
  <si>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</si>
  <si>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</si>
  <si>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</si>
  <si>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</si>
  <si>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</si>
  <si>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</si>
  <si>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</si>
  <si>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</si>
  <si>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</si>
  <si>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</si>
  <si>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</si>
  <si>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</si>
  <si>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</si>
  <si>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</si>
  <si>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</si>
  <si>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</si>
  <si>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</si>
  <si>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</si>
  <si>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</si>
  <si>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</si>
  <si>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</si>
  <si>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</si>
  <si>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</si>
  <si>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</si>
  <si>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</si>
  <si>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</si>
  <si>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</si>
  <si>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</si>
  <si>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</si>
  <si>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</si>
  <si>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</si>
  <si>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</si>
  <si>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</si>
  <si>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</si>
  <si>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</si>
  <si>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</si>
  <si>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</si>
  <si>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</si>
  <si>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</si>
  <si>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</si>
  <si>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</si>
  <si>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</si>
  <si>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</si>
  <si>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</si>
  <si>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</si>
  <si>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</si>
  <si>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</si>
  <si>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</si>
  <si>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</si>
  <si>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</si>
  <si>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</si>
  <si>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</si>
  <si>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</si>
  <si>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</si>
  <si>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</si>
  <si>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</si>
  <si>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</si>
  <si>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</si>
  <si>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</si>
  <si>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</si>
  <si>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</si>
  <si>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</si>
  <si>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</si>
  <si>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</si>
  <si>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</si>
  <si>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</si>
  <si>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</si>
  <si>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</si>
  <si>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</si>
  <si>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</si>
  <si>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</si>
  <si>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</si>
  <si>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</si>
  <si>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</si>
  <si>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</si>
  <si>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</si>
  <si>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</si>
  <si>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</si>
  <si>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</si>
  <si>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</si>
  <si>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</si>
  <si>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</si>
  <si>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</si>
  <si>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</si>
  <si>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</si>
  <si>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</si>
  <si>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</si>
  <si>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</si>
  <si>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</si>
  <si>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</si>
  <si>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</si>
  <si>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</si>
  <si>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</si>
  <si>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</si>
  <si>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</si>
  <si>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</si>
  <si>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</si>
  <si>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</si>
  <si>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</si>
  <si>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</si>
  <si>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</si>
  <si>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</si>
  <si>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</si>
  <si>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</si>
  <si>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</si>
  <si>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</si>
  <si>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</si>
  <si>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</si>
  <si>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</si>
  <si>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</si>
  <si>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</si>
  <si>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</si>
  <si>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</si>
  <si>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</si>
  <si>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</si>
  <si>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</si>
  <si>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</si>
  <si>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</si>
  <si>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</si>
  <si>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</si>
  <si>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</si>
  <si>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</si>
  <si>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</si>
  <si>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</si>
  <si>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</si>
  <si>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</si>
  <si>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</si>
  <si>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</si>
  <si>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</si>
  <si>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</si>
  <si>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</si>
  <si>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</si>
  <si>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</si>
  <si>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</si>
  <si>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</si>
  <si>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</si>
  <si>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</si>
  <si>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</si>
  <si>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</si>
  <si>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</si>
  <si>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</si>
  <si>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</si>
  <si>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</si>
  <si>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</si>
  <si>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</si>
  <si>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</si>
  <si>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</si>
  <si>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</si>
  <si>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</si>
  <si>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</si>
  <si>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</si>
  <si>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</si>
  <si>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</si>
  <si>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</si>
  <si>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</si>
  <si>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</si>
  <si>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</si>
  <si>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</si>
  <si>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</si>
  <si>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</si>
  <si>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</si>
  <si>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</si>
  <si>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</si>
  <si>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</si>
  <si>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</si>
  <si>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</si>
  <si>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</si>
  <si>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</si>
  <si>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</si>
  <si>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</si>
  <si>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</si>
  <si>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</si>
  <si>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</si>
  <si>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</si>
  <si>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</si>
  <si>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</si>
  <si>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</si>
  <si>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</si>
  <si>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</si>
  <si>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</si>
  <si>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</si>
  <si>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</si>
  <si>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</si>
  <si>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</si>
  <si>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</si>
  <si>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</si>
  <si>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</si>
  <si>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</si>
  <si>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</si>
  <si>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</si>
  <si>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</si>
  <si>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</si>
  <si>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</si>
  <si>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</si>
  <si>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</si>
  <si>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</si>
  <si>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</si>
  <si>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</si>
  <si>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</si>
  <si>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</si>
  <si>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</si>
  <si>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</si>
  <si>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</si>
  <si>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</si>
  <si>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</si>
  <si>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</si>
  <si>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</si>
  <si>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</si>
  <si>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</si>
  <si>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</si>
  <si>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</si>
  <si>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</si>
  <si>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</si>
  <si>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</si>
  <si>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</si>
  <si>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</si>
  <si>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</si>
  <si>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</si>
  <si>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</si>
  <si>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</si>
  <si>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</si>
  <si>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</si>
  <si>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</si>
  <si>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</si>
  <si>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</si>
  <si>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</si>
  <si>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</si>
  <si>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</si>
  <si>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</si>
  <si>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</si>
  <si>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</si>
  <si>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</si>
  <si>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</si>
  <si>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</si>
  <si>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</si>
  <si>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</si>
  <si>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</si>
  <si>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</si>
  <si>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</si>
  <si>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</si>
  <si>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</si>
  <si>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</si>
  <si>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</si>
  <si>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</si>
  <si>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</si>
  <si>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</si>
  <si>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</si>
  <si>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</si>
  <si>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</si>
  <si>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</si>
  <si>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</si>
  <si>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</si>
  <si>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</si>
  <si>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</si>
  <si>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</si>
  <si>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</si>
  <si>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</si>
  <si>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</si>
  <si>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</si>
  <si>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</si>
  <si>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</si>
  <si>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</si>
  <si>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</si>
  <si>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</si>
  <si>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</si>
  <si>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</si>
  <si>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</si>
  <si>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</si>
  <si>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</si>
  <si>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</si>
  <si>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</si>
  <si>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</si>
  <si>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</si>
  <si>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</si>
  <si>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</si>
  <si>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</si>
  <si>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</si>
  <si>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</si>
  <si>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</si>
  <si>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</si>
  <si>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</si>
  <si>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</si>
  <si>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</si>
  <si>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</si>
  <si>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</si>
  <si>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</si>
  <si>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</si>
  <si>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</si>
  <si>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</si>
  <si>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</si>
  <si>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</si>
  <si>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</si>
  <si>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</si>
  <si>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</si>
  <si>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</si>
  <si>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</si>
  <si>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</si>
  <si>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</si>
  <si>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</si>
  <si>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</si>
  <si>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</si>
  <si>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</si>
  <si>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</si>
  <si>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</si>
  <si>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</si>
  <si>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</si>
  <si>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</si>
  <si>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</si>
  <si>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</si>
  <si>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</si>
  <si>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</si>
  <si>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</si>
  <si>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</si>
  <si>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</si>
  <si>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</si>
  <si>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</si>
  <si>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</si>
  <si>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</si>
  <si>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</si>
  <si>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</si>
  <si>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</si>
  <si>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</si>
  <si>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</si>
  <si>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</si>
  <si>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</si>
  <si>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</si>
  <si>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</si>
  <si>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</si>
  <si>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</si>
  <si>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</si>
  <si>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</si>
  <si>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</si>
  <si>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</si>
  <si>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</si>
  <si>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</si>
  <si>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</si>
  <si>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</si>
  <si>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</si>
  <si>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</si>
  <si>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</si>
  <si>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</si>
  <si>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</si>
  <si>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</si>
  <si>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</si>
  <si>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</si>
  <si>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</si>
  <si>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</si>
  <si>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</si>
  <si>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</si>
  <si>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</si>
  <si>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</si>
  <si>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</si>
  <si>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</si>
  <si>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</si>
  <si>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</si>
  <si>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</si>
  <si>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</si>
  <si>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</si>
  <si>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</si>
  <si>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</si>
  <si>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</si>
  <si>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</si>
  <si>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</si>
  <si>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</si>
  <si>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</si>
  <si>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</si>
  <si>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</si>
  <si>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</si>
  <si>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</si>
  <si>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</si>
  <si>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</si>
  <si>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</si>
  <si>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</si>
  <si>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</si>
  <si>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</si>
  <si>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</si>
  <si>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</si>
  <si>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</si>
  <si>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</si>
  <si>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</si>
  <si>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</si>
  <si>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</si>
  <si>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</si>
  <si>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</si>
  <si>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</si>
  <si>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</si>
  <si>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</si>
  <si>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</si>
  <si>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</si>
  <si>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</si>
  <si>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</si>
  <si>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</si>
  <si>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</si>
  <si>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</si>
  <si>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</si>
  <si>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</si>
  <si>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</si>
  <si>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</si>
  <si>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</si>
  <si>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</si>
  <si>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</si>
  <si>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</si>
  <si>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</si>
  <si>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</si>
  <si>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</si>
  <si>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</si>
  <si>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</si>
  <si>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</si>
  <si>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</si>
  <si>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</si>
  <si>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</si>
  <si>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</si>
  <si>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</si>
  <si>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</si>
  <si>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</si>
  <si>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</si>
  <si>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</si>
  <si>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</si>
  <si>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</si>
  <si>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</si>
  <si>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</si>
  <si>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</si>
  <si>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</si>
  <si>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</si>
  <si>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</si>
  <si>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</si>
  <si>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</si>
  <si>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</si>
  <si>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</si>
  <si>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</si>
  <si>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</si>
  <si>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</si>
  <si>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</si>
  <si>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</si>
  <si>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</si>
  <si>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</si>
  <si>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</si>
  <si>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</si>
  <si>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</si>
  <si>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</si>
  <si>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</si>
  <si>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</si>
  <si>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</si>
  <si>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</si>
  <si>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</si>
  <si>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</si>
  <si>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</si>
  <si>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</si>
  <si>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</si>
  <si>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</si>
  <si>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</si>
  <si>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</si>
  <si>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</si>
  <si>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</si>
  <si>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</si>
  <si>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</si>
  <si>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</si>
  <si>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</si>
  <si>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</si>
  <si>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</si>
  <si>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</si>
  <si>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</si>
  <si>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</si>
  <si>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</si>
  <si>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</si>
  <si>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</si>
  <si>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</si>
  <si>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</si>
  <si>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</si>
  <si>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</si>
  <si>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</si>
  <si>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</si>
  <si>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</si>
  <si>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</si>
  <si>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</si>
  <si>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</si>
  <si>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</si>
  <si>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</si>
  <si>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</si>
  <si>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</si>
  <si>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</si>
  <si>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</si>
  <si>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</si>
  <si>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</si>
  <si>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</si>
  <si>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</si>
  <si>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</si>
  <si>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</si>
  <si>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</si>
  <si>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</si>
  <si>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</si>
  <si>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</si>
  <si>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</si>
  <si>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</si>
  <si>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</si>
  <si>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</si>
  <si>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</si>
  <si>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</si>
  <si>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</si>
  <si>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</si>
  <si>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</si>
  <si>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</si>
  <si>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</si>
  <si>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</si>
  <si>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</si>
  <si>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</si>
  <si>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</si>
  <si>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</si>
  <si>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</si>
  <si>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</si>
  <si>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</si>
  <si>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</si>
  <si>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</si>
  <si>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</si>
  <si>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</si>
  <si>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</si>
  <si>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</si>
  <si>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</si>
  <si>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</si>
  <si>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</si>
  <si>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</si>
  <si>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</si>
  <si>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</si>
  <si>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</si>
  <si>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</si>
  <si>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</si>
  <si>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</si>
  <si>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</si>
  <si>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</si>
  <si>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</si>
  <si>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</si>
  <si>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</si>
  <si>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</si>
  <si>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</si>
  <si>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</si>
  <si>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</si>
  <si>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</si>
  <si>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</si>
  <si>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</si>
  <si>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</si>
  <si>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</si>
  <si>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</si>
  <si>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</si>
  <si>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</si>
  <si>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</si>
  <si>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</si>
  <si>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</si>
  <si>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</si>
  <si>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</si>
  <si>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</si>
  <si>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</si>
  <si>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</si>
  <si>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</si>
  <si>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</si>
  <si>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</si>
  <si>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</si>
  <si>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</si>
  <si>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</si>
  <si>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</si>
  <si>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</si>
  <si>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</si>
  <si>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</si>
  <si>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</si>
  <si>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</si>
  <si>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</si>
  <si>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</si>
  <si>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</si>
  <si>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</si>
  <si>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</si>
  <si>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</si>
  <si>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</si>
  <si>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</si>
  <si>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</si>
  <si>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</si>
  <si>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</si>
  <si>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</si>
  <si>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</si>
  <si>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</si>
  <si>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</si>
  <si>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</si>
  <si>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</si>
  <si>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</si>
  <si>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</si>
  <si>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</si>
  <si>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</si>
  <si>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</si>
  <si>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</si>
  <si>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</si>
  <si>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</si>
  <si>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</si>
  <si>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</si>
  <si>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</si>
  <si>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</si>
  <si>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</si>
  <si>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</si>
  <si>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</si>
  <si>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</si>
  <si>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</si>
  <si>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</si>
  <si>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</si>
  <si>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</si>
  <si>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</si>
  <si>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</si>
  <si>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</si>
  <si>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</si>
  <si>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</si>
  <si>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</si>
  <si>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</si>
  <si>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</si>
  <si>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</si>
  <si>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</si>
  <si>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</si>
  <si>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</si>
  <si>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</si>
  <si>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</si>
  <si>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</si>
  <si>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</si>
  <si>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</si>
  <si>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</si>
  <si>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</si>
  <si>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</si>
  <si>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</si>
  <si>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</si>
  <si>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</si>
  <si>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</si>
  <si>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</si>
  <si>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</si>
  <si>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</si>
  <si>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</si>
  <si>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</si>
  <si>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</si>
  <si>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</si>
  <si>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</si>
  <si>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</si>
  <si>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</si>
  <si>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</si>
  <si>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</si>
  <si>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</si>
  <si>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</si>
  <si>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</si>
  <si>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</si>
  <si>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</si>
  <si>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</si>
  <si>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</si>
  <si>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</si>
  <si>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</si>
  <si>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</si>
  <si>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</si>
  <si>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</si>
  <si>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</si>
  <si>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</si>
  <si>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</si>
  <si>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</si>
  <si>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</si>
  <si>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</si>
  <si>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</si>
  <si>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</si>
  <si>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</si>
  <si>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</si>
  <si>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</si>
  <si>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</si>
  <si>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</si>
  <si>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</si>
  <si>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</si>
  <si>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</si>
  <si>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</si>
  <si>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</si>
  <si>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</si>
  <si>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</si>
  <si>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</si>
  <si>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</si>
  <si>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</si>
  <si>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</si>
  <si>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</si>
  <si>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</si>
  <si>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</si>
  <si>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</si>
  <si>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</si>
  <si>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</si>
  <si>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</si>
  <si>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</si>
  <si>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</si>
  <si>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</si>
  <si>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</si>
  <si>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</si>
  <si>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</si>
  <si>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</si>
  <si>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</si>
  <si>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</si>
  <si>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</si>
  <si>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</si>
  <si>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</si>
  <si>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</si>
  <si>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</si>
  <si>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</si>
  <si>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</si>
  <si>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</si>
  <si>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</si>
  <si>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</si>
  <si>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</si>
  <si>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</si>
  <si>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</si>
  <si>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</si>
  <si>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</si>
  <si>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</si>
  <si>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</si>
  <si>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</si>
  <si>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</si>
  <si>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</si>
  <si>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</si>
  <si>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</si>
  <si>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</si>
  <si>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</si>
  <si>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</si>
  <si>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</si>
  <si>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</si>
  <si>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</si>
  <si>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</si>
  <si>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</si>
  <si>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</si>
  <si>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</si>
  <si>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</si>
  <si>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</si>
  <si>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</si>
  <si>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</si>
  <si>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</si>
  <si>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</si>
  <si>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</si>
  <si>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</si>
  <si>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</si>
  <si>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</si>
  <si>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</si>
  <si>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</si>
  <si>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</si>
  <si>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</si>
  <si>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</si>
  <si>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</si>
  <si>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</si>
  <si>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</si>
  <si>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</si>
  <si>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</si>
  <si>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</si>
  <si>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</si>
  <si>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</si>
  <si>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</si>
  <si>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</si>
  <si>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</si>
  <si>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</si>
  <si>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</si>
  <si>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</si>
  <si>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</si>
  <si>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</si>
  <si>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</si>
  <si>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</si>
  <si>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</si>
  <si>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</si>
  <si>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</si>
  <si>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</si>
  <si>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</si>
  <si>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</si>
  <si>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</si>
  <si>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</si>
  <si>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</si>
  <si>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</si>
  <si>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</si>
  <si>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</si>
  <si>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</si>
  <si>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</si>
  <si>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</si>
  <si>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</si>
  <si>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</si>
  <si>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</si>
  <si>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</si>
  <si>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</si>
  <si>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</si>
  <si>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</si>
  <si>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</si>
  <si>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</si>
  <si>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</si>
  <si>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</si>
  <si>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</si>
  <si>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</si>
  <si>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</si>
  <si>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</si>
  <si>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</si>
  <si>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</si>
  <si>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</si>
  <si>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</si>
  <si>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</si>
  <si>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</si>
  <si>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</si>
  <si>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</si>
  <si>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</si>
  <si>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</si>
  <si>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</si>
  <si>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</si>
  <si>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</si>
  <si>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</si>
  <si>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</si>
  <si>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</si>
  <si>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</si>
  <si>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</si>
  <si>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</si>
  <si>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</si>
  <si>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</si>
  <si>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</si>
  <si>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</si>
  <si>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</si>
  <si>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</si>
  <si>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</si>
  <si>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</si>
  <si>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</si>
  <si>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</si>
  <si>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</si>
  <si>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</si>
  <si>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</si>
  <si>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</si>
  <si>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</si>
  <si>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</si>
  <si>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</si>
  <si>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</si>
  <si>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</si>
  <si>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</si>
  <si>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</si>
  <si>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</si>
  <si>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</si>
  <si>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</si>
  <si>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</si>
  <si>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</si>
  <si>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</si>
  <si>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</si>
  <si>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</si>
  <si>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</si>
  <si>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</si>
  <si>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</si>
  <si>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</si>
  <si>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</si>
  <si>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</si>
  <si>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</si>
  <si>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</si>
  <si>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</si>
  <si>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</si>
  <si>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</si>
  <si>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</si>
  <si>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</si>
  <si>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</si>
  <si>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</si>
  <si>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</si>
  <si>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</si>
  <si>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</si>
  <si>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</si>
  <si>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</si>
  <si>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</si>
  <si>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</si>
  <si>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</si>
  <si>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</si>
  <si>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</si>
  <si>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</si>
  <si>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</si>
  <si>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</si>
  <si>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</si>
  <si>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</si>
  <si>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</si>
  <si>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</si>
  <si>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</si>
  <si>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</si>
  <si>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</si>
  <si>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</si>
  <si>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</si>
  <si>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</si>
  <si>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</si>
  <si>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</si>
  <si>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</si>
  <si>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</si>
  <si>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</si>
  <si>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</si>
  <si>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</si>
  <si>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</si>
  <si>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</si>
  <si>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</si>
  <si>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</si>
  <si>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</si>
  <si>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</si>
  <si>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</si>
  <si>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</si>
  <si>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</si>
  <si>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</si>
  <si>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</si>
  <si>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</si>
  <si>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</si>
  <si>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</si>
  <si>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</si>
  <si>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</si>
  <si>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</si>
  <si>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</si>
  <si>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</si>
  <si>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</si>
  <si>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</si>
  <si>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</si>
  <si>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</si>
  <si>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</si>
  <si>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</si>
  <si>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</si>
  <si>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</si>
  <si>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</si>
  <si>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</si>
  <si>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</si>
  <si>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</si>
  <si>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</si>
  <si>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</si>
  <si>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</si>
  <si>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</si>
  <si>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</si>
  <si>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</si>
  <si>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</si>
  <si>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</si>
  <si>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</si>
  <si>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</si>
  <si>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</si>
  <si>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</si>
  <si>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</si>
  <si>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</si>
  <si>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</si>
  <si>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</si>
  <si>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</si>
  <si>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</si>
  <si>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</si>
  <si>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</si>
  <si>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</si>
  <si>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</si>
  <si>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</si>
  <si>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</si>
  <si>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</si>
  <si>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</si>
  <si>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</si>
  <si>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</si>
  <si>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</si>
  <si>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</si>
  <si>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</si>
  <si>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</si>
  <si>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</si>
  <si>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</si>
  <si>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</si>
  <si>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</si>
  <si>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</si>
  <si>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</si>
  <si>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</si>
  <si>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</si>
  <si>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</si>
  <si>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</si>
  <si>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</si>
  <si>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</si>
  <si>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</si>
  <si>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</si>
  <si>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</si>
  <si>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</si>
  <si>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</si>
  <si>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</si>
  <si>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</si>
  <si>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</si>
  <si>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</si>
  <si>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</si>
  <si>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</si>
  <si>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</si>
  <si>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</si>
  <si>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</si>
  <si>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</si>
  <si>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</si>
  <si>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</si>
  <si>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</si>
  <si>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</si>
  <si>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</si>
  <si>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</si>
  <si>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</si>
  <si>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</si>
  <si>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</si>
  <si>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</si>
  <si>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</si>
  <si>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</si>
  <si>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</si>
  <si>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</si>
  <si>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</si>
  <si>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</si>
  <si>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</si>
  <si>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</si>
  <si>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</si>
  <si>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</si>
  <si>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</si>
  <si>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</si>
  <si>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</si>
  <si>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</si>
  <si>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</si>
  <si>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</si>
  <si>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</si>
  <si>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</si>
  <si>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</si>
  <si>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</si>
  <si>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</si>
  <si>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</si>
  <si>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</si>
  <si>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</si>
  <si>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</si>
  <si>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</si>
  <si>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</si>
  <si>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</si>
  <si>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</si>
  <si>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</si>
  <si>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</si>
  <si>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</si>
  <si>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</si>
  <si>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</si>
  <si>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</si>
  <si>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</si>
  <si>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</si>
  <si>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</si>
  <si>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</si>
  <si>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</si>
  <si>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</si>
  <si>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</si>
  <si>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</si>
  <si>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</si>
  <si>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</si>
  <si>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</si>
  <si>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</si>
  <si>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</si>
  <si>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</si>
  <si>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</si>
  <si>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</si>
  <si>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</si>
  <si>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</si>
  <si>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</si>
  <si>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</si>
  <si>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</si>
  <si>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</si>
  <si>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</si>
  <si>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</si>
  <si>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</si>
  <si>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</si>
  <si>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</si>
  <si>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</si>
  <si>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</si>
  <si>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</si>
  <si>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</si>
  <si>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</si>
  <si>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</si>
  <si>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</si>
  <si>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</si>
  <si>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</si>
  <si>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</si>
  <si>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</si>
  <si>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</si>
  <si>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</si>
  <si>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</si>
  <si>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</si>
  <si>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</si>
  <si>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</si>
  <si>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</si>
  <si>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</si>
  <si>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</si>
  <si>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</si>
  <si>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</si>
  <si>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</si>
  <si>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</si>
  <si>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</si>
  <si>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</si>
  <si>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</si>
  <si>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</si>
  <si>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</si>
  <si>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</si>
  <si>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</si>
  <si>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</si>
  <si>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</si>
  <si>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</si>
  <si>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</si>
  <si>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</si>
  <si>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</si>
  <si>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</si>
  <si>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</si>
  <si>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</si>
  <si>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</si>
  <si>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</si>
  <si>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</si>
  <si>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</si>
  <si>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</si>
  <si>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</si>
  <si>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</si>
  <si>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</si>
  <si>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</si>
  <si>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</si>
  <si>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</si>
  <si>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</si>
  <si>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</si>
  <si>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</si>
  <si>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</si>
  <si>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</si>
  <si>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</si>
  <si>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</si>
  <si>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</si>
  <si>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</si>
  <si>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</si>
  <si>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</si>
  <si>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</si>
  <si>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</si>
  <si>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</si>
  <si>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</si>
  <si>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</si>
  <si>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</si>
  <si>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</si>
  <si>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</si>
  <si>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</si>
  <si>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</si>
  <si>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</si>
  <si>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</si>
  <si>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</si>
  <si>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</si>
  <si>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</si>
  <si>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</si>
  <si>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</si>
  <si>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</si>
  <si>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</si>
  <si>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</si>
  <si>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</si>
  <si>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</si>
  <si>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</si>
  <si>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</si>
  <si>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</si>
  <si>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</si>
  <si>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</si>
  <si>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</si>
  <si>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</si>
  <si>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</si>
  <si>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</si>
  <si>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</si>
  <si>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</si>
  <si>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</si>
  <si>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</si>
  <si>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</si>
  <si>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</si>
  <si>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</si>
  <si>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</si>
  <si>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</si>
  <si>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</si>
  <si>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</si>
  <si>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</si>
  <si>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</si>
  <si>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</si>
  <si>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</si>
  <si>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</si>
  <si>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</si>
  <si>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</si>
  <si>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</si>
  <si>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</si>
  <si>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</si>
  <si>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</si>
  <si>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</si>
  <si>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</si>
  <si>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</si>
  <si>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</si>
  <si>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</si>
  <si>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</si>
  <si>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</si>
  <si>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</si>
  <si>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</si>
  <si>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</si>
  <si>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</si>
  <si>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</si>
  <si>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</si>
  <si>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</si>
  <si>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</si>
  <si>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</si>
  <si>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</si>
  <si>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</si>
  <si>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</si>
  <si>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</si>
  <si>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</si>
  <si>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</si>
  <si>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</si>
  <si>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</si>
  <si>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</si>
  <si>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</si>
  <si>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</si>
  <si>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</si>
  <si>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</si>
  <si>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</si>
  <si>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</si>
  <si>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</si>
  <si>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</si>
  <si>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</si>
  <si>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</si>
  <si>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</si>
  <si>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</si>
  <si>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</si>
  <si>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</si>
  <si>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</si>
  <si>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</si>
  <si>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</si>
  <si>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</si>
  <si>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</si>
  <si>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</si>
  <si>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</si>
  <si>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</si>
  <si>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</si>
  <si>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</si>
  <si>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</si>
  <si>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</si>
  <si>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</si>
  <si>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</si>
  <si>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</si>
  <si>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</si>
  <si>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</si>
  <si>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</si>
  <si>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</si>
  <si>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</si>
  <si>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</si>
  <si>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</si>
  <si>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</si>
  <si>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</si>
  <si>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</si>
  <si>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</si>
  <si>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</si>
  <si>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</si>
  <si>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</si>
  <si>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</si>
  <si>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</si>
  <si>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</si>
  <si>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</si>
  <si>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</si>
  <si>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</si>
  <si>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</si>
  <si>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</si>
  <si>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</si>
  <si>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</si>
  <si>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</si>
  <si>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</si>
  <si>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</si>
  <si>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</si>
  <si>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</si>
  <si>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</si>
  <si>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</si>
  <si>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</si>
  <si>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</si>
  <si>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</si>
  <si>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</si>
  <si>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</si>
  <si>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</si>
  <si>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</si>
  <si>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</si>
  <si>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</si>
  <si>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</si>
  <si>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</si>
  <si>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</si>
  <si>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</si>
  <si>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</si>
  <si>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</si>
  <si>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</si>
  <si>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</si>
  <si>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</si>
  <si>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</si>
  <si>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</si>
  <si>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</si>
  <si>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</si>
  <si>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</si>
  <si>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</si>
  <si>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</si>
  <si>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</si>
  <si>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</si>
  <si>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</si>
  <si>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</si>
  <si>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</si>
  <si>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</si>
  <si>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</si>
  <si>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</si>
  <si>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</si>
  <si>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</si>
  <si>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</si>
  <si>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</si>
  <si>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</si>
  <si>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</si>
  <si>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</si>
  <si>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</si>
  <si>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</si>
  <si>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</si>
  <si>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</si>
  <si>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</si>
  <si>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</si>
  <si>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</si>
  <si>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</si>
  <si>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</si>
  <si>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</si>
  <si>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</si>
  <si>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</si>
  <si>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</si>
  <si>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</si>
  <si>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</si>
  <si>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</si>
  <si>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</si>
  <si>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</si>
  <si>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</si>
  <si>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</si>
  <si>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</si>
  <si>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</si>
  <si>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</si>
  <si>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</si>
  <si>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</si>
  <si>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</si>
  <si>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</si>
  <si>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</si>
  <si>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</si>
  <si>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</si>
  <si>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</si>
  <si>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</si>
  <si>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</si>
  <si>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</si>
  <si>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</si>
  <si>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</si>
  <si>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</si>
  <si>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</si>
  <si>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</si>
  <si>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</si>
  <si>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</si>
  <si>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</si>
  <si>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</si>
  <si>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</si>
  <si>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</si>
  <si>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</si>
  <si>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</si>
  <si>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</si>
  <si>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</si>
  <si>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</si>
  <si>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</si>
  <si>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</si>
  <si>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</si>
  <si>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</si>
  <si>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</si>
  <si>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</si>
  <si>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</si>
  <si>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</si>
  <si>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</si>
  <si>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</si>
  <si>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</si>
  <si>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</si>
  <si>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</si>
  <si>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</si>
  <si>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</si>
  <si>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</si>
  <si>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</si>
  <si>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</si>
  <si>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</si>
  <si>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</si>
  <si>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</si>
  <si>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</si>
  <si>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</si>
  <si>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</si>
  <si>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</si>
  <si>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</si>
  <si>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</si>
  <si>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</si>
  <si>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</si>
  <si>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</si>
  <si>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</si>
  <si>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</si>
  <si>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</si>
  <si>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</si>
  <si>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</si>
  <si>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</si>
  <si>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</si>
  <si>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</si>
  <si>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</si>
  <si>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</si>
  <si>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</si>
  <si>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</si>
  <si>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</si>
  <si>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</si>
  <si>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</si>
  <si>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</si>
  <si>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</si>
  <si>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</si>
  <si>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</si>
  <si>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</si>
  <si>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</si>
  <si>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</si>
  <si>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</si>
  <si>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</si>
  <si>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</si>
  <si>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</si>
  <si>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</si>
  <si>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</si>
  <si>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</si>
  <si>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</si>
  <si>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</si>
  <si>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</si>
  <si>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</si>
  <si>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</si>
  <si>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</si>
  <si>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</si>
  <si>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</si>
  <si>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</si>
  <si>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</si>
  <si>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</si>
  <si>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</si>
  <si>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</si>
  <si>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</si>
  <si>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</si>
  <si>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</si>
  <si>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</si>
  <si>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</si>
  <si>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</si>
  <si>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</si>
  <si>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</si>
  <si>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</si>
  <si>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</si>
  <si>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</si>
  <si>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</si>
  <si>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</si>
  <si>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</si>
  <si>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</si>
  <si>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</si>
  <si>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</si>
  <si>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</si>
  <si>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</si>
  <si>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</si>
  <si>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</si>
  <si>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</si>
  <si>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</si>
  <si>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</si>
  <si>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</si>
  <si>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</si>
  <si>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</si>
  <si>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</si>
  <si>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</si>
  <si>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</si>
  <si>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</si>
  <si>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</si>
  <si>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</si>
  <si>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</si>
  <si>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</si>
  <si>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</si>
  <si>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</si>
  <si>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</si>
  <si>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</si>
  <si>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</si>
  <si>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</si>
  <si>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</si>
  <si>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</si>
  <si>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</si>
  <si>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</si>
  <si>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</si>
  <si>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</si>
  <si>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</si>
  <si>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</si>
  <si>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</si>
  <si>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</si>
  <si>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</si>
  <si>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</si>
  <si>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</si>
  <si>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</si>
  <si>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</si>
  <si>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</si>
  <si>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</si>
  <si>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</si>
  <si>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</si>
  <si>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</si>
  <si>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</si>
  <si>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</si>
  <si>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</si>
  <si>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</si>
  <si>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</si>
  <si>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</si>
  <si>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</si>
  <si>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</si>
  <si>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</si>
  <si>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</si>
  <si>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</si>
  <si>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</si>
  <si>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</si>
  <si>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</si>
  <si>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</si>
  <si>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</si>
  <si>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</si>
  <si>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</si>
  <si>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</si>
  <si>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</si>
  <si>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</si>
  <si>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</si>
  <si>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</si>
  <si>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</si>
  <si>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</si>
  <si>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</si>
  <si>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</si>
  <si>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</si>
  <si>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</si>
  <si>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</si>
  <si>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</si>
  <si>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</si>
  <si>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</si>
  <si>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</si>
  <si>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</si>
  <si>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</si>
  <si>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</si>
  <si>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</si>
  <si>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</si>
  <si>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</si>
  <si>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</si>
  <si>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</si>
  <si>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</si>
  <si>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</si>
  <si>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</si>
  <si>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</si>
  <si>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</si>
  <si>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</si>
  <si>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</si>
  <si>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</si>
  <si>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</si>
  <si>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</si>
  <si>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</si>
  <si>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</si>
  <si>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</si>
  <si>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</si>
  <si>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</si>
  <si>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</si>
  <si>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</si>
  <si>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</si>
  <si>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</si>
  <si>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</si>
  <si>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</si>
  <si>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</si>
  <si>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</si>
  <si>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</si>
  <si>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</si>
  <si>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</si>
  <si>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</si>
  <si>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</si>
  <si>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</si>
  <si>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</si>
  <si>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</si>
  <si>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</si>
  <si>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</si>
  <si>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</si>
  <si>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</si>
  <si>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</si>
  <si>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</si>
  <si>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</si>
  <si>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</si>
  <si>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</si>
  <si>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</si>
  <si>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</si>
  <si>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</si>
  <si>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</si>
  <si>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</si>
  <si>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</si>
  <si>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</si>
  <si>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</si>
  <si>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</si>
  <si>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</si>
  <si>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</si>
  <si>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</si>
  <si>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</si>
  <si>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</si>
  <si>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</si>
  <si>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</si>
  <si>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</si>
  <si>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</si>
  <si>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</si>
  <si>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</si>
  <si>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</si>
  <si>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</si>
  <si>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</si>
  <si>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</si>
  <si>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</si>
  <si>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</si>
  <si>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</si>
  <si>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</si>
  <si>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</si>
  <si>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</si>
  <si>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</si>
  <si>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</si>
  <si>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</si>
  <si>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</si>
  <si>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</si>
  <si>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</si>
  <si>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</si>
  <si>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</si>
  <si>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</si>
  <si>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</si>
  <si>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</si>
  <si>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</si>
  <si>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</si>
  <si>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</si>
  <si>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</si>
  <si>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</si>
  <si>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</si>
  <si>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</si>
  <si>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</si>
  <si>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</si>
  <si>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</si>
  <si>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</si>
  <si>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</si>
  <si>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</si>
  <si>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</si>
  <si>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</si>
  <si>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</si>
  <si>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</si>
  <si>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</si>
  <si>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</si>
  <si>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</si>
  <si>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</si>
  <si>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</si>
  <si>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</si>
  <si>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</si>
  <si>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</si>
  <si>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</si>
  <si>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</si>
  <si>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</si>
  <si>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</si>
  <si>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</si>
  <si>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</si>
  <si>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</si>
  <si>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</si>
  <si>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</si>
  <si>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</si>
  <si>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</si>
  <si>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</si>
  <si>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</si>
  <si>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</si>
  <si>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</si>
  <si>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</si>
  <si>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</si>
  <si>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</si>
  <si>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</si>
  <si>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</si>
  <si>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</si>
  <si>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</si>
  <si>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</si>
  <si>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</si>
  <si>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</si>
  <si>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</si>
  <si>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</si>
  <si>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</si>
  <si>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</si>
  <si>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</si>
  <si>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</si>
  <si>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</si>
  <si>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</si>
  <si>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</si>
  <si>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</si>
  <si>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</si>
  <si>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</si>
  <si>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</si>
  <si>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</si>
  <si>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</si>
  <si>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Du Lịch</t>
  </si>
  <si>
    <t>Giới tính Nam</t>
  </si>
  <si>
    <t>03/07/2023</t>
  </si>
  <si>
    <t>Dương Hạnh Yến</t>
  </si>
  <si>
    <t>18/10/1979</t>
  </si>
  <si>
    <t>Giới tính Nữ</t>
  </si>
  <si>
    <t>019179385980</t>
  </si>
  <si>
    <t>Thành Công</t>
  </si>
  <si>
    <t>04/07/2023</t>
  </si>
  <si>
    <t>Huỳnh Thu Oanh</t>
  </si>
  <si>
    <t>19/10/1994</t>
  </si>
  <si>
    <t>019194460985</t>
  </si>
  <si>
    <t>Vũ Nhật Linh</t>
  </si>
  <si>
    <t>22/05/1981</t>
  </si>
  <si>
    <t>019081408683</t>
  </si>
  <si>
    <t>Đoàn Công Quân</t>
  </si>
  <si>
    <t>19/12/1979</t>
  </si>
  <si>
    <t>019079605352</t>
  </si>
  <si>
    <t>Đào Linh Quỳnh</t>
  </si>
  <si>
    <t>07/05/1987</t>
  </si>
  <si>
    <t>019187225101</t>
  </si>
  <si>
    <t>Dương Linh Hạnh</t>
  </si>
  <si>
    <t>01/01/1981</t>
  </si>
  <si>
    <t>019181705565</t>
  </si>
  <si>
    <t>Dương Linh Lan</t>
  </si>
  <si>
    <t>16/04/1982</t>
  </si>
  <si>
    <t>019182467004</t>
  </si>
  <si>
    <t>Đào Nhật Bình</t>
  </si>
  <si>
    <t>04/06/1992</t>
  </si>
  <si>
    <t>019092637400</t>
  </si>
  <si>
    <t>Đào Hải Dương</t>
  </si>
  <si>
    <t>04/09/1987</t>
  </si>
  <si>
    <t>019087561725</t>
  </si>
  <si>
    <t>Phạm Phương Phương</t>
  </si>
  <si>
    <t>15/06/1983</t>
  </si>
  <si>
    <t>019183850336</t>
  </si>
  <si>
    <t>Dương Phương My</t>
  </si>
  <si>
    <t>08/09/1991</t>
  </si>
  <si>
    <t>019191693429</t>
  </si>
  <si>
    <t>Hoàng Phúc An</t>
  </si>
  <si>
    <t>07/07/1983</t>
  </si>
  <si>
    <t>019083936392</t>
  </si>
  <si>
    <t>Võ Thu Ngọc</t>
  </si>
  <si>
    <t>28/09/1983</t>
  </si>
  <si>
    <t>019183673085</t>
  </si>
  <si>
    <t>Đinh Tuấn Thành</t>
  </si>
  <si>
    <t>24/03/1981</t>
  </si>
  <si>
    <t>019081410853</t>
  </si>
  <si>
    <t>Phan Phúc Cường</t>
  </si>
  <si>
    <t>18/03/1990</t>
  </si>
  <si>
    <t>019090688788</t>
  </si>
  <si>
    <t>Huỳnh Ngọc Thảo</t>
  </si>
  <si>
    <t>02/01/1981</t>
  </si>
  <si>
    <t>019181408712</t>
  </si>
  <si>
    <t>Huỳnh Gia Khánh</t>
  </si>
  <si>
    <t>19/02/1990</t>
  </si>
  <si>
    <t>019090321405</t>
  </si>
  <si>
    <t>Lý Gia Phúc</t>
  </si>
  <si>
    <t>05/04/1989</t>
  </si>
  <si>
    <t>019089564865</t>
  </si>
  <si>
    <t>Trương Linh Oanh</t>
  </si>
  <si>
    <t>17/11/1979</t>
  </si>
  <si>
    <t>019179102923</t>
  </si>
  <si>
    <t>Vũ Hạnh Trang</t>
  </si>
  <si>
    <t>13/07/1984</t>
  </si>
  <si>
    <t>019184964772</t>
  </si>
  <si>
    <t>Thái Hạnh Oanh</t>
  </si>
  <si>
    <t>25/07/1987</t>
  </si>
  <si>
    <t>019187349401</t>
  </si>
  <si>
    <t>Lương Hạnh Quỳnh</t>
  </si>
  <si>
    <t>10/04/1985</t>
  </si>
  <si>
    <t>019185004222</t>
  </si>
  <si>
    <t>Trần Ngọc Hà</t>
  </si>
  <si>
    <t>10/04/1994</t>
  </si>
  <si>
    <t>019194720893</t>
  </si>
  <si>
    <t>Hoàng Linh Anh</t>
  </si>
  <si>
    <t>18/05/1991</t>
  </si>
  <si>
    <t>019191978310</t>
  </si>
  <si>
    <t>Lê Ngọc Trang</t>
  </si>
  <si>
    <t>15/03/1979</t>
  </si>
  <si>
    <t>019179577234</t>
  </si>
  <si>
    <t>Dương Quốc Sơn</t>
  </si>
  <si>
    <t>01/01/1989</t>
  </si>
  <si>
    <t>019089881410</t>
  </si>
  <si>
    <t>Trịnh Khoa Hiếu</t>
  </si>
  <si>
    <t>04/06/1989</t>
  </si>
  <si>
    <t>019089212960</t>
  </si>
  <si>
    <t>21/12/1994</t>
  </si>
  <si>
    <t>019194556074</t>
  </si>
  <si>
    <t>Trịnh Minh Dương</t>
  </si>
  <si>
    <t>01/09/1990</t>
  </si>
  <si>
    <t>019090032633</t>
  </si>
  <si>
    <t>Huỳnh Long Hải</t>
  </si>
  <si>
    <t>02/08/1981</t>
  </si>
  <si>
    <t>019081033176</t>
  </si>
  <si>
    <t>Phạm Sơn Hiếu</t>
  </si>
  <si>
    <t>09/05/1993</t>
  </si>
  <si>
    <t>019093665320</t>
  </si>
  <si>
    <t>Đinh Hạnh Nhi</t>
  </si>
  <si>
    <t>02/09/1988</t>
  </si>
  <si>
    <t>019188847888</t>
  </si>
  <si>
    <t>Đoàn Đình Kiên</t>
  </si>
  <si>
    <t>11/09/1991</t>
  </si>
  <si>
    <t>019091629964</t>
  </si>
  <si>
    <t>Mai Khánh Tuấn</t>
  </si>
  <si>
    <t>27/06/1982</t>
  </si>
  <si>
    <t>019082439999</t>
  </si>
  <si>
    <t>Đào Công Sơn</t>
  </si>
  <si>
    <t>25/11/1983</t>
  </si>
  <si>
    <t>019083102731</t>
  </si>
  <si>
    <t>Lương Hữu Linh</t>
  </si>
  <si>
    <t>19/01/1983</t>
  </si>
  <si>
    <t>019083841624</t>
  </si>
  <si>
    <t>Lê Hạnh Quỳnh</t>
  </si>
  <si>
    <t>08/08/1990</t>
  </si>
  <si>
    <t>019190749680</t>
  </si>
  <si>
    <t>Vũ Minh Cường</t>
  </si>
  <si>
    <t>27/12/1982</t>
  </si>
  <si>
    <t>019082319460</t>
  </si>
  <si>
    <t>Đinh Sơn Dương</t>
  </si>
  <si>
    <t>12/09/1991</t>
  </si>
  <si>
    <t>019091446418</t>
  </si>
  <si>
    <t>Đinh Thị Thảo</t>
  </si>
  <si>
    <t>23/08/1986</t>
  </si>
  <si>
    <t>019186108261</t>
  </si>
  <si>
    <t>Võ Phương Xuân</t>
  </si>
  <si>
    <t>05/11/1994</t>
  </si>
  <si>
    <t>019194874147</t>
  </si>
  <si>
    <t>Mai Thành Cường</t>
  </si>
  <si>
    <t>12/03/1983</t>
  </si>
  <si>
    <t>019083956393</t>
  </si>
  <si>
    <t>Vũ Ngọc Bích</t>
  </si>
  <si>
    <t>18/07/1995</t>
  </si>
  <si>
    <t>019195097860</t>
  </si>
  <si>
    <t>Nguyễn Mạnh Hiếu</t>
  </si>
  <si>
    <t>28/05/1986</t>
  </si>
  <si>
    <t>019086005951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</si>
</sst>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0" fillId="0" borderId="0" xfId="0" applyNumberFormat="1" applyFill="1" applyBorder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O1" workbookViewId="0">
      <selection activeCell="B3" sqref="B3:V46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2.0976562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20" t="s">
        <v>15</v>
      </c>
      <c r="C2" s="20" t="s">
        <v>16</v>
      </c>
      <c r="D2" s="20" t="s">
        <v>17</v>
      </c>
      <c r="E2" s="21" t="s">
        <v>18</v>
      </c>
      <c r="F2" s="21"/>
      <c r="G2" s="21"/>
      <c r="H2" s="20"/>
      <c r="I2" s="20" t="s">
        <v>17</v>
      </c>
      <c r="J2" s="14" t="s">
        <v>20</v>
      </c>
      <c r="K2" s="20" t="s">
        <v>17</v>
      </c>
      <c r="L2" s="20" t="s">
        <v>17</v>
      </c>
      <c r="M2" s="20" t="s">
        <v>17</v>
      </c>
      <c r="N2" s="20" t="s">
        <v>17</v>
      </c>
      <c r="O2" s="20" t="s">
        <v>17</v>
      </c>
      <c r="P2" s="20" t="s">
        <v>17</v>
      </c>
      <c r="Q2" s="14" t="s">
        <v>21</v>
      </c>
      <c r="R2" s="20" t="s">
        <v>17</v>
      </c>
      <c r="S2" s="20" t="s">
        <v>16</v>
      </c>
      <c r="T2" s="20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22177</v>
      </c>
      <c r="C3" s="16" t="s">
        <v>22178</v>
      </c>
      <c r="D3" s="16" t="s">
        <v>38</v>
      </c>
      <c r="E3" s="16" t="s">
        <v>22179</v>
      </c>
      <c r="I3" s="16" t="s">
        <v>369</v>
      </c>
      <c r="J3" s="17" t="s">
        <v>22050</v>
      </c>
      <c r="K3" s="16" t="s">
        <v>743</v>
      </c>
      <c r="L3" s="16" t="s">
        <v>1826</v>
      </c>
      <c r="M3" s="16" t="s">
        <v>1917</v>
      </c>
      <c r="N3" s="16" t="s">
        <v>1962</v>
      </c>
      <c r="O3" s="16" t="s">
        <v>12162</v>
      </c>
      <c r="P3" s="19" t="s">
        <v>7361</v>
      </c>
      <c r="Q3" s="17" t="s">
        <v>22050</v>
      </c>
      <c r="R3" s="16" t="s">
        <v>13</v>
      </c>
      <c r="S3" s="19" t="s">
        <v>22045</v>
      </c>
      <c r="T3" s="19" t="s">
        <v>22051</v>
      </c>
      <c r="U3" s="16" t="s">
        <v>22043</v>
      </c>
      <c r="V3" s="4">
        <v>205</v>
      </c>
    </row>
    <row r="4" spans="1:23" x14ac:dyDescent="0.3">
      <c r="A4" s="15">
        <v>2</v>
      </c>
      <c r="B4" s="16" t="s">
        <v>22046</v>
      </c>
      <c r="C4" s="16" t="s">
        <v>22047</v>
      </c>
      <c r="D4" s="16" t="s">
        <v>22048</v>
      </c>
      <c r="E4" s="16" t="s">
        <v>22049</v>
      </c>
      <c r="I4" s="16" t="s">
        <v>369</v>
      </c>
      <c r="J4" s="17" t="s">
        <v>22050</v>
      </c>
      <c r="K4" s="16" t="s">
        <v>743</v>
      </c>
      <c r="L4" s="16" t="s">
        <v>1826</v>
      </c>
      <c r="M4" s="16" t="s">
        <v>1917</v>
      </c>
      <c r="N4" s="16" t="s">
        <v>1962</v>
      </c>
      <c r="O4" s="16" t="s">
        <v>12162</v>
      </c>
      <c r="P4" s="19" t="s">
        <v>7361</v>
      </c>
      <c r="Q4" s="17" t="s">
        <v>22050</v>
      </c>
      <c r="R4" s="16" t="s">
        <v>13</v>
      </c>
      <c r="S4" s="19" t="s">
        <v>22045</v>
      </c>
      <c r="T4" s="19" t="s">
        <v>22051</v>
      </c>
      <c r="U4" s="17" t="s">
        <v>22043</v>
      </c>
      <c r="V4" s="4">
        <v>205</v>
      </c>
    </row>
    <row r="5" spans="1:23" x14ac:dyDescent="0.3">
      <c r="A5" s="15">
        <v>3</v>
      </c>
      <c r="B5" s="16" t="s">
        <v>22052</v>
      </c>
      <c r="C5" s="16" t="s">
        <v>22053</v>
      </c>
      <c r="D5" s="16" t="s">
        <v>22048</v>
      </c>
      <c r="E5" s="16" t="s">
        <v>22054</v>
      </c>
      <c r="I5" s="16" t="s">
        <v>369</v>
      </c>
      <c r="J5" s="17" t="s">
        <v>22050</v>
      </c>
      <c r="K5" s="16" t="s">
        <v>743</v>
      </c>
      <c r="L5" s="16" t="s">
        <v>1826</v>
      </c>
      <c r="M5" s="16" t="s">
        <v>1917</v>
      </c>
      <c r="N5" s="16" t="s">
        <v>1962</v>
      </c>
      <c r="O5" s="16" t="s">
        <v>12162</v>
      </c>
      <c r="P5" s="19" t="s">
        <v>7361</v>
      </c>
      <c r="Q5" s="17" t="s">
        <v>22050</v>
      </c>
      <c r="R5" s="16" t="s">
        <v>13</v>
      </c>
      <c r="S5" s="19" t="s">
        <v>22045</v>
      </c>
      <c r="T5" s="19" t="s">
        <v>22051</v>
      </c>
      <c r="U5" s="17" t="s">
        <v>22043</v>
      </c>
      <c r="V5" s="4">
        <v>205</v>
      </c>
    </row>
    <row r="6" spans="1:23" x14ac:dyDescent="0.3">
      <c r="A6" s="15">
        <v>4</v>
      </c>
      <c r="B6" s="16" t="s">
        <v>22055</v>
      </c>
      <c r="C6" s="16" t="s">
        <v>22056</v>
      </c>
      <c r="D6" s="16" t="s">
        <v>22044</v>
      </c>
      <c r="E6" s="16" t="s">
        <v>22057</v>
      </c>
      <c r="I6" s="16" t="s">
        <v>369</v>
      </c>
      <c r="J6" s="17" t="s">
        <v>22050</v>
      </c>
      <c r="K6" s="16" t="s">
        <v>743</v>
      </c>
      <c r="L6" s="16" t="s">
        <v>1826</v>
      </c>
      <c r="M6" s="16" t="s">
        <v>1917</v>
      </c>
      <c r="N6" s="16" t="s">
        <v>1962</v>
      </c>
      <c r="O6" s="16" t="s">
        <v>12162</v>
      </c>
      <c r="P6" s="19" t="s">
        <v>7361</v>
      </c>
      <c r="Q6" s="17" t="s">
        <v>22050</v>
      </c>
      <c r="R6" s="16" t="s">
        <v>13</v>
      </c>
      <c r="S6" s="19" t="s">
        <v>22045</v>
      </c>
      <c r="T6" s="19" t="s">
        <v>22051</v>
      </c>
      <c r="U6" s="17" t="s">
        <v>22043</v>
      </c>
      <c r="V6" s="4">
        <v>205</v>
      </c>
    </row>
    <row r="7" spans="1:23" x14ac:dyDescent="0.3">
      <c r="A7" s="15">
        <v>5</v>
      </c>
      <c r="B7" s="16" t="s">
        <v>22058</v>
      </c>
      <c r="C7" s="16" t="s">
        <v>22059</v>
      </c>
      <c r="D7" s="16" t="s">
        <v>22044</v>
      </c>
      <c r="E7" s="16" t="s">
        <v>22060</v>
      </c>
      <c r="I7" s="16" t="s">
        <v>369</v>
      </c>
      <c r="J7" s="17" t="s">
        <v>22050</v>
      </c>
      <c r="K7" s="16" t="s">
        <v>743</v>
      </c>
      <c r="L7" s="16" t="s">
        <v>1826</v>
      </c>
      <c r="M7" s="16" t="s">
        <v>1917</v>
      </c>
      <c r="N7" s="16" t="s">
        <v>1962</v>
      </c>
      <c r="O7" s="16" t="s">
        <v>12162</v>
      </c>
      <c r="P7" s="19" t="s">
        <v>7361</v>
      </c>
      <c r="Q7" s="17" t="s">
        <v>22050</v>
      </c>
      <c r="R7" s="16" t="s">
        <v>13</v>
      </c>
      <c r="S7" s="19" t="s">
        <v>22045</v>
      </c>
      <c r="T7" s="19" t="s">
        <v>22051</v>
      </c>
      <c r="U7" s="17" t="s">
        <v>22043</v>
      </c>
      <c r="V7" s="4">
        <v>206</v>
      </c>
    </row>
    <row r="8" spans="1:23" x14ac:dyDescent="0.3">
      <c r="A8" s="15">
        <v>6</v>
      </c>
      <c r="B8" s="16" t="s">
        <v>22061</v>
      </c>
      <c r="C8" s="16" t="s">
        <v>22062</v>
      </c>
      <c r="D8" s="16" t="s">
        <v>22048</v>
      </c>
      <c r="E8" s="16" t="s">
        <v>22063</v>
      </c>
      <c r="I8" s="16" t="s">
        <v>369</v>
      </c>
      <c r="J8" s="17" t="s">
        <v>22050</v>
      </c>
      <c r="K8" s="16" t="s">
        <v>743</v>
      </c>
      <c r="L8" s="16" t="s">
        <v>1826</v>
      </c>
      <c r="M8" s="16" t="s">
        <v>1917</v>
      </c>
      <c r="N8" s="16" t="s">
        <v>1962</v>
      </c>
      <c r="O8" s="16" t="s">
        <v>12162</v>
      </c>
      <c r="P8" s="19" t="s">
        <v>7361</v>
      </c>
      <c r="Q8" s="17" t="s">
        <v>22050</v>
      </c>
      <c r="R8" s="16" t="s">
        <v>13</v>
      </c>
      <c r="S8" s="19" t="s">
        <v>22045</v>
      </c>
      <c r="T8" s="19" t="s">
        <v>22051</v>
      </c>
      <c r="U8" s="17" t="s">
        <v>22043</v>
      </c>
      <c r="V8" s="4">
        <v>206</v>
      </c>
    </row>
    <row r="9" spans="1:23" x14ac:dyDescent="0.3">
      <c r="A9" s="15">
        <v>7</v>
      </c>
      <c r="B9" s="16" t="s">
        <v>22064</v>
      </c>
      <c r="C9" s="16" t="s">
        <v>22065</v>
      </c>
      <c r="D9" s="16" t="s">
        <v>22048</v>
      </c>
      <c r="E9" s="16" t="s">
        <v>22066</v>
      </c>
      <c r="I9" s="16" t="s">
        <v>369</v>
      </c>
      <c r="J9" s="17" t="s">
        <v>22050</v>
      </c>
      <c r="K9" s="16" t="s">
        <v>743</v>
      </c>
      <c r="L9" s="16" t="s">
        <v>1826</v>
      </c>
      <c r="M9" s="16" t="s">
        <v>1917</v>
      </c>
      <c r="N9" s="16" t="s">
        <v>1962</v>
      </c>
      <c r="O9" s="16" t="s">
        <v>12162</v>
      </c>
      <c r="P9" s="19" t="s">
        <v>7361</v>
      </c>
      <c r="Q9" s="17" t="s">
        <v>22050</v>
      </c>
      <c r="R9" s="16" t="s">
        <v>13</v>
      </c>
      <c r="S9" s="19" t="s">
        <v>22045</v>
      </c>
      <c r="T9" s="19" t="s">
        <v>22051</v>
      </c>
      <c r="U9" s="17" t="s">
        <v>22043</v>
      </c>
      <c r="V9" s="4">
        <v>206</v>
      </c>
    </row>
    <row r="10" spans="1:23" x14ac:dyDescent="0.3">
      <c r="A10" s="15">
        <v>8</v>
      </c>
      <c r="B10" s="16" t="s">
        <v>22067</v>
      </c>
      <c r="C10" s="16" t="s">
        <v>22068</v>
      </c>
      <c r="D10" s="16" t="s">
        <v>22048</v>
      </c>
      <c r="E10" s="16" t="s">
        <v>22069</v>
      </c>
      <c r="I10" s="16" t="s">
        <v>369</v>
      </c>
      <c r="J10" s="17" t="s">
        <v>22050</v>
      </c>
      <c r="K10" s="16" t="s">
        <v>743</v>
      </c>
      <c r="L10" s="16" t="s">
        <v>1826</v>
      </c>
      <c r="M10" s="16" t="s">
        <v>1917</v>
      </c>
      <c r="N10" s="16" t="s">
        <v>1962</v>
      </c>
      <c r="O10" s="16" t="s">
        <v>12162</v>
      </c>
      <c r="P10" s="19" t="s">
        <v>7361</v>
      </c>
      <c r="Q10" s="17" t="s">
        <v>22050</v>
      </c>
      <c r="R10" s="16" t="s">
        <v>13</v>
      </c>
      <c r="S10" s="19" t="s">
        <v>22045</v>
      </c>
      <c r="T10" s="19" t="s">
        <v>22051</v>
      </c>
      <c r="U10" s="17" t="s">
        <v>22043</v>
      </c>
      <c r="V10" s="4">
        <v>206</v>
      </c>
    </row>
    <row r="11" spans="1:23" x14ac:dyDescent="0.3">
      <c r="A11" s="15">
        <v>9</v>
      </c>
      <c r="B11" s="16" t="s">
        <v>22070</v>
      </c>
      <c r="C11" s="16" t="s">
        <v>22071</v>
      </c>
      <c r="D11" s="16" t="s">
        <v>22044</v>
      </c>
      <c r="E11" s="16" t="s">
        <v>22072</v>
      </c>
      <c r="I11" s="16" t="s">
        <v>369</v>
      </c>
      <c r="J11" s="17" t="s">
        <v>22050</v>
      </c>
      <c r="K11" s="16" t="s">
        <v>743</v>
      </c>
      <c r="L11" s="16" t="s">
        <v>1826</v>
      </c>
      <c r="M11" s="16" t="s">
        <v>1917</v>
      </c>
      <c r="N11" s="16" t="s">
        <v>1962</v>
      </c>
      <c r="O11" s="16" t="s">
        <v>12162</v>
      </c>
      <c r="P11" s="19" t="s">
        <v>7361</v>
      </c>
      <c r="Q11" s="17" t="s">
        <v>22050</v>
      </c>
      <c r="R11" s="16" t="s">
        <v>13</v>
      </c>
      <c r="S11" s="19" t="s">
        <v>22045</v>
      </c>
      <c r="T11" s="19" t="s">
        <v>22051</v>
      </c>
      <c r="U11" s="17" t="s">
        <v>22043</v>
      </c>
      <c r="V11" s="4">
        <v>207</v>
      </c>
    </row>
    <row r="12" spans="1:23" x14ac:dyDescent="0.3">
      <c r="A12" s="15">
        <v>10</v>
      </c>
      <c r="B12" s="16" t="s">
        <v>22073</v>
      </c>
      <c r="C12" s="16" t="s">
        <v>22074</v>
      </c>
      <c r="D12" s="16" t="s">
        <v>22044</v>
      </c>
      <c r="E12" s="16" t="s">
        <v>22075</v>
      </c>
      <c r="I12" s="16" t="s">
        <v>369</v>
      </c>
      <c r="J12" s="17" t="s">
        <v>22050</v>
      </c>
      <c r="K12" s="16" t="s">
        <v>743</v>
      </c>
      <c r="L12" s="16" t="s">
        <v>1826</v>
      </c>
      <c r="M12" s="16" t="s">
        <v>1917</v>
      </c>
      <c r="N12" s="16" t="s">
        <v>1962</v>
      </c>
      <c r="O12" s="16" t="s">
        <v>12162</v>
      </c>
      <c r="P12" s="19" t="s">
        <v>7361</v>
      </c>
      <c r="Q12" s="17" t="s">
        <v>22050</v>
      </c>
      <c r="R12" s="16" t="s">
        <v>13</v>
      </c>
      <c r="S12" s="19" t="s">
        <v>22045</v>
      </c>
      <c r="T12" s="19" t="s">
        <v>22051</v>
      </c>
      <c r="U12" s="17" t="s">
        <v>22043</v>
      </c>
      <c r="V12" s="4">
        <v>207</v>
      </c>
    </row>
    <row r="13" spans="1:23" x14ac:dyDescent="0.3">
      <c r="A13" s="15">
        <v>11</v>
      </c>
      <c r="B13" s="16" t="s">
        <v>22076</v>
      </c>
      <c r="C13" s="16" t="s">
        <v>22077</v>
      </c>
      <c r="D13" s="16" t="s">
        <v>22048</v>
      </c>
      <c r="E13" s="16" t="s">
        <v>22078</v>
      </c>
      <c r="I13" s="16" t="s">
        <v>369</v>
      </c>
      <c r="J13" s="17" t="s">
        <v>22050</v>
      </c>
      <c r="K13" s="16" t="s">
        <v>743</v>
      </c>
      <c r="L13" s="16" t="s">
        <v>1826</v>
      </c>
      <c r="M13" s="16" t="s">
        <v>1917</v>
      </c>
      <c r="N13" s="16" t="s">
        <v>1962</v>
      </c>
      <c r="O13" s="16" t="s">
        <v>12162</v>
      </c>
      <c r="P13" s="19" t="s">
        <v>7361</v>
      </c>
      <c r="Q13" s="17" t="s">
        <v>22050</v>
      </c>
      <c r="R13" s="16" t="s">
        <v>13</v>
      </c>
      <c r="S13" s="19" t="s">
        <v>22045</v>
      </c>
      <c r="T13" s="19" t="s">
        <v>22051</v>
      </c>
      <c r="U13" s="17" t="s">
        <v>22043</v>
      </c>
      <c r="V13" s="4">
        <v>207</v>
      </c>
    </row>
    <row r="14" spans="1:23" x14ac:dyDescent="0.3">
      <c r="A14" s="15">
        <v>12</v>
      </c>
      <c r="B14" s="16" t="s">
        <v>22079</v>
      </c>
      <c r="C14" s="16" t="s">
        <v>22080</v>
      </c>
      <c r="D14" s="16" t="s">
        <v>22048</v>
      </c>
      <c r="E14" s="16" t="s">
        <v>22081</v>
      </c>
      <c r="I14" s="16" t="s">
        <v>369</v>
      </c>
      <c r="J14" s="17" t="s">
        <v>22050</v>
      </c>
      <c r="K14" s="16" t="s">
        <v>743</v>
      </c>
      <c r="L14" s="16" t="s">
        <v>1826</v>
      </c>
      <c r="M14" s="16" t="s">
        <v>1917</v>
      </c>
      <c r="N14" s="16" t="s">
        <v>1962</v>
      </c>
      <c r="O14" s="16" t="s">
        <v>12162</v>
      </c>
      <c r="P14" s="19" t="s">
        <v>7361</v>
      </c>
      <c r="Q14" s="17" t="s">
        <v>22050</v>
      </c>
      <c r="R14" s="16" t="s">
        <v>13</v>
      </c>
      <c r="S14" s="19" t="s">
        <v>22045</v>
      </c>
      <c r="T14" s="19" t="s">
        <v>22051</v>
      </c>
      <c r="U14" s="17" t="s">
        <v>22043</v>
      </c>
      <c r="V14" s="4">
        <v>207</v>
      </c>
    </row>
    <row r="15" spans="1:23" x14ac:dyDescent="0.3">
      <c r="A15" s="15">
        <v>13</v>
      </c>
      <c r="B15" s="16" t="s">
        <v>22082</v>
      </c>
      <c r="C15" s="16" t="s">
        <v>22083</v>
      </c>
      <c r="D15" s="16" t="s">
        <v>22044</v>
      </c>
      <c r="E15" s="16" t="s">
        <v>22084</v>
      </c>
      <c r="I15" s="16" t="s">
        <v>369</v>
      </c>
      <c r="J15" s="17" t="s">
        <v>22050</v>
      </c>
      <c r="K15" s="16" t="s">
        <v>743</v>
      </c>
      <c r="L15" s="16" t="s">
        <v>1826</v>
      </c>
      <c r="M15" s="16" t="s">
        <v>1917</v>
      </c>
      <c r="N15" s="16" t="s">
        <v>1962</v>
      </c>
      <c r="O15" s="16" t="s">
        <v>12162</v>
      </c>
      <c r="P15" s="19" t="s">
        <v>7361</v>
      </c>
      <c r="Q15" s="17" t="s">
        <v>22050</v>
      </c>
      <c r="R15" s="16" t="s">
        <v>13</v>
      </c>
      <c r="S15" s="19" t="s">
        <v>22045</v>
      </c>
      <c r="T15" s="19" t="s">
        <v>22051</v>
      </c>
      <c r="U15" s="17" t="s">
        <v>22043</v>
      </c>
      <c r="V15" s="4">
        <v>603</v>
      </c>
    </row>
    <row r="16" spans="1:23" x14ac:dyDescent="0.3">
      <c r="A16" s="15">
        <v>14</v>
      </c>
      <c r="B16" s="16" t="s">
        <v>22085</v>
      </c>
      <c r="C16" s="16" t="s">
        <v>22086</v>
      </c>
      <c r="D16" s="16" t="s">
        <v>22048</v>
      </c>
      <c r="E16" s="16" t="s">
        <v>22087</v>
      </c>
      <c r="I16" s="16" t="s">
        <v>369</v>
      </c>
      <c r="J16" s="16" t="s">
        <v>22050</v>
      </c>
      <c r="K16" s="16" t="s">
        <v>743</v>
      </c>
      <c r="L16" s="16" t="s">
        <v>1826</v>
      </c>
      <c r="M16" s="16" t="s">
        <v>1917</v>
      </c>
      <c r="N16" s="16" t="s">
        <v>1962</v>
      </c>
      <c r="O16" s="16" t="s">
        <v>12162</v>
      </c>
      <c r="P16" s="19" t="s">
        <v>7361</v>
      </c>
      <c r="Q16" s="16" t="s">
        <v>22050</v>
      </c>
      <c r="R16" s="16" t="s">
        <v>13</v>
      </c>
      <c r="S16" s="19" t="s">
        <v>22045</v>
      </c>
      <c r="T16" s="19" t="s">
        <v>22051</v>
      </c>
      <c r="U16" s="16" t="s">
        <v>22043</v>
      </c>
      <c r="V16" s="4">
        <v>603</v>
      </c>
    </row>
    <row r="17" spans="1:22" x14ac:dyDescent="0.3">
      <c r="A17" s="15">
        <v>15</v>
      </c>
      <c r="B17" s="16" t="s">
        <v>22088</v>
      </c>
      <c r="C17" s="16" t="s">
        <v>22089</v>
      </c>
      <c r="D17" s="16" t="s">
        <v>22044</v>
      </c>
      <c r="E17" s="16" t="s">
        <v>22090</v>
      </c>
      <c r="I17" s="16" t="s">
        <v>369</v>
      </c>
      <c r="J17" s="16" t="s">
        <v>22050</v>
      </c>
      <c r="K17" s="16" t="s">
        <v>743</v>
      </c>
      <c r="L17" s="16" t="s">
        <v>1826</v>
      </c>
      <c r="M17" s="16" t="s">
        <v>1917</v>
      </c>
      <c r="N17" s="16" t="s">
        <v>1962</v>
      </c>
      <c r="O17" s="16" t="s">
        <v>12162</v>
      </c>
      <c r="P17" s="19" t="s">
        <v>7361</v>
      </c>
      <c r="Q17" s="16" t="s">
        <v>22050</v>
      </c>
      <c r="R17" s="16" t="s">
        <v>13</v>
      </c>
      <c r="S17" s="19" t="s">
        <v>22045</v>
      </c>
      <c r="T17" s="19" t="s">
        <v>22051</v>
      </c>
      <c r="U17" s="16" t="s">
        <v>22043</v>
      </c>
      <c r="V17" s="4">
        <v>603</v>
      </c>
    </row>
    <row r="18" spans="1:22" x14ac:dyDescent="0.3">
      <c r="A18" s="15">
        <v>16</v>
      </c>
      <c r="B18" s="16" t="s">
        <v>22091</v>
      </c>
      <c r="C18" s="16" t="s">
        <v>22092</v>
      </c>
      <c r="D18" s="16" t="s">
        <v>22044</v>
      </c>
      <c r="E18" s="16" t="s">
        <v>22093</v>
      </c>
      <c r="I18" s="16" t="s">
        <v>369</v>
      </c>
      <c r="J18" s="16" t="s">
        <v>22050</v>
      </c>
      <c r="K18" s="16" t="s">
        <v>743</v>
      </c>
      <c r="L18" s="16" t="s">
        <v>1826</v>
      </c>
      <c r="M18" s="16" t="s">
        <v>1917</v>
      </c>
      <c r="N18" s="16" t="s">
        <v>1962</v>
      </c>
      <c r="O18" s="16" t="s">
        <v>12162</v>
      </c>
      <c r="P18" s="19" t="s">
        <v>7361</v>
      </c>
      <c r="Q18" s="16" t="s">
        <v>22050</v>
      </c>
      <c r="R18" s="16" t="s">
        <v>13</v>
      </c>
      <c r="S18" s="19" t="s">
        <v>22045</v>
      </c>
      <c r="T18" s="19" t="s">
        <v>22051</v>
      </c>
      <c r="U18" s="16" t="s">
        <v>22043</v>
      </c>
      <c r="V18" s="4">
        <v>603</v>
      </c>
    </row>
    <row r="19" spans="1:22" x14ac:dyDescent="0.3">
      <c r="A19" s="15">
        <v>17</v>
      </c>
      <c r="B19" s="16" t="s">
        <v>22094</v>
      </c>
      <c r="C19" s="16" t="s">
        <v>22095</v>
      </c>
      <c r="D19" s="16" t="s">
        <v>22048</v>
      </c>
      <c r="E19" s="16" t="s">
        <v>22096</v>
      </c>
      <c r="I19" s="16" t="s">
        <v>369</v>
      </c>
      <c r="J19" s="16" t="s">
        <v>22050</v>
      </c>
      <c r="K19" s="16" t="s">
        <v>743</v>
      </c>
      <c r="L19" s="16" t="s">
        <v>1826</v>
      </c>
      <c r="M19" s="16" t="s">
        <v>1917</v>
      </c>
      <c r="N19" s="16" t="s">
        <v>1962</v>
      </c>
      <c r="O19" s="16" t="s">
        <v>12162</v>
      </c>
      <c r="P19" s="16" t="s">
        <v>7361</v>
      </c>
      <c r="Q19" s="16" t="s">
        <v>22050</v>
      </c>
      <c r="R19" s="16" t="s">
        <v>13</v>
      </c>
      <c r="S19" s="19" t="s">
        <v>22045</v>
      </c>
      <c r="T19" s="19" t="s">
        <v>22051</v>
      </c>
      <c r="U19" s="16" t="s">
        <v>22043</v>
      </c>
      <c r="V19" s="4">
        <v>406</v>
      </c>
    </row>
    <row r="20" spans="1:22" x14ac:dyDescent="0.3">
      <c r="A20" s="15">
        <v>18</v>
      </c>
      <c r="B20" s="16" t="s">
        <v>22097</v>
      </c>
      <c r="C20" s="16" t="s">
        <v>22098</v>
      </c>
      <c r="D20" s="16" t="s">
        <v>22044</v>
      </c>
      <c r="E20" s="16" t="s">
        <v>22099</v>
      </c>
      <c r="I20" s="16" t="s">
        <v>369</v>
      </c>
      <c r="J20" s="16" t="s">
        <v>22050</v>
      </c>
      <c r="K20" s="16" t="s">
        <v>743</v>
      </c>
      <c r="L20" s="16" t="s">
        <v>1826</v>
      </c>
      <c r="M20" s="16" t="s">
        <v>1917</v>
      </c>
      <c r="N20" s="16" t="s">
        <v>1962</v>
      </c>
      <c r="O20" s="16" t="s">
        <v>12162</v>
      </c>
      <c r="P20" s="16" t="s">
        <v>7361</v>
      </c>
      <c r="Q20" s="16" t="s">
        <v>22050</v>
      </c>
      <c r="R20" s="16" t="s">
        <v>13</v>
      </c>
      <c r="S20" s="19" t="s">
        <v>22045</v>
      </c>
      <c r="T20" s="19" t="s">
        <v>22051</v>
      </c>
      <c r="U20" s="16" t="s">
        <v>22043</v>
      </c>
      <c r="V20" s="4">
        <v>406</v>
      </c>
    </row>
    <row r="21" spans="1:22" x14ac:dyDescent="0.3">
      <c r="A21" s="15">
        <v>19</v>
      </c>
      <c r="B21" s="16" t="s">
        <v>22100</v>
      </c>
      <c r="C21" s="16" t="s">
        <v>22101</v>
      </c>
      <c r="D21" s="16" t="s">
        <v>22044</v>
      </c>
      <c r="E21" s="16" t="s">
        <v>22102</v>
      </c>
      <c r="I21" s="16" t="s">
        <v>369</v>
      </c>
      <c r="J21" s="16" t="s">
        <v>22050</v>
      </c>
      <c r="K21" s="16" t="s">
        <v>743</v>
      </c>
      <c r="L21" s="16" t="s">
        <v>1826</v>
      </c>
      <c r="M21" s="16" t="s">
        <v>1917</v>
      </c>
      <c r="N21" s="16" t="s">
        <v>1962</v>
      </c>
      <c r="O21" s="16" t="s">
        <v>12162</v>
      </c>
      <c r="P21" s="16" t="s">
        <v>7361</v>
      </c>
      <c r="Q21" s="16" t="s">
        <v>22050</v>
      </c>
      <c r="R21" s="16" t="s">
        <v>13</v>
      </c>
      <c r="S21" s="19" t="s">
        <v>22045</v>
      </c>
      <c r="T21" s="19" t="s">
        <v>22051</v>
      </c>
      <c r="U21" s="16" t="s">
        <v>22043</v>
      </c>
      <c r="V21" s="4">
        <v>406</v>
      </c>
    </row>
    <row r="22" spans="1:22" x14ac:dyDescent="0.3">
      <c r="A22" s="15">
        <v>20</v>
      </c>
      <c r="B22" s="16" t="s">
        <v>22103</v>
      </c>
      <c r="C22" s="16" t="s">
        <v>22104</v>
      </c>
      <c r="D22" s="16" t="s">
        <v>22048</v>
      </c>
      <c r="E22" s="16" t="s">
        <v>22105</v>
      </c>
      <c r="I22" s="16" t="s">
        <v>369</v>
      </c>
      <c r="J22" s="16" t="s">
        <v>22050</v>
      </c>
      <c r="K22" s="16" t="s">
        <v>743</v>
      </c>
      <c r="L22" s="16" t="s">
        <v>1826</v>
      </c>
      <c r="M22" s="16" t="s">
        <v>1917</v>
      </c>
      <c r="N22" s="16" t="s">
        <v>1962</v>
      </c>
      <c r="O22" s="16" t="s">
        <v>12162</v>
      </c>
      <c r="P22" s="16" t="s">
        <v>7361</v>
      </c>
      <c r="Q22" s="16" t="s">
        <v>22050</v>
      </c>
      <c r="R22" s="16" t="s">
        <v>13</v>
      </c>
      <c r="S22" s="19" t="s">
        <v>22045</v>
      </c>
      <c r="T22" s="19" t="s">
        <v>22051</v>
      </c>
      <c r="U22" s="16" t="s">
        <v>22043</v>
      </c>
      <c r="V22" s="4">
        <v>406</v>
      </c>
    </row>
    <row r="23" spans="1:22" x14ac:dyDescent="0.3">
      <c r="A23" s="15">
        <v>21</v>
      </c>
      <c r="B23" s="16" t="s">
        <v>22106</v>
      </c>
      <c r="C23" s="16" t="s">
        <v>22107</v>
      </c>
      <c r="D23" s="16" t="s">
        <v>22048</v>
      </c>
      <c r="E23" s="16" t="s">
        <v>22108</v>
      </c>
      <c r="I23" s="16" t="s">
        <v>369</v>
      </c>
      <c r="J23" s="16" t="s">
        <v>22050</v>
      </c>
      <c r="K23" s="16" t="s">
        <v>743</v>
      </c>
      <c r="L23" s="16" t="s">
        <v>1826</v>
      </c>
      <c r="M23" s="16" t="s">
        <v>1917</v>
      </c>
      <c r="N23" s="16" t="s">
        <v>1962</v>
      </c>
      <c r="O23" s="16" t="s">
        <v>12162</v>
      </c>
      <c r="P23" s="16" t="s">
        <v>7361</v>
      </c>
      <c r="Q23" s="16" t="s">
        <v>22050</v>
      </c>
      <c r="R23" s="16" t="s">
        <v>13</v>
      </c>
      <c r="S23" s="19" t="s">
        <v>22045</v>
      </c>
      <c r="T23" s="19" t="s">
        <v>22051</v>
      </c>
      <c r="U23" s="16" t="s">
        <v>22043</v>
      </c>
      <c r="V23" s="4">
        <v>407</v>
      </c>
    </row>
    <row r="24" spans="1:22" x14ac:dyDescent="0.3">
      <c r="A24" s="15">
        <v>22</v>
      </c>
      <c r="B24" s="16" t="s">
        <v>22109</v>
      </c>
      <c r="C24" s="16" t="s">
        <v>22110</v>
      </c>
      <c r="D24" s="16" t="s">
        <v>22048</v>
      </c>
      <c r="E24" s="16" t="s">
        <v>22111</v>
      </c>
      <c r="I24" s="16" t="s">
        <v>369</v>
      </c>
      <c r="J24" s="16" t="s">
        <v>22050</v>
      </c>
      <c r="K24" s="16" t="s">
        <v>743</v>
      </c>
      <c r="L24" s="16" t="s">
        <v>1826</v>
      </c>
      <c r="M24" s="16" t="s">
        <v>1917</v>
      </c>
      <c r="N24" s="16" t="s">
        <v>1962</v>
      </c>
      <c r="O24" s="16" t="s">
        <v>12162</v>
      </c>
      <c r="P24" s="16" t="s">
        <v>7361</v>
      </c>
      <c r="Q24" s="16" t="s">
        <v>22050</v>
      </c>
      <c r="R24" s="16" t="s">
        <v>13</v>
      </c>
      <c r="S24" s="19" t="s">
        <v>22045</v>
      </c>
      <c r="T24" s="19" t="s">
        <v>22051</v>
      </c>
      <c r="U24" s="16" t="s">
        <v>22043</v>
      </c>
      <c r="V24" s="4">
        <v>407</v>
      </c>
    </row>
    <row r="25" spans="1:22" x14ac:dyDescent="0.3">
      <c r="A25" s="15">
        <v>23</v>
      </c>
      <c r="B25" s="16" t="s">
        <v>22112</v>
      </c>
      <c r="C25" s="16" t="s">
        <v>22113</v>
      </c>
      <c r="D25" s="16" t="s">
        <v>22048</v>
      </c>
      <c r="E25" s="16" t="s">
        <v>22114</v>
      </c>
      <c r="I25" s="16" t="s">
        <v>369</v>
      </c>
      <c r="J25" s="16" t="s">
        <v>22050</v>
      </c>
      <c r="K25" s="16" t="s">
        <v>743</v>
      </c>
      <c r="L25" s="16" t="s">
        <v>1826</v>
      </c>
      <c r="M25" s="16" t="s">
        <v>1917</v>
      </c>
      <c r="N25" s="16" t="s">
        <v>1962</v>
      </c>
      <c r="O25" s="16" t="s">
        <v>12162</v>
      </c>
      <c r="P25" s="16" t="s">
        <v>7361</v>
      </c>
      <c r="Q25" s="16" t="s">
        <v>22050</v>
      </c>
      <c r="R25" s="16" t="s">
        <v>13</v>
      </c>
      <c r="S25" s="19" t="s">
        <v>22045</v>
      </c>
      <c r="T25" s="19" t="s">
        <v>22051</v>
      </c>
      <c r="U25" s="16" t="s">
        <v>22043</v>
      </c>
      <c r="V25" s="4">
        <v>407</v>
      </c>
    </row>
    <row r="26" spans="1:22" x14ac:dyDescent="0.3">
      <c r="A26" s="15">
        <v>24</v>
      </c>
      <c r="B26" s="16" t="s">
        <v>22115</v>
      </c>
      <c r="C26" s="16" t="s">
        <v>22116</v>
      </c>
      <c r="D26" s="16" t="s">
        <v>22048</v>
      </c>
      <c r="E26" s="16" t="s">
        <v>22117</v>
      </c>
      <c r="I26" s="16" t="s">
        <v>369</v>
      </c>
      <c r="J26" s="16" t="s">
        <v>22050</v>
      </c>
      <c r="K26" s="16" t="s">
        <v>743</v>
      </c>
      <c r="L26" s="16" t="s">
        <v>1826</v>
      </c>
      <c r="M26" s="16" t="s">
        <v>1917</v>
      </c>
      <c r="N26" s="16" t="s">
        <v>1962</v>
      </c>
      <c r="O26" s="16" t="s">
        <v>12162</v>
      </c>
      <c r="P26" s="16" t="s">
        <v>7361</v>
      </c>
      <c r="Q26" s="16" t="s">
        <v>22050</v>
      </c>
      <c r="R26" s="16" t="s">
        <v>13</v>
      </c>
      <c r="S26" s="19" t="s">
        <v>22045</v>
      </c>
      <c r="T26" s="19" t="s">
        <v>22051</v>
      </c>
      <c r="U26" s="16" t="s">
        <v>22043</v>
      </c>
      <c r="V26" s="4">
        <v>407</v>
      </c>
    </row>
    <row r="27" spans="1:22" x14ac:dyDescent="0.3">
      <c r="A27" s="15">
        <v>25</v>
      </c>
      <c r="B27" s="16" t="s">
        <v>22118</v>
      </c>
      <c r="C27" s="16" t="s">
        <v>22119</v>
      </c>
      <c r="D27" s="16" t="s">
        <v>22048</v>
      </c>
      <c r="E27" s="16" t="s">
        <v>22120</v>
      </c>
      <c r="I27" s="16" t="s">
        <v>369</v>
      </c>
      <c r="J27" s="16" t="s">
        <v>22050</v>
      </c>
      <c r="K27" s="16" t="s">
        <v>743</v>
      </c>
      <c r="L27" s="16" t="s">
        <v>1826</v>
      </c>
      <c r="M27" s="16" t="s">
        <v>1917</v>
      </c>
      <c r="N27" s="16" t="s">
        <v>1962</v>
      </c>
      <c r="O27" s="16" t="s">
        <v>12162</v>
      </c>
      <c r="P27" s="16" t="s">
        <v>7361</v>
      </c>
      <c r="Q27" s="16" t="s">
        <v>22050</v>
      </c>
      <c r="R27" s="16" t="s">
        <v>13</v>
      </c>
      <c r="S27" s="19" t="s">
        <v>22045</v>
      </c>
      <c r="T27" s="19" t="s">
        <v>22051</v>
      </c>
      <c r="U27" s="16" t="s">
        <v>22043</v>
      </c>
      <c r="V27" s="4">
        <v>501</v>
      </c>
    </row>
    <row r="28" spans="1:22" x14ac:dyDescent="0.3">
      <c r="A28" s="15">
        <v>26</v>
      </c>
      <c r="B28" s="16" t="s">
        <v>22121</v>
      </c>
      <c r="C28" s="16" t="s">
        <v>22122</v>
      </c>
      <c r="D28" s="16" t="s">
        <v>22048</v>
      </c>
      <c r="E28" s="16" t="s">
        <v>22123</v>
      </c>
      <c r="I28" s="16" t="s">
        <v>369</v>
      </c>
      <c r="J28" s="16" t="s">
        <v>22050</v>
      </c>
      <c r="K28" s="16" t="s">
        <v>743</v>
      </c>
      <c r="L28" s="16" t="s">
        <v>1826</v>
      </c>
      <c r="M28" s="16" t="s">
        <v>1917</v>
      </c>
      <c r="N28" s="16" t="s">
        <v>1962</v>
      </c>
      <c r="O28" s="16" t="s">
        <v>12162</v>
      </c>
      <c r="P28" s="16" t="s">
        <v>7361</v>
      </c>
      <c r="Q28" s="16" t="s">
        <v>22050</v>
      </c>
      <c r="R28" s="16" t="s">
        <v>13</v>
      </c>
      <c r="S28" s="19" t="s">
        <v>22045</v>
      </c>
      <c r="T28" s="19" t="s">
        <v>22051</v>
      </c>
      <c r="U28" s="16" t="s">
        <v>22043</v>
      </c>
      <c r="V28" s="4">
        <v>501</v>
      </c>
    </row>
    <row r="29" spans="1:22" x14ac:dyDescent="0.3">
      <c r="A29" s="15">
        <v>27</v>
      </c>
      <c r="B29" s="16" t="s">
        <v>22124</v>
      </c>
      <c r="C29" s="16" t="s">
        <v>22125</v>
      </c>
      <c r="D29" s="16" t="s">
        <v>22044</v>
      </c>
      <c r="E29" s="16" t="s">
        <v>22126</v>
      </c>
      <c r="I29" s="16" t="s">
        <v>369</v>
      </c>
      <c r="J29" s="16" t="s">
        <v>22050</v>
      </c>
      <c r="K29" s="16" t="s">
        <v>743</v>
      </c>
      <c r="L29" s="16" t="s">
        <v>1826</v>
      </c>
      <c r="M29" s="16" t="s">
        <v>1917</v>
      </c>
      <c r="N29" s="16" t="s">
        <v>1962</v>
      </c>
      <c r="O29" s="16" t="s">
        <v>12162</v>
      </c>
      <c r="P29" s="16" t="s">
        <v>7361</v>
      </c>
      <c r="Q29" s="16" t="s">
        <v>22050</v>
      </c>
      <c r="R29" s="16" t="s">
        <v>13</v>
      </c>
      <c r="S29" s="19" t="s">
        <v>22045</v>
      </c>
      <c r="T29" s="19" t="s">
        <v>22051</v>
      </c>
      <c r="U29" s="16" t="s">
        <v>22043</v>
      </c>
      <c r="V29" s="4">
        <v>501</v>
      </c>
    </row>
    <row r="30" spans="1:22" x14ac:dyDescent="0.3">
      <c r="A30" s="15">
        <v>28</v>
      </c>
      <c r="B30" s="16" t="s">
        <v>22127</v>
      </c>
      <c r="C30" s="16" t="s">
        <v>22128</v>
      </c>
      <c r="D30" s="16" t="s">
        <v>22044</v>
      </c>
      <c r="E30" s="16" t="s">
        <v>22129</v>
      </c>
      <c r="I30" s="16" t="s">
        <v>369</v>
      </c>
      <c r="J30" s="16" t="s">
        <v>22050</v>
      </c>
      <c r="K30" s="16" t="s">
        <v>743</v>
      </c>
      <c r="L30" s="16" t="s">
        <v>1826</v>
      </c>
      <c r="M30" s="16" t="s">
        <v>1917</v>
      </c>
      <c r="N30" s="16" t="s">
        <v>1962</v>
      </c>
      <c r="O30" s="16" t="s">
        <v>12162</v>
      </c>
      <c r="P30" s="16" t="s">
        <v>7361</v>
      </c>
      <c r="Q30" s="16" t="s">
        <v>22050</v>
      </c>
      <c r="R30" s="16" t="s">
        <v>13</v>
      </c>
      <c r="S30" s="19" t="s">
        <v>22045</v>
      </c>
      <c r="T30" s="19" t="s">
        <v>22051</v>
      </c>
      <c r="U30" s="16" t="s">
        <v>22043</v>
      </c>
      <c r="V30" s="4">
        <v>501</v>
      </c>
    </row>
    <row r="31" spans="1:22" x14ac:dyDescent="0.3">
      <c r="A31" s="15">
        <v>29</v>
      </c>
      <c r="B31" s="16" t="s">
        <v>22052</v>
      </c>
      <c r="C31" s="16" t="s">
        <v>22130</v>
      </c>
      <c r="D31" s="16" t="s">
        <v>22048</v>
      </c>
      <c r="E31" s="16" t="s">
        <v>22131</v>
      </c>
      <c r="I31" s="16" t="s">
        <v>369</v>
      </c>
      <c r="J31" s="16" t="s">
        <v>22050</v>
      </c>
      <c r="K31" s="16" t="s">
        <v>743</v>
      </c>
      <c r="L31" s="16" t="s">
        <v>1826</v>
      </c>
      <c r="M31" s="16" t="s">
        <v>1917</v>
      </c>
      <c r="N31" s="16" t="s">
        <v>1962</v>
      </c>
      <c r="O31" s="16" t="s">
        <v>12162</v>
      </c>
      <c r="P31" s="16" t="s">
        <v>7361</v>
      </c>
      <c r="Q31" s="16" t="s">
        <v>22050</v>
      </c>
      <c r="R31" s="16" t="s">
        <v>13</v>
      </c>
      <c r="S31" s="19" t="s">
        <v>22045</v>
      </c>
      <c r="T31" s="19" t="s">
        <v>22051</v>
      </c>
      <c r="U31" s="16" t="s">
        <v>22043</v>
      </c>
      <c r="V31" s="4">
        <v>502</v>
      </c>
    </row>
    <row r="32" spans="1:22" x14ac:dyDescent="0.3">
      <c r="A32" s="15">
        <v>30</v>
      </c>
      <c r="B32" s="16" t="s">
        <v>22132</v>
      </c>
      <c r="C32" s="16" t="s">
        <v>22133</v>
      </c>
      <c r="D32" s="16" t="s">
        <v>22044</v>
      </c>
      <c r="E32" s="16" t="s">
        <v>22134</v>
      </c>
      <c r="I32" s="16" t="s">
        <v>369</v>
      </c>
      <c r="J32" s="16" t="s">
        <v>22050</v>
      </c>
      <c r="K32" s="16" t="s">
        <v>743</v>
      </c>
      <c r="L32" s="16" t="s">
        <v>1826</v>
      </c>
      <c r="M32" s="16" t="s">
        <v>1917</v>
      </c>
      <c r="N32" s="16" t="s">
        <v>1962</v>
      </c>
      <c r="O32" s="16" t="s">
        <v>12162</v>
      </c>
      <c r="P32" s="16" t="s">
        <v>7361</v>
      </c>
      <c r="Q32" s="16" t="s">
        <v>22050</v>
      </c>
      <c r="R32" s="16" t="s">
        <v>13</v>
      </c>
      <c r="S32" s="19" t="s">
        <v>22045</v>
      </c>
      <c r="T32" s="19" t="s">
        <v>22051</v>
      </c>
      <c r="U32" s="16" t="s">
        <v>22043</v>
      </c>
      <c r="V32" s="4">
        <v>502</v>
      </c>
    </row>
    <row r="33" spans="1:22" x14ac:dyDescent="0.3">
      <c r="A33" s="15">
        <v>31</v>
      </c>
      <c r="B33" s="16" t="s">
        <v>22135</v>
      </c>
      <c r="C33" s="16" t="s">
        <v>22136</v>
      </c>
      <c r="D33" s="16" t="s">
        <v>22044</v>
      </c>
      <c r="E33" s="16" t="s">
        <v>22137</v>
      </c>
      <c r="I33" s="16" t="s">
        <v>369</v>
      </c>
      <c r="J33" s="16" t="s">
        <v>22050</v>
      </c>
      <c r="K33" s="16" t="s">
        <v>743</v>
      </c>
      <c r="L33" s="16" t="s">
        <v>1826</v>
      </c>
      <c r="M33" s="16" t="s">
        <v>1917</v>
      </c>
      <c r="N33" s="16" t="s">
        <v>1962</v>
      </c>
      <c r="O33" s="16" t="s">
        <v>12162</v>
      </c>
      <c r="P33" s="16" t="s">
        <v>7361</v>
      </c>
      <c r="Q33" s="16" t="s">
        <v>22050</v>
      </c>
      <c r="R33" s="16" t="s">
        <v>13</v>
      </c>
      <c r="S33" s="19" t="s">
        <v>22045</v>
      </c>
      <c r="T33" s="19" t="s">
        <v>22051</v>
      </c>
      <c r="U33" s="16" t="s">
        <v>22043</v>
      </c>
      <c r="V33" s="4">
        <v>502</v>
      </c>
    </row>
    <row r="34" spans="1:22" x14ac:dyDescent="0.3">
      <c r="A34" s="15">
        <v>32</v>
      </c>
      <c r="B34" s="16" t="s">
        <v>22138</v>
      </c>
      <c r="C34" s="16" t="s">
        <v>22139</v>
      </c>
      <c r="D34" s="16" t="s">
        <v>22044</v>
      </c>
      <c r="E34" s="16" t="s">
        <v>22140</v>
      </c>
      <c r="I34" s="16" t="s">
        <v>369</v>
      </c>
      <c r="J34" s="16" t="s">
        <v>22050</v>
      </c>
      <c r="K34" s="16" t="s">
        <v>743</v>
      </c>
      <c r="L34" s="16" t="s">
        <v>1826</v>
      </c>
      <c r="M34" s="16" t="s">
        <v>1917</v>
      </c>
      <c r="N34" s="16" t="s">
        <v>1962</v>
      </c>
      <c r="O34" s="16" t="s">
        <v>12162</v>
      </c>
      <c r="P34" s="16" t="s">
        <v>7361</v>
      </c>
      <c r="Q34" s="16" t="s">
        <v>22050</v>
      </c>
      <c r="R34" s="16" t="s">
        <v>13</v>
      </c>
      <c r="S34" s="19" t="s">
        <v>22045</v>
      </c>
      <c r="T34" s="19" t="s">
        <v>22051</v>
      </c>
      <c r="U34" s="16" t="s">
        <v>22043</v>
      </c>
      <c r="V34" s="4">
        <v>502</v>
      </c>
    </row>
    <row r="35" spans="1:22" x14ac:dyDescent="0.3">
      <c r="A35" s="15">
        <v>33</v>
      </c>
      <c r="B35" s="16" t="s">
        <v>22141</v>
      </c>
      <c r="C35" s="16" t="s">
        <v>22142</v>
      </c>
      <c r="D35" s="16" t="s">
        <v>22048</v>
      </c>
      <c r="E35" s="16" t="s">
        <v>22143</v>
      </c>
      <c r="I35" s="16" t="s">
        <v>369</v>
      </c>
      <c r="J35" s="16" t="s">
        <v>22050</v>
      </c>
      <c r="K35" s="16" t="s">
        <v>743</v>
      </c>
      <c r="L35" s="16" t="s">
        <v>1826</v>
      </c>
      <c r="M35" s="16" t="s">
        <v>1917</v>
      </c>
      <c r="N35" s="16" t="s">
        <v>1962</v>
      </c>
      <c r="O35" s="16" t="s">
        <v>12162</v>
      </c>
      <c r="P35" s="16" t="s">
        <v>7361</v>
      </c>
      <c r="Q35" s="16" t="s">
        <v>22050</v>
      </c>
      <c r="R35" s="16" t="s">
        <v>13</v>
      </c>
      <c r="S35" s="19" t="s">
        <v>22045</v>
      </c>
      <c r="T35" s="19" t="s">
        <v>22051</v>
      </c>
      <c r="U35" s="16" t="s">
        <v>22043</v>
      </c>
      <c r="V35" s="4">
        <v>503</v>
      </c>
    </row>
    <row r="36" spans="1:22" x14ac:dyDescent="0.3">
      <c r="A36" s="15">
        <v>34</v>
      </c>
      <c r="B36" s="16" t="s">
        <v>22144</v>
      </c>
      <c r="C36" s="16" t="s">
        <v>22145</v>
      </c>
      <c r="D36" s="16" t="s">
        <v>22044</v>
      </c>
      <c r="E36" s="16" t="s">
        <v>22146</v>
      </c>
      <c r="I36" s="16" t="s">
        <v>369</v>
      </c>
      <c r="J36" s="16" t="s">
        <v>22050</v>
      </c>
      <c r="K36" s="16" t="s">
        <v>743</v>
      </c>
      <c r="L36" s="16" t="s">
        <v>1826</v>
      </c>
      <c r="M36" s="16" t="s">
        <v>1917</v>
      </c>
      <c r="N36" s="16" t="s">
        <v>1962</v>
      </c>
      <c r="O36" s="16" t="s">
        <v>12162</v>
      </c>
      <c r="P36" s="16" t="s">
        <v>7361</v>
      </c>
      <c r="Q36" s="16" t="s">
        <v>22050</v>
      </c>
      <c r="R36" s="16" t="s">
        <v>13</v>
      </c>
      <c r="S36" s="19" t="s">
        <v>22045</v>
      </c>
      <c r="T36" s="19" t="s">
        <v>22051</v>
      </c>
      <c r="U36" s="16" t="s">
        <v>22043</v>
      </c>
      <c r="V36" s="4">
        <v>503</v>
      </c>
    </row>
    <row r="37" spans="1:22" x14ac:dyDescent="0.3">
      <c r="A37" s="15">
        <v>35</v>
      </c>
      <c r="B37" s="16" t="s">
        <v>22147</v>
      </c>
      <c r="C37" s="16" t="s">
        <v>22148</v>
      </c>
      <c r="D37" s="16" t="s">
        <v>22044</v>
      </c>
      <c r="E37" s="16" t="s">
        <v>22149</v>
      </c>
      <c r="I37" s="16" t="s">
        <v>369</v>
      </c>
      <c r="J37" s="16" t="s">
        <v>22050</v>
      </c>
      <c r="K37" s="16" t="s">
        <v>743</v>
      </c>
      <c r="L37" s="16" t="s">
        <v>1826</v>
      </c>
      <c r="M37" s="16" t="s">
        <v>1917</v>
      </c>
      <c r="N37" s="16" t="s">
        <v>1962</v>
      </c>
      <c r="O37" s="16" t="s">
        <v>12162</v>
      </c>
      <c r="P37" s="16" t="s">
        <v>7361</v>
      </c>
      <c r="Q37" s="16" t="s">
        <v>22050</v>
      </c>
      <c r="R37" s="16" t="s">
        <v>13</v>
      </c>
      <c r="S37" s="19" t="s">
        <v>22045</v>
      </c>
      <c r="T37" s="19" t="s">
        <v>22051</v>
      </c>
      <c r="U37" s="16" t="s">
        <v>22043</v>
      </c>
      <c r="V37" s="4">
        <v>503</v>
      </c>
    </row>
    <row r="38" spans="1:22" x14ac:dyDescent="0.3">
      <c r="A38" s="15">
        <v>36</v>
      </c>
      <c r="B38" s="16" t="s">
        <v>22150</v>
      </c>
      <c r="C38" s="16" t="s">
        <v>22151</v>
      </c>
      <c r="D38" s="16" t="s">
        <v>22044</v>
      </c>
      <c r="E38" s="16" t="s">
        <v>22152</v>
      </c>
      <c r="I38" s="16" t="s">
        <v>369</v>
      </c>
      <c r="J38" s="16" t="s">
        <v>22050</v>
      </c>
      <c r="K38" s="16" t="s">
        <v>743</v>
      </c>
      <c r="L38" s="16" t="s">
        <v>1826</v>
      </c>
      <c r="M38" s="16" t="s">
        <v>1917</v>
      </c>
      <c r="N38" s="16" t="s">
        <v>1962</v>
      </c>
      <c r="O38" s="16" t="s">
        <v>12162</v>
      </c>
      <c r="P38" s="16" t="s">
        <v>7361</v>
      </c>
      <c r="Q38" s="16" t="s">
        <v>22050</v>
      </c>
      <c r="R38" s="16" t="s">
        <v>13</v>
      </c>
      <c r="S38" s="19" t="s">
        <v>22045</v>
      </c>
      <c r="T38" s="19" t="s">
        <v>22051</v>
      </c>
      <c r="U38" s="16" t="s">
        <v>22043</v>
      </c>
      <c r="V38" s="4">
        <v>503</v>
      </c>
    </row>
    <row r="39" spans="1:22" x14ac:dyDescent="0.3">
      <c r="A39" s="15">
        <v>37</v>
      </c>
      <c r="B39" s="16" t="s">
        <v>22153</v>
      </c>
      <c r="C39" s="16" t="s">
        <v>22154</v>
      </c>
      <c r="D39" s="16" t="s">
        <v>22044</v>
      </c>
      <c r="E39" s="16" t="s">
        <v>22155</v>
      </c>
      <c r="I39" s="16" t="s">
        <v>369</v>
      </c>
      <c r="J39" s="16" t="s">
        <v>22050</v>
      </c>
      <c r="K39" s="16" t="s">
        <v>743</v>
      </c>
      <c r="L39" s="16" t="s">
        <v>1826</v>
      </c>
      <c r="M39" s="16" t="s">
        <v>1917</v>
      </c>
      <c r="N39" s="16" t="s">
        <v>1962</v>
      </c>
      <c r="O39" s="16" t="s">
        <v>12162</v>
      </c>
      <c r="P39" s="16" t="s">
        <v>7361</v>
      </c>
      <c r="Q39" s="16" t="s">
        <v>22050</v>
      </c>
      <c r="R39" s="16" t="s">
        <v>13</v>
      </c>
      <c r="S39" s="19" t="s">
        <v>22045</v>
      </c>
      <c r="T39" s="19" t="s">
        <v>22051</v>
      </c>
      <c r="U39" s="16" t="s">
        <v>22043</v>
      </c>
      <c r="V39" s="4">
        <v>601</v>
      </c>
    </row>
    <row r="40" spans="1:22" x14ac:dyDescent="0.3">
      <c r="A40" s="15">
        <v>38</v>
      </c>
      <c r="B40" s="16" t="s">
        <v>22156</v>
      </c>
      <c r="C40" s="16" t="s">
        <v>22157</v>
      </c>
      <c r="D40" s="16" t="s">
        <v>22048</v>
      </c>
      <c r="E40" s="16" t="s">
        <v>22158</v>
      </c>
      <c r="I40" s="16" t="s">
        <v>369</v>
      </c>
      <c r="J40" s="16" t="s">
        <v>22050</v>
      </c>
      <c r="K40" s="16" t="s">
        <v>743</v>
      </c>
      <c r="L40" s="16" t="s">
        <v>1826</v>
      </c>
      <c r="M40" s="16" t="s">
        <v>1917</v>
      </c>
      <c r="N40" s="16" t="s">
        <v>1962</v>
      </c>
      <c r="O40" s="16" t="s">
        <v>12162</v>
      </c>
      <c r="P40" s="16" t="s">
        <v>7361</v>
      </c>
      <c r="Q40" s="16" t="s">
        <v>22050</v>
      </c>
      <c r="R40" s="16" t="s">
        <v>13</v>
      </c>
      <c r="S40" s="19" t="s">
        <v>22045</v>
      </c>
      <c r="T40" s="19" t="s">
        <v>22051</v>
      </c>
      <c r="U40" s="16" t="s">
        <v>22043</v>
      </c>
      <c r="V40" s="4">
        <v>601</v>
      </c>
    </row>
    <row r="41" spans="1:22" x14ac:dyDescent="0.3">
      <c r="A41" s="15">
        <v>39</v>
      </c>
      <c r="B41" s="16" t="s">
        <v>22159</v>
      </c>
      <c r="C41" s="16" t="s">
        <v>22160</v>
      </c>
      <c r="D41" s="16" t="s">
        <v>22044</v>
      </c>
      <c r="E41" s="16" t="s">
        <v>22161</v>
      </c>
      <c r="I41" s="16" t="s">
        <v>369</v>
      </c>
      <c r="J41" s="16" t="s">
        <v>22050</v>
      </c>
      <c r="K41" s="16" t="s">
        <v>743</v>
      </c>
      <c r="L41" s="16" t="s">
        <v>1826</v>
      </c>
      <c r="M41" s="16" t="s">
        <v>1917</v>
      </c>
      <c r="N41" s="16" t="s">
        <v>1962</v>
      </c>
      <c r="O41" s="16" t="s">
        <v>12162</v>
      </c>
      <c r="P41" s="16" t="s">
        <v>7361</v>
      </c>
      <c r="Q41" s="16" t="s">
        <v>22050</v>
      </c>
      <c r="R41" s="16" t="s">
        <v>13</v>
      </c>
      <c r="S41" s="19" t="s">
        <v>22045</v>
      </c>
      <c r="T41" s="19" t="s">
        <v>22051</v>
      </c>
      <c r="U41" s="16" t="s">
        <v>22043</v>
      </c>
      <c r="V41" s="4">
        <v>601</v>
      </c>
    </row>
    <row r="42" spans="1:22" x14ac:dyDescent="0.3">
      <c r="A42" s="15">
        <v>40</v>
      </c>
      <c r="B42" s="16" t="s">
        <v>22162</v>
      </c>
      <c r="C42" s="16" t="s">
        <v>22163</v>
      </c>
      <c r="D42" s="16" t="s">
        <v>22044</v>
      </c>
      <c r="E42" s="16" t="s">
        <v>22164</v>
      </c>
      <c r="I42" s="16" t="s">
        <v>369</v>
      </c>
      <c r="J42" s="16" t="s">
        <v>22050</v>
      </c>
      <c r="K42" s="16" t="s">
        <v>743</v>
      </c>
      <c r="L42" s="16" t="s">
        <v>1826</v>
      </c>
      <c r="M42" s="16" t="s">
        <v>1917</v>
      </c>
      <c r="N42" s="16" t="s">
        <v>1962</v>
      </c>
      <c r="O42" s="16" t="s">
        <v>12162</v>
      </c>
      <c r="P42" s="16" t="s">
        <v>7361</v>
      </c>
      <c r="Q42" s="16" t="s">
        <v>22050</v>
      </c>
      <c r="R42" s="16" t="s">
        <v>13</v>
      </c>
      <c r="S42" s="19" t="s">
        <v>22045</v>
      </c>
      <c r="T42" s="19" t="s">
        <v>22051</v>
      </c>
      <c r="U42" s="16" t="s">
        <v>22043</v>
      </c>
      <c r="V42" s="4">
        <v>601</v>
      </c>
    </row>
    <row r="43" spans="1:22" x14ac:dyDescent="0.3">
      <c r="A43" s="15">
        <v>41</v>
      </c>
      <c r="B43" s="16" t="s">
        <v>22165</v>
      </c>
      <c r="C43" s="16" t="s">
        <v>22166</v>
      </c>
      <c r="D43" s="16" t="s">
        <v>22048</v>
      </c>
      <c r="E43" s="16" t="s">
        <v>22167</v>
      </c>
      <c r="I43" s="16" t="s">
        <v>369</v>
      </c>
      <c r="J43" s="16" t="s">
        <v>22050</v>
      </c>
      <c r="K43" s="16" t="s">
        <v>743</v>
      </c>
      <c r="L43" s="16" t="s">
        <v>1826</v>
      </c>
      <c r="M43" s="16" t="s">
        <v>1917</v>
      </c>
      <c r="N43" s="16" t="s">
        <v>1962</v>
      </c>
      <c r="O43" s="16" t="s">
        <v>12162</v>
      </c>
      <c r="P43" s="16" t="s">
        <v>7361</v>
      </c>
      <c r="Q43" s="16" t="s">
        <v>22050</v>
      </c>
      <c r="R43" s="16" t="s">
        <v>13</v>
      </c>
      <c r="S43" s="19" t="s">
        <v>22045</v>
      </c>
      <c r="T43" s="19" t="s">
        <v>22051</v>
      </c>
      <c r="U43" s="16" t="s">
        <v>22043</v>
      </c>
      <c r="V43" s="4">
        <v>602</v>
      </c>
    </row>
    <row r="44" spans="1:22" x14ac:dyDescent="0.3">
      <c r="A44" s="15">
        <v>42</v>
      </c>
      <c r="B44" s="16" t="s">
        <v>22168</v>
      </c>
      <c r="C44" s="16" t="s">
        <v>22169</v>
      </c>
      <c r="D44" s="16" t="s">
        <v>22048</v>
      </c>
      <c r="E44" s="16" t="s">
        <v>22170</v>
      </c>
      <c r="I44" s="16" t="s">
        <v>369</v>
      </c>
      <c r="J44" s="16" t="s">
        <v>22050</v>
      </c>
      <c r="K44" s="16" t="s">
        <v>743</v>
      </c>
      <c r="L44" s="16" t="s">
        <v>1826</v>
      </c>
      <c r="M44" s="16" t="s">
        <v>1917</v>
      </c>
      <c r="N44" s="16" t="s">
        <v>1962</v>
      </c>
      <c r="O44" s="16" t="s">
        <v>12162</v>
      </c>
      <c r="P44" s="16" t="s">
        <v>7361</v>
      </c>
      <c r="Q44" s="16" t="s">
        <v>22050</v>
      </c>
      <c r="R44" s="16" t="s">
        <v>13</v>
      </c>
      <c r="S44" s="19" t="s">
        <v>22045</v>
      </c>
      <c r="T44" s="19" t="s">
        <v>22051</v>
      </c>
      <c r="U44" s="16" t="s">
        <v>22043</v>
      </c>
      <c r="V44" s="4">
        <v>602</v>
      </c>
    </row>
    <row r="45" spans="1:22" x14ac:dyDescent="0.3">
      <c r="A45" s="15">
        <v>43</v>
      </c>
      <c r="B45" s="16" t="s">
        <v>22171</v>
      </c>
      <c r="C45" s="16" t="s">
        <v>22172</v>
      </c>
      <c r="D45" s="16" t="s">
        <v>22044</v>
      </c>
      <c r="E45" s="16" t="s">
        <v>22173</v>
      </c>
      <c r="I45" s="16" t="s">
        <v>369</v>
      </c>
      <c r="J45" s="16" t="s">
        <v>22050</v>
      </c>
      <c r="K45" s="16" t="s">
        <v>743</v>
      </c>
      <c r="L45" s="16" t="s">
        <v>1826</v>
      </c>
      <c r="M45" s="16" t="s">
        <v>1917</v>
      </c>
      <c r="N45" s="16" t="s">
        <v>1962</v>
      </c>
      <c r="O45" s="16" t="s">
        <v>12162</v>
      </c>
      <c r="P45" s="16" t="s">
        <v>7361</v>
      </c>
      <c r="Q45" s="16" t="s">
        <v>22050</v>
      </c>
      <c r="R45" s="16" t="s">
        <v>13</v>
      </c>
      <c r="S45" s="19" t="s">
        <v>22045</v>
      </c>
      <c r="T45" s="19" t="s">
        <v>22051</v>
      </c>
      <c r="U45" s="16" t="s">
        <v>22043</v>
      </c>
      <c r="V45" s="4">
        <v>602</v>
      </c>
    </row>
    <row r="46" spans="1:22" x14ac:dyDescent="0.3">
      <c r="A46" s="15">
        <v>44</v>
      </c>
      <c r="B46" s="16" t="s">
        <v>22174</v>
      </c>
      <c r="C46" s="16" t="s">
        <v>22175</v>
      </c>
      <c r="D46" s="16" t="s">
        <v>22048</v>
      </c>
      <c r="E46" s="16" t="s">
        <v>22176</v>
      </c>
      <c r="I46" s="16" t="s">
        <v>369</v>
      </c>
      <c r="J46" s="16" t="s">
        <v>22050</v>
      </c>
      <c r="K46" s="16" t="s">
        <v>743</v>
      </c>
      <c r="L46" s="16" t="s">
        <v>1826</v>
      </c>
      <c r="M46" s="16" t="s">
        <v>1917</v>
      </c>
      <c r="N46" s="16" t="s">
        <v>1962</v>
      </c>
      <c r="O46" s="16" t="s">
        <v>12162</v>
      </c>
      <c r="P46" s="16" t="s">
        <v>7361</v>
      </c>
      <c r="Q46" s="16" t="s">
        <v>22050</v>
      </c>
      <c r="R46" s="16" t="s">
        <v>13</v>
      </c>
      <c r="S46" s="19" t="s">
        <v>22045</v>
      </c>
      <c r="T46" s="19" t="s">
        <v>22051</v>
      </c>
      <c r="U46" s="16" t="s">
        <v>22043</v>
      </c>
      <c r="V46" s="4">
        <v>602</v>
      </c>
    </row>
    <row r="47" spans="1:22" x14ac:dyDescent="0.3">
      <c r="A47" s="15">
        <v>45</v>
      </c>
      <c r="J47" s="16"/>
      <c r="Q47" s="16"/>
      <c r="S47" s="19"/>
      <c r="T47" s="19"/>
      <c r="U47" s="16"/>
    </row>
    <row r="48" spans="1:22" x14ac:dyDescent="0.3">
      <c r="A48" s="15">
        <v>46</v>
      </c>
      <c r="J48" s="16"/>
      <c r="Q48" s="16"/>
      <c r="S48" s="19"/>
      <c r="T48" s="19"/>
      <c r="U48" s="16"/>
    </row>
    <row r="49" spans="1:21" x14ac:dyDescent="0.3">
      <c r="A49" s="15">
        <v>47</v>
      </c>
      <c r="J49" s="16"/>
      <c r="Q49" s="16"/>
      <c r="S49" s="19"/>
      <c r="T49" s="19"/>
      <c r="U49" s="16"/>
    </row>
    <row r="50" spans="1:21" x14ac:dyDescent="0.3">
      <c r="A50" s="15">
        <v>48</v>
      </c>
      <c r="J50" s="16"/>
      <c r="Q50" s="16"/>
      <c r="S50" s="19"/>
      <c r="T50" s="19"/>
      <c r="U50" s="16"/>
    </row>
    <row r="51" spans="1:21" x14ac:dyDescent="0.3">
      <c r="A51" s="15">
        <v>49</v>
      </c>
      <c r="J51" s="16"/>
      <c r="Q51" s="16"/>
      <c r="U51" s="16"/>
    </row>
    <row r="52" spans="1:21" x14ac:dyDescent="0.3">
      <c r="A52" s="15">
        <v>50</v>
      </c>
      <c r="J52" s="16"/>
      <c r="Q52" s="16"/>
      <c r="U52" s="16"/>
    </row>
    <row r="53" spans="1:21" x14ac:dyDescent="0.3">
      <c r="A53" s="15">
        <v>51</v>
      </c>
      <c r="J53" s="16"/>
      <c r="Q53" s="16"/>
      <c r="U53" s="16"/>
    </row>
    <row r="54" spans="1:21" x14ac:dyDescent="0.3">
      <c r="A54" s="15">
        <v>52</v>
      </c>
      <c r="J54" s="16"/>
      <c r="Q54" s="16"/>
      <c r="U54" s="16"/>
    </row>
    <row r="55" spans="1:21" x14ac:dyDescent="0.3">
      <c r="A55" s="15">
        <v>53</v>
      </c>
      <c r="J55" s="16"/>
      <c r="Q55" s="16"/>
      <c r="U55" s="16"/>
    </row>
    <row r="56" spans="1:21" x14ac:dyDescent="0.3">
      <c r="A56" s="15">
        <v>54</v>
      </c>
      <c r="J56" s="16"/>
      <c r="Q56" s="16"/>
      <c r="U56" s="16"/>
    </row>
    <row r="57" spans="1:21" x14ac:dyDescent="0.3">
      <c r="A57" s="15">
        <v>55</v>
      </c>
      <c r="J57" s="16"/>
      <c r="Q57" s="16"/>
      <c r="U57" s="16"/>
    </row>
    <row r="58" spans="1:21" x14ac:dyDescent="0.3">
      <c r="A58" s="15">
        <v>56</v>
      </c>
      <c r="J58" s="16"/>
      <c r="Q58" s="16"/>
      <c r="U58" s="16"/>
    </row>
    <row r="59" spans="1:21" x14ac:dyDescent="0.3">
      <c r="A59" s="15">
        <v>57</v>
      </c>
    </row>
    <row r="60" spans="1:21" x14ac:dyDescent="0.3">
      <c r="A60" s="15">
        <v>58</v>
      </c>
    </row>
    <row r="61" spans="1:21" x14ac:dyDescent="0.3">
      <c r="A61" s="15">
        <v>59</v>
      </c>
    </row>
    <row r="62" spans="1:21" x14ac:dyDescent="0.3">
      <c r="A62" s="15">
        <v>60</v>
      </c>
    </row>
    <row r="63" spans="1:21" x14ac:dyDescent="0.3">
      <c r="A63" s="15">
        <v>61</v>
      </c>
    </row>
    <row r="64" spans="1:2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algorithmName="SHA-512" hashValue="/9q72ex76ltHCuO7r1FI0spJzTAFwTAlQ75B4Znd7zwUSEcnvW3+VmRRd5UDJ4ziU2A+p2fanfKbc8kYRZJEhA==" saltValue="SDmLeBZZVKxcjDU+5DQhkw==" spinCount="100000" sheet="1" objects="1" scenarios="1"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>
      <formula1>DsTinhThanh</formula1>
    </dataValidation>
    <dataValidation type="list" allowBlank="1" showInputMessage="1" errorTitle="Thông báo lỗi" error="Quận huyện không tồn tại" sqref="O3:O42">
      <formula1>DsQuanHuyen</formula1>
    </dataValidation>
    <dataValidation type="list" allowBlank="1" showInputMessage="1" errorTitle="Thông báo lỗi" error="Phường xã không tồn tại" sqref="P3:P4">
      <formula1>DsPhuongXa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topLeftCell="A31" zoomScale="85" zoomScaleNormal="85"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Nguyễn Mạnh Hiếu</v>
      </c>
      <c r="B1" s="18" t="str">
        <f>DanhsachNguoiluutru!C3</f>
        <v>28/05/1986</v>
      </c>
      <c r="C1" s="18" t="str">
        <f>INDEX(GioiTinh!$A:$A,MATCH(DanhsachNguoiluutru!D3,GioiTinh!$B:$B,0))</f>
        <v>2</v>
      </c>
      <c r="D1" s="18" t="str">
        <f>DanhsachNguoiluutru!D3</f>
        <v>Giới tính nam</v>
      </c>
      <c r="E1" s="18" t="str">
        <f>DanhsachNguoiluutru!E3</f>
        <v>019086005951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Thành Công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19</v>
      </c>
      <c r="S1" s="18" t="str">
        <f ca="1">INDEX(OFFSET(QuanHuyen!$C$1,MATCH(extracted!$R1,QuanHuyen!$A:$A,0)-1,0,10000,1),MATCH(DanhsachNguoiluutru!$O3,OFFSET(QuanHuyen!$B$1,MATCH(extracted!$R1,QuanHuyen!$A:$A,0)-1,0,10000,1), 0))</f>
        <v>172</v>
      </c>
      <c r="T1" s="18" t="str">
        <f ca="1">INDEX(OFFSET(PhuongXa!$C$1,MATCH(extracted!$S1,PhuongXa!$A:$A,0)-1,0,10000,1),MATCH(DanhsachNguoiluutru!$P3,OFFSET(PhuongXa!$B$1,MATCH(extracted!$S1,PhuongXa!$A:$A,0)-1,0,10000,1), 0))</f>
        <v>05881</v>
      </c>
      <c r="U1" s="18" t="str">
        <f>DanhsachNguoiluutru!Q3</f>
        <v>Thành Công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Thành Công, Xã Thành Công, Thị xã Phổ Yên, Tỉnh Thái Nguyên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03/07/2023</v>
      </c>
      <c r="Z1" s="18" t="str">
        <f>DanhsachNguoiluutru!T3</f>
        <v>04/07/2023</v>
      </c>
      <c r="AA1" s="18" t="str">
        <f>DanhsachNguoiluutru!U3</f>
        <v>Du Lịch</v>
      </c>
      <c r="AB1" s="18">
        <f>DanhsachNguoiluutru!V3</f>
        <v>205</v>
      </c>
    </row>
    <row r="2" spans="1:28" x14ac:dyDescent="0.3">
      <c r="A2" s="18" t="str">
        <f>DanhsachNguoiluutru!B4</f>
        <v>Dương Hạnh Yến</v>
      </c>
      <c r="B2" s="18" t="str">
        <f>DanhsachNguoiluutru!C4</f>
        <v>18/10/1979</v>
      </c>
      <c r="C2" s="18" t="str">
        <f>INDEX(GioiTinh!$A:$A,MATCH(DanhsachNguoiluutru!D4,GioiTinh!$B:$B,0))</f>
        <v>3</v>
      </c>
      <c r="D2" s="18" t="str">
        <f>DanhsachNguoiluutru!D4</f>
        <v>Giới tính Nữ</v>
      </c>
      <c r="E2" s="18" t="str">
        <f>DanhsachNguoiluutru!E4</f>
        <v>019179385980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Thành Công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19</v>
      </c>
      <c r="S2" s="18" t="str">
        <f ca="1">INDEX(OFFSET(QuanHuyen!$C$1,MATCH(extracted!$R2,QuanHuyen!$A:$A,0)-1,0,10000,1),MATCH(DanhsachNguoiluutru!$O4,OFFSET(QuanHuyen!$B$1,MATCH(extracted!$R2,QuanHuyen!$A:$A,0)-1,0,10000,1), 0))</f>
        <v>172</v>
      </c>
      <c r="T2" s="18" t="str">
        <f ca="1">INDEX(OFFSET(PhuongXa!$C$1,MATCH(extracted!$S2,PhuongXa!$A:$A,0)-1,0,10000,1),MATCH(DanhsachNguoiluutru!$P4,OFFSET(PhuongXa!$B$1,MATCH(extracted!$S2,PhuongXa!$A:$A,0)-1,0,10000,1), 0))</f>
        <v>05881</v>
      </c>
      <c r="U2" s="18" t="str">
        <f>DanhsachNguoiluutru!Q4</f>
        <v>Thành Công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Thành Công, Xã Thành Công, Thị xã Phổ Yên, Tỉnh Thái Nguyên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03/07/2023</v>
      </c>
      <c r="Z2" s="18" t="str">
        <f>DanhsachNguoiluutru!T4</f>
        <v>04/07/2023</v>
      </c>
      <c r="AA2" s="18" t="str">
        <f>DanhsachNguoiluutru!U4</f>
        <v>Du Lịch</v>
      </c>
      <c r="AB2" s="18">
        <f>DanhsachNguoiluutru!V4</f>
        <v>205</v>
      </c>
    </row>
    <row r="3" spans="1:28" x14ac:dyDescent="0.3">
      <c r="A3" s="18" t="str">
        <f>DanhsachNguoiluutru!B5</f>
        <v>Huỳnh Thu Oanh</v>
      </c>
      <c r="B3" s="18" t="str">
        <f>DanhsachNguoiluutru!C5</f>
        <v>19/10/1994</v>
      </c>
      <c r="C3" s="18" t="str">
        <f>INDEX(GioiTinh!$A:$A,MATCH(DanhsachNguoiluutru!D5,GioiTinh!$B:$B,0))</f>
        <v>3</v>
      </c>
      <c r="D3" s="18" t="str">
        <f>DanhsachNguoiluutru!D5</f>
        <v>Giới tính Nữ</v>
      </c>
      <c r="E3" s="18" t="str">
        <f>DanhsachNguoiluutru!E5</f>
        <v>019194460985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Thành Công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19</v>
      </c>
      <c r="S3" s="18" t="str">
        <f ca="1">INDEX(OFFSET(QuanHuyen!$C$1,MATCH(extracted!$R3,QuanHuyen!$A:$A,0)-1,0,10000,1),MATCH(DanhsachNguoiluutru!$O5,OFFSET(QuanHuyen!$B$1,MATCH(extracted!$R3,QuanHuyen!$A:$A,0)-1,0,10000,1), 0))</f>
        <v>172</v>
      </c>
      <c r="T3" s="18" t="str">
        <f ca="1">INDEX(OFFSET(PhuongXa!$C$1,MATCH(extracted!$S3,PhuongXa!$A:$A,0)-1,0,10000,1),MATCH(DanhsachNguoiluutru!$P5,OFFSET(PhuongXa!$B$1,MATCH(extracted!$S3,PhuongXa!$A:$A,0)-1,0,10000,1), 0))</f>
        <v>05881</v>
      </c>
      <c r="U3" s="18" t="str">
        <f>DanhsachNguoiluutru!Q5</f>
        <v>Thành Công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Thành Công, Xã Thành Công, Thị xã Phổ Yên, Tỉnh Thái Nguyên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03/07/2023</v>
      </c>
      <c r="Z3" s="18" t="str">
        <f>DanhsachNguoiluutru!T5</f>
        <v>04/07/2023</v>
      </c>
      <c r="AA3" s="18" t="str">
        <f>DanhsachNguoiluutru!U5</f>
        <v>Du Lịch</v>
      </c>
      <c r="AB3" s="18">
        <f>DanhsachNguoiluutru!V5</f>
        <v>205</v>
      </c>
    </row>
    <row r="4" spans="1:28" x14ac:dyDescent="0.3">
      <c r="A4" s="18" t="str">
        <f>DanhsachNguoiluutru!B6</f>
        <v>Vũ Nhật Linh</v>
      </c>
      <c r="B4" s="18" t="str">
        <f>DanhsachNguoiluutru!C6</f>
        <v>22/05/1981</v>
      </c>
      <c r="C4" s="18" t="str">
        <f>INDEX(GioiTinh!$A:$A,MATCH(DanhsachNguoiluutru!D6,GioiTinh!$B:$B,0))</f>
        <v>2</v>
      </c>
      <c r="D4" s="18" t="str">
        <f>DanhsachNguoiluutru!D6</f>
        <v>Giới tính Nam</v>
      </c>
      <c r="E4" s="18" t="str">
        <f>DanhsachNguoiluutru!E6</f>
        <v>019081408683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Thành Công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19</v>
      </c>
      <c r="S4" s="18" t="str">
        <f ca="1">INDEX(OFFSET(QuanHuyen!$C$1,MATCH(extracted!$R4,QuanHuyen!$A:$A,0)-1,0,10000,1),MATCH(DanhsachNguoiluutru!$O6,OFFSET(QuanHuyen!$B$1,MATCH(extracted!$R4,QuanHuyen!$A:$A,0)-1,0,10000,1), 0))</f>
        <v>172</v>
      </c>
      <c r="T4" s="18" t="str">
        <f ca="1">INDEX(OFFSET(PhuongXa!$C$1,MATCH(extracted!$S4,PhuongXa!$A:$A,0)-1,0,10000,1),MATCH(DanhsachNguoiluutru!$P6,OFFSET(PhuongXa!$B$1,MATCH(extracted!$S4,PhuongXa!$A:$A,0)-1,0,10000,1), 0))</f>
        <v>05881</v>
      </c>
      <c r="U4" s="18" t="str">
        <f>DanhsachNguoiluutru!Q6</f>
        <v>Thành Công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Thành Công, Xã Thành Công, Thị xã Phổ Yên, Tỉnh Thái Nguyên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03/07/2023</v>
      </c>
      <c r="Z4" s="18" t="str">
        <f>DanhsachNguoiluutru!T6</f>
        <v>04/07/2023</v>
      </c>
      <c r="AA4" s="18" t="str">
        <f>DanhsachNguoiluutru!U6</f>
        <v>Du Lịch</v>
      </c>
      <c r="AB4" s="18">
        <f>DanhsachNguoiluutru!V6</f>
        <v>205</v>
      </c>
    </row>
    <row r="5" spans="1:28" x14ac:dyDescent="0.3">
      <c r="A5" s="18" t="str">
        <f>DanhsachNguoiluutru!B7</f>
        <v>Đoàn Công Quân</v>
      </c>
      <c r="B5" s="18" t="str">
        <f>DanhsachNguoiluutru!C7</f>
        <v>19/12/1979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019079605352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Thành Công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19</v>
      </c>
      <c r="S5" s="18" t="str">
        <f ca="1">INDEX(OFFSET(QuanHuyen!$C$1,MATCH(extracted!$R5,QuanHuyen!$A:$A,0)-1,0,10000,1),MATCH(DanhsachNguoiluutru!$O7,OFFSET(QuanHuyen!$B$1,MATCH(extracted!$R5,QuanHuyen!$A:$A,0)-1,0,10000,1), 0))</f>
        <v>172</v>
      </c>
      <c r="T5" s="18" t="str">
        <f ca="1">INDEX(OFFSET(PhuongXa!$C$1,MATCH(extracted!$S5,PhuongXa!$A:$A,0)-1,0,10000,1),MATCH(DanhsachNguoiluutru!$P7,OFFSET(PhuongXa!$B$1,MATCH(extracted!$S5,PhuongXa!$A:$A,0)-1,0,10000,1), 0))</f>
        <v>05881</v>
      </c>
      <c r="U5" s="18" t="str">
        <f>DanhsachNguoiluutru!Q7</f>
        <v>Thành Công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Thành Công, Xã Thành Công, Thị xã Phổ Yên, Tỉnh Thái Nguyên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03/07/2023</v>
      </c>
      <c r="Z5" s="18" t="str">
        <f>DanhsachNguoiluutru!T7</f>
        <v>04/07/2023</v>
      </c>
      <c r="AA5" s="18" t="str">
        <f>DanhsachNguoiluutru!U7</f>
        <v>Du Lịch</v>
      </c>
      <c r="AB5" s="18">
        <f>DanhsachNguoiluutru!V7</f>
        <v>206</v>
      </c>
    </row>
    <row r="6" spans="1:28" x14ac:dyDescent="0.3">
      <c r="A6" s="18" t="str">
        <f>DanhsachNguoiluutru!B8</f>
        <v>Đào Linh Quỳnh</v>
      </c>
      <c r="B6" s="18" t="str">
        <f>DanhsachNguoiluutru!C8</f>
        <v>07/05/1987</v>
      </c>
      <c r="C6" s="18" t="str">
        <f>INDEX(GioiTinh!$A:$A,MATCH(DanhsachNguoiluutru!D8,GioiTinh!$B:$B,0))</f>
        <v>3</v>
      </c>
      <c r="D6" s="18" t="str">
        <f>DanhsachNguoiluutru!D8</f>
        <v>Giới tính Nữ</v>
      </c>
      <c r="E6" s="18" t="str">
        <f>DanhsachNguoiluutru!E8</f>
        <v>019187225101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Thành Công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19</v>
      </c>
      <c r="S6" s="18" t="str">
        <f ca="1">INDEX(OFFSET(QuanHuyen!$C$1,MATCH(extracted!$R6,QuanHuyen!$A:$A,0)-1,0,10000,1),MATCH(DanhsachNguoiluutru!$O8,OFFSET(QuanHuyen!$B$1,MATCH(extracted!$R6,QuanHuyen!$A:$A,0)-1,0,10000,1), 0))</f>
        <v>172</v>
      </c>
      <c r="T6" s="18" t="str">
        <f ca="1">INDEX(OFFSET(PhuongXa!$C$1,MATCH(extracted!$S6,PhuongXa!$A:$A,0)-1,0,10000,1),MATCH(DanhsachNguoiluutru!$P8,OFFSET(PhuongXa!$B$1,MATCH(extracted!$S6,PhuongXa!$A:$A,0)-1,0,10000,1), 0))</f>
        <v>05881</v>
      </c>
      <c r="U6" s="18" t="str">
        <f>DanhsachNguoiluutru!Q8</f>
        <v>Thành Công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Thành Công, Xã Thành Công, Thị xã Phổ Yên, Tỉnh Thái Nguyên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03/07/2023</v>
      </c>
      <c r="Z6" s="18" t="str">
        <f>DanhsachNguoiluutru!T8</f>
        <v>04/07/2023</v>
      </c>
      <c r="AA6" s="18" t="str">
        <f>DanhsachNguoiluutru!U8</f>
        <v>Du Lịch</v>
      </c>
      <c r="AB6" s="18">
        <f>DanhsachNguoiluutru!V8</f>
        <v>206</v>
      </c>
    </row>
    <row r="7" spans="1:28" x14ac:dyDescent="0.3">
      <c r="A7" s="18" t="str">
        <f>DanhsachNguoiluutru!B9</f>
        <v>Dương Linh Hạnh</v>
      </c>
      <c r="B7" s="18" t="str">
        <f>DanhsachNguoiluutru!C9</f>
        <v>01/01/1981</v>
      </c>
      <c r="C7" s="18" t="str">
        <f>INDEX(GioiTinh!$A:$A,MATCH(DanhsachNguoiluutru!D9,GioiTinh!$B:$B,0))</f>
        <v>3</v>
      </c>
      <c r="D7" s="18" t="str">
        <f>DanhsachNguoiluutru!D9</f>
        <v>Giới tính Nữ</v>
      </c>
      <c r="E7" s="18" t="str">
        <f>DanhsachNguoiluutru!E9</f>
        <v>019181705565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Thành Công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19</v>
      </c>
      <c r="S7" s="18" t="str">
        <f ca="1">INDEX(OFFSET(QuanHuyen!$C$1,MATCH(extracted!$R7,QuanHuyen!$A:$A,0)-1,0,10000,1),MATCH(DanhsachNguoiluutru!$O9,OFFSET(QuanHuyen!$B$1,MATCH(extracted!$R7,QuanHuyen!$A:$A,0)-1,0,10000,1), 0))</f>
        <v>172</v>
      </c>
      <c r="T7" s="18" t="str">
        <f ca="1">INDEX(OFFSET(PhuongXa!$C$1,MATCH(extracted!$S7,PhuongXa!$A:$A,0)-1,0,10000,1),MATCH(DanhsachNguoiluutru!$P9,OFFSET(PhuongXa!$B$1,MATCH(extracted!$S7,PhuongXa!$A:$A,0)-1,0,10000,1), 0))</f>
        <v>05881</v>
      </c>
      <c r="U7" s="18" t="str">
        <f>DanhsachNguoiluutru!Q9</f>
        <v>Thành Công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Thành Công, Xã Thành Công, Thị xã Phổ Yên, Tỉnh Thái Nguyên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03/07/2023</v>
      </c>
      <c r="Z7" s="18" t="str">
        <f>DanhsachNguoiluutru!T9</f>
        <v>04/07/2023</v>
      </c>
      <c r="AA7" s="18" t="str">
        <f>DanhsachNguoiluutru!U9</f>
        <v>Du Lịch</v>
      </c>
      <c r="AB7" s="18">
        <f>DanhsachNguoiluutru!V9</f>
        <v>206</v>
      </c>
    </row>
    <row r="8" spans="1:28" x14ac:dyDescent="0.3">
      <c r="A8" s="18" t="str">
        <f>DanhsachNguoiluutru!B10</f>
        <v>Dương Linh Lan</v>
      </c>
      <c r="B8" s="18" t="str">
        <f>DanhsachNguoiluutru!C10</f>
        <v>16/04/1982</v>
      </c>
      <c r="C8" s="18" t="str">
        <f>INDEX(GioiTinh!$A:$A,MATCH(DanhsachNguoiluutru!D10,GioiTinh!$B:$B,0))</f>
        <v>3</v>
      </c>
      <c r="D8" s="18" t="str">
        <f>DanhsachNguoiluutru!D10</f>
        <v>Giới tính Nữ</v>
      </c>
      <c r="E8" s="18" t="str">
        <f>DanhsachNguoiluutru!E10</f>
        <v>019182467004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Thành Công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19</v>
      </c>
      <c r="S8" s="18" t="str">
        <f ca="1">INDEX(OFFSET(QuanHuyen!$C$1,MATCH(extracted!$R8,QuanHuyen!$A:$A,0)-1,0,10000,1),MATCH(DanhsachNguoiluutru!$O10,OFFSET(QuanHuyen!$B$1,MATCH(extracted!$R8,QuanHuyen!$A:$A,0)-1,0,10000,1), 0))</f>
        <v>172</v>
      </c>
      <c r="T8" s="18" t="str">
        <f ca="1">INDEX(OFFSET(PhuongXa!$C$1,MATCH(extracted!$S8,PhuongXa!$A:$A,0)-1,0,10000,1),MATCH(DanhsachNguoiluutru!$P10,OFFSET(PhuongXa!$B$1,MATCH(extracted!$S8,PhuongXa!$A:$A,0)-1,0,10000,1), 0))</f>
        <v>05881</v>
      </c>
      <c r="U8" s="18" t="str">
        <f>DanhsachNguoiluutru!Q10</f>
        <v>Thành Công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Thành Công, Xã Thành Công, Thị xã Phổ Yên, Tỉnh Thái Nguyên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03/07/2023</v>
      </c>
      <c r="Z8" s="18" t="str">
        <f>DanhsachNguoiluutru!T10</f>
        <v>04/07/2023</v>
      </c>
      <c r="AA8" s="18" t="str">
        <f>DanhsachNguoiluutru!U10</f>
        <v>Du Lịch</v>
      </c>
      <c r="AB8" s="18">
        <f>DanhsachNguoiluutru!V10</f>
        <v>206</v>
      </c>
    </row>
    <row r="9" spans="1:28" x14ac:dyDescent="0.3">
      <c r="A9" s="18" t="str">
        <f>DanhsachNguoiluutru!B11</f>
        <v>Đào Nhật Bình</v>
      </c>
      <c r="B9" s="18" t="str">
        <f>DanhsachNguoiluutru!C11</f>
        <v>04/06/1992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019092637400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Thành Công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19</v>
      </c>
      <c r="S9" s="18" t="str">
        <f ca="1">INDEX(OFFSET(QuanHuyen!$C$1,MATCH(extracted!$R9,QuanHuyen!$A:$A,0)-1,0,10000,1),MATCH(DanhsachNguoiluutru!$O11,OFFSET(QuanHuyen!$B$1,MATCH(extracted!$R9,QuanHuyen!$A:$A,0)-1,0,10000,1), 0))</f>
        <v>172</v>
      </c>
      <c r="T9" s="18" t="str">
        <f ca="1">INDEX(OFFSET(PhuongXa!$C$1,MATCH(extracted!$S9,PhuongXa!$A:$A,0)-1,0,10000,1),MATCH(DanhsachNguoiluutru!$P11,OFFSET(PhuongXa!$B$1,MATCH(extracted!$S9,PhuongXa!$A:$A,0)-1,0,10000,1), 0))</f>
        <v>05881</v>
      </c>
      <c r="U9" s="18" t="str">
        <f>DanhsachNguoiluutru!Q11</f>
        <v>Thành Công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Thành Công, Xã Thành Công, Thị xã Phổ Yên, Tỉnh Thái Nguyên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03/07/2023</v>
      </c>
      <c r="Z9" s="18" t="str">
        <f>DanhsachNguoiluutru!T11</f>
        <v>04/07/2023</v>
      </c>
      <c r="AA9" s="18" t="str">
        <f>DanhsachNguoiluutru!U11</f>
        <v>Du Lịch</v>
      </c>
      <c r="AB9" s="18" t="e">
        <f>DanhsachNguoiluutru!#REF!</f>
        <v>#REF!</v>
      </c>
    </row>
    <row r="10" spans="1:28" x14ac:dyDescent="0.3">
      <c r="A10" s="18" t="str">
        <f>DanhsachNguoiluutru!B12</f>
        <v>Đào Hải Dương</v>
      </c>
      <c r="B10" s="18" t="str">
        <f>DanhsachNguoiluutru!C12</f>
        <v>04/09/1987</v>
      </c>
      <c r="C10" s="18" t="str">
        <f>INDEX(GioiTinh!$A:$A,MATCH(DanhsachNguoiluutru!D12,GioiTinh!$B:$B,0))</f>
        <v>2</v>
      </c>
      <c r="D10" s="18" t="str">
        <f>DanhsachNguoiluutru!D12</f>
        <v>Giới tính Nam</v>
      </c>
      <c r="E10" s="18" t="str">
        <f>DanhsachNguoiluutru!E12</f>
        <v>019087561725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Thành Công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19</v>
      </c>
      <c r="S10" s="18" t="str">
        <f ca="1">INDEX(OFFSET(QuanHuyen!$C$1,MATCH(extracted!$R10,QuanHuyen!$A:$A,0)-1,0,10000,1),MATCH(DanhsachNguoiluutru!$O12,OFFSET(QuanHuyen!$B$1,MATCH(extracted!$R10,QuanHuyen!$A:$A,0)-1,0,10000,1), 0))</f>
        <v>172</v>
      </c>
      <c r="T10" s="18" t="str">
        <f ca="1">INDEX(OFFSET(PhuongXa!$C$1,MATCH(extracted!$S10,PhuongXa!$A:$A,0)-1,0,10000,1),MATCH(DanhsachNguoiluutru!$P12,OFFSET(PhuongXa!$B$1,MATCH(extracted!$S10,PhuongXa!$A:$A,0)-1,0,10000,1), 0))</f>
        <v>05881</v>
      </c>
      <c r="U10" s="18" t="str">
        <f>DanhsachNguoiluutru!Q12</f>
        <v>Thành Công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Thành Công, Xã Thành Công, Thị xã Phổ Yên, Tỉnh Thái Nguyên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03/07/2023</v>
      </c>
      <c r="Z10" s="18" t="str">
        <f>DanhsachNguoiluutru!T12</f>
        <v>04/07/2023</v>
      </c>
      <c r="AA10" s="18" t="str">
        <f>DanhsachNguoiluutru!U12</f>
        <v>Du Lịch</v>
      </c>
      <c r="AB10" s="18" t="e">
        <f>DanhsachNguoiluutru!#REF!</f>
        <v>#REF!</v>
      </c>
    </row>
    <row r="11" spans="1:28" x14ac:dyDescent="0.3">
      <c r="A11" s="18" t="str">
        <f>DanhsachNguoiluutru!B13</f>
        <v>Phạm Phương Phương</v>
      </c>
      <c r="B11" s="18" t="str">
        <f>DanhsachNguoiluutru!C13</f>
        <v>15/06/1983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019183850336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Thành Công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19</v>
      </c>
      <c r="S11" s="18" t="str">
        <f ca="1">INDEX(OFFSET(QuanHuyen!$C$1,MATCH(extracted!$R11,QuanHuyen!$A:$A,0)-1,0,10000,1),MATCH(DanhsachNguoiluutru!$O13,OFFSET(QuanHuyen!$B$1,MATCH(extracted!$R11,QuanHuyen!$A:$A,0)-1,0,10000,1), 0))</f>
        <v>172</v>
      </c>
      <c r="T11" s="18" t="str">
        <f ca="1">INDEX(OFFSET(PhuongXa!$C$1,MATCH(extracted!$S11,PhuongXa!$A:$A,0)-1,0,10000,1),MATCH(DanhsachNguoiluutru!$P13,OFFSET(PhuongXa!$B$1,MATCH(extracted!$S11,PhuongXa!$A:$A,0)-1,0,10000,1), 0))</f>
        <v>05881</v>
      </c>
      <c r="U11" s="18" t="str">
        <f>DanhsachNguoiluutru!Q13</f>
        <v>Thành Công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Thành Công, Xã Thành Công, Thị xã Phổ Yên, Tỉnh Thái Nguyên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03/07/2023</v>
      </c>
      <c r="Z11" s="18" t="str">
        <f>DanhsachNguoiluutru!T13</f>
        <v>04/07/2023</v>
      </c>
      <c r="AA11" s="18" t="str">
        <f>DanhsachNguoiluutru!U13</f>
        <v>Du Lịch</v>
      </c>
      <c r="AB11" s="18" t="e">
        <f>DanhsachNguoiluutru!#REF!</f>
        <v>#REF!</v>
      </c>
    </row>
    <row r="12" spans="1:28" x14ac:dyDescent="0.3">
      <c r="A12" s="18" t="str">
        <f>DanhsachNguoiluutru!B14</f>
        <v>Dương Phương My</v>
      </c>
      <c r="B12" s="18" t="str">
        <f>DanhsachNguoiluutru!C14</f>
        <v>08/09/1991</v>
      </c>
      <c r="C12" s="18" t="str">
        <f>INDEX(GioiTinh!$A:$A,MATCH(DanhsachNguoiluutru!D14,GioiTinh!$B:$B,0))</f>
        <v>3</v>
      </c>
      <c r="D12" s="18" t="str">
        <f>DanhsachNguoiluutru!D14</f>
        <v>Giới tính Nữ</v>
      </c>
      <c r="E12" s="18" t="str">
        <f>DanhsachNguoiluutru!E14</f>
        <v>019191693429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Thành Công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19</v>
      </c>
      <c r="S12" s="18" t="str">
        <f ca="1">INDEX(OFFSET(QuanHuyen!$C$1,MATCH(extracted!$R12,QuanHuyen!$A:$A,0)-1,0,10000,1),MATCH(DanhsachNguoiluutru!$O14,OFFSET(QuanHuyen!$B$1,MATCH(extracted!$R12,QuanHuyen!$A:$A,0)-1,0,10000,1), 0))</f>
        <v>172</v>
      </c>
      <c r="T12" s="18" t="str">
        <f ca="1">INDEX(OFFSET(PhuongXa!$C$1,MATCH(extracted!$S12,PhuongXa!$A:$A,0)-1,0,10000,1),MATCH(DanhsachNguoiluutru!$P14,OFFSET(PhuongXa!$B$1,MATCH(extracted!$S12,PhuongXa!$A:$A,0)-1,0,10000,1), 0))</f>
        <v>05881</v>
      </c>
      <c r="U12" s="18" t="str">
        <f>DanhsachNguoiluutru!Q14</f>
        <v>Thành Công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Thành Công, Xã Thành Công, Thị xã Phổ Yên, Tỉnh Thái Nguyên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03/07/2023</v>
      </c>
      <c r="Z12" s="18" t="str">
        <f>DanhsachNguoiluutru!T14</f>
        <v>04/07/2023</v>
      </c>
      <c r="AA12" s="18" t="str">
        <f>DanhsachNguoiluutru!U14</f>
        <v>Du Lịch</v>
      </c>
      <c r="AB12" s="18" t="e">
        <f>DanhsachNguoiluutru!#REF!</f>
        <v>#REF!</v>
      </c>
    </row>
    <row r="13" spans="1:28" x14ac:dyDescent="0.3">
      <c r="A13" s="18" t="str">
        <f>DanhsachNguoiluutru!B15</f>
        <v>Hoàng Phúc An</v>
      </c>
      <c r="B13" s="18" t="str">
        <f>DanhsachNguoiluutru!C15</f>
        <v>07/07/1983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019083936392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Thành Công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19</v>
      </c>
      <c r="S13" s="18" t="str">
        <f ca="1">INDEX(OFFSET(QuanHuyen!$C$1,MATCH(extracted!$R13,QuanHuyen!$A:$A,0)-1,0,10000,1),MATCH(DanhsachNguoiluutru!$O15,OFFSET(QuanHuyen!$B$1,MATCH(extracted!$R13,QuanHuyen!$A:$A,0)-1,0,10000,1), 0))</f>
        <v>172</v>
      </c>
      <c r="T13" s="18" t="str">
        <f ca="1">INDEX(OFFSET(PhuongXa!$C$1,MATCH(extracted!$S13,PhuongXa!$A:$A,0)-1,0,10000,1),MATCH(DanhsachNguoiluutru!$P15,OFFSET(PhuongXa!$B$1,MATCH(extracted!$S13,PhuongXa!$A:$A,0)-1,0,10000,1), 0))</f>
        <v>05881</v>
      </c>
      <c r="U13" s="18" t="str">
        <f>DanhsachNguoiluutru!Q15</f>
        <v>Thành Công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Thành Công, Xã Thành Công, Thị xã Phổ Yên, Tỉnh Thái Nguyên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03/07/2023</v>
      </c>
      <c r="Z13" s="18" t="str">
        <f>DanhsachNguoiluutru!T15</f>
        <v>04/07/2023</v>
      </c>
      <c r="AA13" s="18" t="str">
        <f>DanhsachNguoiluutru!U15</f>
        <v>Du Lịch</v>
      </c>
      <c r="AB13" s="18" t="e">
        <f>DanhsachNguoiluutru!#REF!</f>
        <v>#REF!</v>
      </c>
    </row>
    <row r="14" spans="1:28" x14ac:dyDescent="0.3">
      <c r="A14" s="18" t="str">
        <f>DanhsachNguoiluutru!B16</f>
        <v>Võ Thu Ngọc</v>
      </c>
      <c r="B14" s="18" t="str">
        <f>DanhsachNguoiluutru!C16</f>
        <v>28/09/1983</v>
      </c>
      <c r="C14" s="18" t="str">
        <f>INDEX(GioiTinh!$A:$A,MATCH(DanhsachNguoiluutru!D16,GioiTinh!$B:$B,0))</f>
        <v>3</v>
      </c>
      <c r="D14" s="18" t="str">
        <f>DanhsachNguoiluutru!D16</f>
        <v>Giới tính Nữ</v>
      </c>
      <c r="E14" s="18" t="str">
        <f>DanhsachNguoiluutru!E16</f>
        <v>019183673085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Thành Công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19</v>
      </c>
      <c r="S14" s="18" t="str">
        <f ca="1">INDEX(OFFSET(QuanHuyen!$C$1,MATCH(extracted!$R14,QuanHuyen!$A:$A,0)-1,0,10000,1),MATCH(DanhsachNguoiluutru!$O16,OFFSET(QuanHuyen!$B$1,MATCH(extracted!$R14,QuanHuyen!$A:$A,0)-1,0,10000,1), 0))</f>
        <v>172</v>
      </c>
      <c r="T14" s="18" t="str">
        <f ca="1">INDEX(OFFSET(PhuongXa!$C$1,MATCH(extracted!$S14,PhuongXa!$A:$A,0)-1,0,10000,1),MATCH(DanhsachNguoiluutru!$P16,OFFSET(PhuongXa!$B$1,MATCH(extracted!$S14,PhuongXa!$A:$A,0)-1,0,10000,1), 0))</f>
        <v>05881</v>
      </c>
      <c r="U14" s="18" t="str">
        <f>DanhsachNguoiluutru!Q16</f>
        <v>Thành Công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Thành Công, Xã Thành Công, Thị xã Phổ Yên, Tỉnh Thái Nguyên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03/07/2023</v>
      </c>
      <c r="Z14" s="18" t="str">
        <f>DanhsachNguoiluutru!T16</f>
        <v>04/07/2023</v>
      </c>
      <c r="AA14" s="18" t="str">
        <f>DanhsachNguoiluutru!U16</f>
        <v>Du Lịch</v>
      </c>
      <c r="AB14" s="18" t="e">
        <f>DanhsachNguoiluutru!#REF!</f>
        <v>#REF!</v>
      </c>
    </row>
    <row r="15" spans="1:28" x14ac:dyDescent="0.3">
      <c r="A15" s="18" t="str">
        <f>DanhsachNguoiluutru!B17</f>
        <v>Đinh Tuấn Thành</v>
      </c>
      <c r="B15" s="18" t="str">
        <f>DanhsachNguoiluutru!C17</f>
        <v>24/03/1981</v>
      </c>
      <c r="C15" s="18" t="str">
        <f>INDEX(GioiTinh!$A:$A,MATCH(DanhsachNguoiluutru!D17,GioiTinh!$B:$B,0))</f>
        <v>2</v>
      </c>
      <c r="D15" s="18" t="str">
        <f>DanhsachNguoiluutru!D17</f>
        <v>Giới tính Nam</v>
      </c>
      <c r="E15" s="18" t="str">
        <f>DanhsachNguoiluutru!E17</f>
        <v>019081410853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Thành Công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19</v>
      </c>
      <c r="S15" s="18" t="str">
        <f ca="1">INDEX(OFFSET(QuanHuyen!$C$1,MATCH(extracted!$R15,QuanHuyen!$A:$A,0)-1,0,10000,1),MATCH(DanhsachNguoiluutru!$O17,OFFSET(QuanHuyen!$B$1,MATCH(extracted!$R15,QuanHuyen!$A:$A,0)-1,0,10000,1), 0))</f>
        <v>172</v>
      </c>
      <c r="T15" s="18" t="str">
        <f ca="1">INDEX(OFFSET(PhuongXa!$C$1,MATCH(extracted!$S15,PhuongXa!$A:$A,0)-1,0,10000,1),MATCH(DanhsachNguoiluutru!$P17,OFFSET(PhuongXa!$B$1,MATCH(extracted!$S15,PhuongXa!$A:$A,0)-1,0,10000,1), 0))</f>
        <v>05881</v>
      </c>
      <c r="U15" s="18" t="str">
        <f>DanhsachNguoiluutru!Q17</f>
        <v>Thành Công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Thành Công, Xã Thành Công, Thị xã Phổ Yên, Tỉnh Thái Nguyên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03/07/2023</v>
      </c>
      <c r="Z15" s="18" t="str">
        <f>DanhsachNguoiluutru!T17</f>
        <v>04/07/2023</v>
      </c>
      <c r="AA15" s="18" t="str">
        <f>DanhsachNguoiluutru!U17</f>
        <v>Du Lịch</v>
      </c>
      <c r="AB15" s="18" t="e">
        <f>DanhsachNguoiluutru!#REF!</f>
        <v>#REF!</v>
      </c>
    </row>
    <row r="16" spans="1:28" x14ac:dyDescent="0.3">
      <c r="A16" s="18" t="str">
        <f>DanhsachNguoiluutru!B18</f>
        <v>Phan Phúc Cường</v>
      </c>
      <c r="B16" s="18" t="str">
        <f>DanhsachNguoiluutru!C18</f>
        <v>18/03/1990</v>
      </c>
      <c r="C16" s="18" t="str">
        <f>INDEX(GioiTinh!$A:$A,MATCH(DanhsachNguoiluutru!D18,GioiTinh!$B:$B,0))</f>
        <v>2</v>
      </c>
      <c r="D16" s="18" t="str">
        <f>DanhsachNguoiluutru!D18</f>
        <v>Giới tính Nam</v>
      </c>
      <c r="E16" s="18" t="str">
        <f>DanhsachNguoiluutru!E18</f>
        <v>019090688788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Thành Công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19</v>
      </c>
      <c r="S16" s="18" t="str">
        <f ca="1">INDEX(OFFSET(QuanHuyen!$C$1,MATCH(extracted!$R16,QuanHuyen!$A:$A,0)-1,0,10000,1),MATCH(DanhsachNguoiluutru!$O18,OFFSET(QuanHuyen!$B$1,MATCH(extracted!$R16,QuanHuyen!$A:$A,0)-1,0,10000,1), 0))</f>
        <v>172</v>
      </c>
      <c r="T16" s="18" t="str">
        <f ca="1">INDEX(OFFSET(PhuongXa!$C$1,MATCH(extracted!$S16,PhuongXa!$A:$A,0)-1,0,10000,1),MATCH(DanhsachNguoiluutru!$P18,OFFSET(PhuongXa!$B$1,MATCH(extracted!$S16,PhuongXa!$A:$A,0)-1,0,10000,1), 0))</f>
        <v>05881</v>
      </c>
      <c r="U16" s="18" t="str">
        <f>DanhsachNguoiluutru!Q18</f>
        <v>Thành Công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Thành Công, Xã Thành Công, Thị xã Phổ Yên, Tỉnh Thái Nguyên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03/07/2023</v>
      </c>
      <c r="Z16" s="18" t="str">
        <f>DanhsachNguoiluutru!T18</f>
        <v>04/07/2023</v>
      </c>
      <c r="AA16" s="18" t="str">
        <f>DanhsachNguoiluutru!U18</f>
        <v>Du Lịch</v>
      </c>
      <c r="AB16" s="18" t="e">
        <f>DanhsachNguoiluutru!#REF!</f>
        <v>#REF!</v>
      </c>
    </row>
    <row r="17" spans="1:28" x14ac:dyDescent="0.3">
      <c r="A17" s="18" t="str">
        <f>DanhsachNguoiluutru!B19</f>
        <v>Huỳnh Ngọc Thảo</v>
      </c>
      <c r="B17" s="18" t="str">
        <f>DanhsachNguoiluutru!C19</f>
        <v>02/01/1981</v>
      </c>
      <c r="C17" s="18" t="str">
        <f>INDEX(GioiTinh!$A:$A,MATCH(DanhsachNguoiluutru!D19,GioiTinh!$B:$B,0))</f>
        <v>3</v>
      </c>
      <c r="D17" s="18" t="str">
        <f>DanhsachNguoiluutru!D19</f>
        <v>Giới tính Nữ</v>
      </c>
      <c r="E17" s="18" t="str">
        <f>DanhsachNguoiluutru!E19</f>
        <v>019181408712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str">
        <f>INDEX(NgheNghiep!$A:$A,MATCH(DanhsachNguoiluutru!I19,NgheNghiep!$B:$B,0))</f>
        <v>TUDO</v>
      </c>
      <c r="J17" s="18" t="str">
        <f>DanhsachNguoiluutru!I19</f>
        <v>Tự do</v>
      </c>
      <c r="K17" s="18" t="str">
        <f>DanhsachNguoiluutru!J19</f>
        <v>Thành Công</v>
      </c>
      <c r="L17" s="18" t="str">
        <f>INDEX(DanToc!$A:$A,MATCH(DanhsachNguoiluutru!K19,DanToc!$B:$B,0))</f>
        <v>01</v>
      </c>
      <c r="M17" s="18" t="str">
        <f>DanhsachNguoiluutru!K19</f>
        <v>Kinh</v>
      </c>
      <c r="N17" s="18" t="str">
        <f>INDEX(QuocTich!$A:$A,MATCH(DanhsachNguoiluutru!L19,QuocTich!$B:$B,0))</f>
        <v>VN</v>
      </c>
      <c r="O17" s="18" t="str">
        <f>DanhsachNguoiluutru!L19</f>
        <v>Việt Nam</v>
      </c>
      <c r="P17" s="18" t="str">
        <f>INDEX(QuocGia!$A:$A,MATCH(DanhsachNguoiluutru!M19,QuocGia!$B:$B,0))</f>
        <v>VN</v>
      </c>
      <c r="Q17" s="18" t="str">
        <f>DanhsachNguoiluutru!M19</f>
        <v>Cộng hòa xã hội chủ nghĩa Việt Nam</v>
      </c>
      <c r="R17" s="18" t="str">
        <f>INDEX(TinhThanh!$C:$C,MATCH(DanhsachNguoiluutru!N19,TinhThanh!$B:$B,0))</f>
        <v>19</v>
      </c>
      <c r="S17" s="18" t="str">
        <f ca="1">INDEX(OFFSET(QuanHuyen!$C$1,MATCH(extracted!$R17,QuanHuyen!$A:$A,0)-1,0,10000,1),MATCH(DanhsachNguoiluutru!$O19,OFFSET(QuanHuyen!$B$1,MATCH(extracted!$R17,QuanHuyen!$A:$A,0)-1,0,10000,1), 0))</f>
        <v>172</v>
      </c>
      <c r="T17" s="18" t="str">
        <f ca="1">INDEX(OFFSET(PhuongXa!$C$1,MATCH(extracted!$S17,PhuongXa!$A:$A,0)-1,0,10000,1),MATCH(DanhsachNguoiluutru!$P19,OFFSET(PhuongXa!$B$1,MATCH(extracted!$S17,PhuongXa!$A:$A,0)-1,0,10000,1), 0))</f>
        <v>05881</v>
      </c>
      <c r="U17" s="18" t="str">
        <f>DanhsachNguoiluutru!Q19</f>
        <v>Thành Công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Thành Công, Xã Thành Công, Thị xã Phổ Yên, Tỉnh Thái Nguyên</v>
      </c>
      <c r="W17" s="18">
        <f>VLOOKUP(DanhsachNguoiluutru!$R19,DanhMuc!$A$2:$B$4,2,FALSE)</f>
        <v>1</v>
      </c>
      <c r="X17" s="18" t="str">
        <f>DanhsachNguoiluutru!R19</f>
        <v>Tạm trú</v>
      </c>
      <c r="Y17" s="18" t="str">
        <f>DanhsachNguoiluutru!S19</f>
        <v>03/07/2023</v>
      </c>
      <c r="Z17" s="18" t="str">
        <f>DanhsachNguoiluutru!T19</f>
        <v>04/07/2023</v>
      </c>
      <c r="AA17" s="18" t="str">
        <f>DanhsachNguoiluutru!U19</f>
        <v>Du Lịch</v>
      </c>
      <c r="AB17" s="18">
        <f>DanhsachNguoiluutru!V11</f>
        <v>207</v>
      </c>
    </row>
    <row r="18" spans="1:28" x14ac:dyDescent="0.3">
      <c r="A18" s="18" t="str">
        <f>DanhsachNguoiluutru!B20</f>
        <v>Huỳnh Gia Khánh</v>
      </c>
      <c r="B18" s="18" t="str">
        <f>DanhsachNguoiluutru!C20</f>
        <v>19/02/1990</v>
      </c>
      <c r="C18" s="18" t="str">
        <f>INDEX(GioiTinh!$A:$A,MATCH(DanhsachNguoiluutru!D20,GioiTinh!$B:$B,0))</f>
        <v>2</v>
      </c>
      <c r="D18" s="18" t="str">
        <f>DanhsachNguoiluutru!D20</f>
        <v>Giới tính Nam</v>
      </c>
      <c r="E18" s="18" t="str">
        <f>DanhsachNguoiluutru!E20</f>
        <v>019090321405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str">
        <f>INDEX(NgheNghiep!$A:$A,MATCH(DanhsachNguoiluutru!I20,NgheNghiep!$B:$B,0))</f>
        <v>TUDO</v>
      </c>
      <c r="J18" s="18" t="str">
        <f>DanhsachNguoiluutru!I20</f>
        <v>Tự do</v>
      </c>
      <c r="K18" s="18" t="str">
        <f>DanhsachNguoiluutru!J20</f>
        <v>Thành Công</v>
      </c>
      <c r="L18" s="18" t="str">
        <f>INDEX(DanToc!$A:$A,MATCH(DanhsachNguoiluutru!K20,DanToc!$B:$B,0))</f>
        <v>01</v>
      </c>
      <c r="M18" s="18" t="str">
        <f>DanhsachNguoiluutru!K20</f>
        <v>Kinh</v>
      </c>
      <c r="N18" s="18" t="str">
        <f>INDEX(QuocTich!$A:$A,MATCH(DanhsachNguoiluutru!L20,QuocTich!$B:$B,0))</f>
        <v>VN</v>
      </c>
      <c r="O18" s="18" t="str">
        <f>DanhsachNguoiluutru!L20</f>
        <v>Việt Nam</v>
      </c>
      <c r="P18" s="18" t="str">
        <f>INDEX(QuocGia!$A:$A,MATCH(DanhsachNguoiluutru!M20,QuocGia!$B:$B,0))</f>
        <v>VN</v>
      </c>
      <c r="Q18" s="18" t="str">
        <f>DanhsachNguoiluutru!M20</f>
        <v>Cộng hòa xã hội chủ nghĩa Việt Nam</v>
      </c>
      <c r="R18" s="18" t="str">
        <f>INDEX(TinhThanh!$C:$C,MATCH(DanhsachNguoiluutru!N20,TinhThanh!$B:$B,0))</f>
        <v>19</v>
      </c>
      <c r="S18" s="18" t="str">
        <f ca="1">INDEX(OFFSET(QuanHuyen!$C$1,MATCH(extracted!$R18,QuanHuyen!$A:$A,0)-1,0,10000,1),MATCH(DanhsachNguoiluutru!$O20,OFFSET(QuanHuyen!$B$1,MATCH(extracted!$R18,QuanHuyen!$A:$A,0)-1,0,10000,1), 0))</f>
        <v>172</v>
      </c>
      <c r="T18" s="18" t="str">
        <f ca="1">INDEX(OFFSET(PhuongXa!$C$1,MATCH(extracted!$S18,PhuongXa!$A:$A,0)-1,0,10000,1),MATCH(DanhsachNguoiluutru!$P20,OFFSET(PhuongXa!$B$1,MATCH(extracted!$S18,PhuongXa!$A:$A,0)-1,0,10000,1), 0))</f>
        <v>05881</v>
      </c>
      <c r="U18" s="18" t="str">
        <f>DanhsachNguoiluutru!Q20</f>
        <v>Thành Công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Thành Công, Xã Thành Công, Thị xã Phổ Yên, Tỉnh Thái Nguyên</v>
      </c>
      <c r="W18" s="18">
        <f>VLOOKUP(DanhsachNguoiluutru!$R20,DanhMuc!$A$2:$B$4,2,FALSE)</f>
        <v>1</v>
      </c>
      <c r="X18" s="18" t="str">
        <f>DanhsachNguoiluutru!R20</f>
        <v>Tạm trú</v>
      </c>
      <c r="Y18" s="18" t="str">
        <f>DanhsachNguoiluutru!S20</f>
        <v>03/07/2023</v>
      </c>
      <c r="Z18" s="18" t="str">
        <f>DanhsachNguoiluutru!T20</f>
        <v>04/07/2023</v>
      </c>
      <c r="AA18" s="18" t="str">
        <f>DanhsachNguoiluutru!U20</f>
        <v>Du Lịch</v>
      </c>
      <c r="AB18" s="18">
        <f>DanhsachNguoiluutru!V12</f>
        <v>207</v>
      </c>
    </row>
    <row r="19" spans="1:28" x14ac:dyDescent="0.3">
      <c r="A19" s="18" t="str">
        <f>DanhsachNguoiluutru!B21</f>
        <v>Lý Gia Phúc</v>
      </c>
      <c r="B19" s="18" t="str">
        <f>DanhsachNguoiluutru!C21</f>
        <v>05/04/1989</v>
      </c>
      <c r="C19" s="18" t="str">
        <f>INDEX(GioiTinh!$A:$A,MATCH(DanhsachNguoiluutru!D21,GioiTinh!$B:$B,0))</f>
        <v>2</v>
      </c>
      <c r="D19" s="18" t="str">
        <f>DanhsachNguoiluutru!D21</f>
        <v>Giới tính Nam</v>
      </c>
      <c r="E19" s="18" t="str">
        <f>DanhsachNguoiluutru!E21</f>
        <v>019089564865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str">
        <f>INDEX(NgheNghiep!$A:$A,MATCH(DanhsachNguoiluutru!I21,NgheNghiep!$B:$B,0))</f>
        <v>TUDO</v>
      </c>
      <c r="J19" s="18" t="str">
        <f>DanhsachNguoiluutru!I21</f>
        <v>Tự do</v>
      </c>
      <c r="K19" s="18" t="str">
        <f>DanhsachNguoiluutru!J21</f>
        <v>Thành Công</v>
      </c>
      <c r="L19" s="18" t="str">
        <f>INDEX(DanToc!$A:$A,MATCH(DanhsachNguoiluutru!K21,DanToc!$B:$B,0))</f>
        <v>01</v>
      </c>
      <c r="M19" s="18" t="str">
        <f>DanhsachNguoiluutru!K21</f>
        <v>Kinh</v>
      </c>
      <c r="N19" s="18" t="str">
        <f>INDEX(QuocTich!$A:$A,MATCH(DanhsachNguoiluutru!L21,QuocTich!$B:$B,0))</f>
        <v>VN</v>
      </c>
      <c r="O19" s="18" t="str">
        <f>DanhsachNguoiluutru!L21</f>
        <v>Việt Nam</v>
      </c>
      <c r="P19" s="18" t="str">
        <f>INDEX(QuocGia!$A:$A,MATCH(DanhsachNguoiluutru!M21,QuocGia!$B:$B,0))</f>
        <v>VN</v>
      </c>
      <c r="Q19" s="18" t="str">
        <f>DanhsachNguoiluutru!M21</f>
        <v>Cộng hòa xã hội chủ nghĩa Việt Nam</v>
      </c>
      <c r="R19" s="18" t="str">
        <f>INDEX(TinhThanh!$C:$C,MATCH(DanhsachNguoiluutru!N21,TinhThanh!$B:$B,0))</f>
        <v>19</v>
      </c>
      <c r="S19" s="18" t="str">
        <f ca="1">INDEX(OFFSET(QuanHuyen!$C$1,MATCH(extracted!$R19,QuanHuyen!$A:$A,0)-1,0,10000,1),MATCH(DanhsachNguoiluutru!$O21,OFFSET(QuanHuyen!$B$1,MATCH(extracted!$R19,QuanHuyen!$A:$A,0)-1,0,10000,1), 0))</f>
        <v>172</v>
      </c>
      <c r="T19" s="18" t="str">
        <f ca="1">INDEX(OFFSET(PhuongXa!$C$1,MATCH(extracted!$S19,PhuongXa!$A:$A,0)-1,0,10000,1),MATCH(DanhsachNguoiluutru!$P21,OFFSET(PhuongXa!$B$1,MATCH(extracted!$S19,PhuongXa!$A:$A,0)-1,0,10000,1), 0))</f>
        <v>05881</v>
      </c>
      <c r="U19" s="18" t="str">
        <f>DanhsachNguoiluutru!Q21</f>
        <v>Thành Công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Thành Công, Xã Thành Công, Thị xã Phổ Yên, Tỉnh Thái Nguyên</v>
      </c>
      <c r="W19" s="18">
        <f>VLOOKUP(DanhsachNguoiluutru!$R21,DanhMuc!$A$2:$B$4,2,FALSE)</f>
        <v>1</v>
      </c>
      <c r="X19" s="18" t="str">
        <f>DanhsachNguoiluutru!R21</f>
        <v>Tạm trú</v>
      </c>
      <c r="Y19" s="18" t="str">
        <f>DanhsachNguoiluutru!S21</f>
        <v>03/07/2023</v>
      </c>
      <c r="Z19" s="18" t="str">
        <f>DanhsachNguoiluutru!T21</f>
        <v>04/07/2023</v>
      </c>
      <c r="AA19" s="18" t="str">
        <f>DanhsachNguoiluutru!U21</f>
        <v>Du Lịch</v>
      </c>
      <c r="AB19" s="18">
        <f>DanhsachNguoiluutru!V13</f>
        <v>207</v>
      </c>
    </row>
    <row r="20" spans="1:28" x14ac:dyDescent="0.3">
      <c r="A20" s="18" t="str">
        <f>DanhsachNguoiluutru!B22</f>
        <v>Trương Linh Oanh</v>
      </c>
      <c r="B20" s="18" t="str">
        <f>DanhsachNguoiluutru!C22</f>
        <v>17/11/1979</v>
      </c>
      <c r="C20" s="18" t="str">
        <f>INDEX(GioiTinh!$A:$A,MATCH(DanhsachNguoiluutru!D22,GioiTinh!$B:$B,0))</f>
        <v>3</v>
      </c>
      <c r="D20" s="18" t="str">
        <f>DanhsachNguoiluutru!D22</f>
        <v>Giới tính Nữ</v>
      </c>
      <c r="E20" s="18" t="str">
        <f>DanhsachNguoiluutru!E22</f>
        <v>019179102923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str">
        <f>INDEX(NgheNghiep!$A:$A,MATCH(DanhsachNguoiluutru!I22,NgheNghiep!$B:$B,0))</f>
        <v>TUDO</v>
      </c>
      <c r="J20" s="18" t="str">
        <f>DanhsachNguoiluutru!I22</f>
        <v>Tự do</v>
      </c>
      <c r="K20" s="18" t="str">
        <f>DanhsachNguoiluutru!J22</f>
        <v>Thành Công</v>
      </c>
      <c r="L20" s="18" t="str">
        <f>INDEX(DanToc!$A:$A,MATCH(DanhsachNguoiluutru!K22,DanToc!$B:$B,0))</f>
        <v>01</v>
      </c>
      <c r="M20" s="18" t="str">
        <f>DanhsachNguoiluutru!K22</f>
        <v>Kinh</v>
      </c>
      <c r="N20" s="18" t="str">
        <f>INDEX(QuocTich!$A:$A,MATCH(DanhsachNguoiluutru!L22,QuocTich!$B:$B,0))</f>
        <v>VN</v>
      </c>
      <c r="O20" s="18" t="str">
        <f>DanhsachNguoiluutru!L22</f>
        <v>Việt Nam</v>
      </c>
      <c r="P20" s="18" t="str">
        <f>INDEX(QuocGia!$A:$A,MATCH(DanhsachNguoiluutru!M22,QuocGia!$B:$B,0))</f>
        <v>VN</v>
      </c>
      <c r="Q20" s="18" t="str">
        <f>DanhsachNguoiluutru!M22</f>
        <v>Cộng hòa xã hội chủ nghĩa Việt Nam</v>
      </c>
      <c r="R20" s="18" t="str">
        <f>INDEX(TinhThanh!$C:$C,MATCH(DanhsachNguoiluutru!N22,TinhThanh!$B:$B,0))</f>
        <v>19</v>
      </c>
      <c r="S20" s="18" t="str">
        <f ca="1">INDEX(OFFSET(QuanHuyen!$C$1,MATCH(extracted!$R20,QuanHuyen!$A:$A,0)-1,0,10000,1),MATCH(DanhsachNguoiluutru!$O22,OFFSET(QuanHuyen!$B$1,MATCH(extracted!$R20,QuanHuyen!$A:$A,0)-1,0,10000,1), 0))</f>
        <v>172</v>
      </c>
      <c r="T20" s="18" t="str">
        <f ca="1">INDEX(OFFSET(PhuongXa!$C$1,MATCH(extracted!$S20,PhuongXa!$A:$A,0)-1,0,10000,1),MATCH(DanhsachNguoiluutru!$P22,OFFSET(PhuongXa!$B$1,MATCH(extracted!$S20,PhuongXa!$A:$A,0)-1,0,10000,1), 0))</f>
        <v>05881</v>
      </c>
      <c r="U20" s="18" t="str">
        <f>DanhsachNguoiluutru!Q22</f>
        <v>Thành Công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Thành Công, Xã Thành Công, Thị xã Phổ Yên, Tỉnh Thái Nguyên</v>
      </c>
      <c r="W20" s="18">
        <f>VLOOKUP(DanhsachNguoiluutru!$R22,DanhMuc!$A$2:$B$4,2,FALSE)</f>
        <v>1</v>
      </c>
      <c r="X20" s="18" t="str">
        <f>DanhsachNguoiluutru!R22</f>
        <v>Tạm trú</v>
      </c>
      <c r="Y20" s="18" t="str">
        <f>DanhsachNguoiluutru!S22</f>
        <v>03/07/2023</v>
      </c>
      <c r="Z20" s="18" t="str">
        <f>DanhsachNguoiluutru!T22</f>
        <v>04/07/2023</v>
      </c>
      <c r="AA20" s="18" t="str">
        <f>DanhsachNguoiluutru!U22</f>
        <v>Du Lịch</v>
      </c>
      <c r="AB20" s="18">
        <f>DanhsachNguoiluutru!V14</f>
        <v>207</v>
      </c>
    </row>
    <row r="21" spans="1:28" x14ac:dyDescent="0.3">
      <c r="A21" s="18" t="str">
        <f>DanhsachNguoiluutru!B23</f>
        <v>Vũ Hạnh Trang</v>
      </c>
      <c r="B21" s="18" t="str">
        <f>DanhsachNguoiluutru!C23</f>
        <v>13/07/1984</v>
      </c>
      <c r="C21" s="18" t="str">
        <f>INDEX(GioiTinh!$A:$A,MATCH(DanhsachNguoiluutru!D23,GioiTinh!$B:$B,0))</f>
        <v>3</v>
      </c>
      <c r="D21" s="18" t="str">
        <f>DanhsachNguoiluutru!D23</f>
        <v>Giới tính Nữ</v>
      </c>
      <c r="E21" s="18" t="str">
        <f>DanhsachNguoiluutru!E23</f>
        <v>019184964772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str">
        <f>INDEX(NgheNghiep!$A:$A,MATCH(DanhsachNguoiluutru!I23,NgheNghiep!$B:$B,0))</f>
        <v>TUDO</v>
      </c>
      <c r="J21" s="18" t="str">
        <f>DanhsachNguoiluutru!I23</f>
        <v>Tự do</v>
      </c>
      <c r="K21" s="18" t="str">
        <f>DanhsachNguoiluutru!J23</f>
        <v>Thành Công</v>
      </c>
      <c r="L21" s="18" t="str">
        <f>INDEX(DanToc!$A:$A,MATCH(DanhsachNguoiluutru!K23,DanToc!$B:$B,0))</f>
        <v>01</v>
      </c>
      <c r="M21" s="18" t="str">
        <f>DanhsachNguoiluutru!K23</f>
        <v>Kinh</v>
      </c>
      <c r="N21" s="18" t="str">
        <f>INDEX(QuocTich!$A:$A,MATCH(DanhsachNguoiluutru!L23,QuocTich!$B:$B,0))</f>
        <v>VN</v>
      </c>
      <c r="O21" s="18" t="str">
        <f>DanhsachNguoiluutru!L23</f>
        <v>Việt Nam</v>
      </c>
      <c r="P21" s="18" t="str">
        <f>INDEX(QuocGia!$A:$A,MATCH(DanhsachNguoiluutru!M23,QuocGia!$B:$B,0))</f>
        <v>VN</v>
      </c>
      <c r="Q21" s="18" t="str">
        <f>DanhsachNguoiluutru!M23</f>
        <v>Cộng hòa xã hội chủ nghĩa Việt Nam</v>
      </c>
      <c r="R21" s="18" t="str">
        <f>INDEX(TinhThanh!$C:$C,MATCH(DanhsachNguoiluutru!N23,TinhThanh!$B:$B,0))</f>
        <v>19</v>
      </c>
      <c r="S21" s="18" t="str">
        <f ca="1">INDEX(OFFSET(QuanHuyen!$C$1,MATCH(extracted!$R21,QuanHuyen!$A:$A,0)-1,0,10000,1),MATCH(DanhsachNguoiluutru!$O23,OFFSET(QuanHuyen!$B$1,MATCH(extracted!$R21,QuanHuyen!$A:$A,0)-1,0,10000,1), 0))</f>
        <v>172</v>
      </c>
      <c r="T21" s="18" t="str">
        <f ca="1">INDEX(OFFSET(PhuongXa!$C$1,MATCH(extracted!$S21,PhuongXa!$A:$A,0)-1,0,10000,1),MATCH(DanhsachNguoiluutru!$P23,OFFSET(PhuongXa!$B$1,MATCH(extracted!$S21,PhuongXa!$A:$A,0)-1,0,10000,1), 0))</f>
        <v>05881</v>
      </c>
      <c r="U21" s="18" t="str">
        <f>DanhsachNguoiluutru!Q23</f>
        <v>Thành Công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>Thành Công, Xã Thành Công, Thị xã Phổ Yên, Tỉnh Thái Nguyên</v>
      </c>
      <c r="W21" s="18">
        <f>VLOOKUP(DanhsachNguoiluutru!$R23,DanhMuc!$A$2:$B$4,2,FALSE)</f>
        <v>1</v>
      </c>
      <c r="X21" s="18" t="str">
        <f>DanhsachNguoiluutru!R23</f>
        <v>Tạm trú</v>
      </c>
      <c r="Y21" s="18" t="str">
        <f>DanhsachNguoiluutru!S23</f>
        <v>03/07/2023</v>
      </c>
      <c r="Z21" s="18" t="str">
        <f>DanhsachNguoiluutru!T23</f>
        <v>04/07/2023</v>
      </c>
      <c r="AA21" s="18" t="str">
        <f>DanhsachNguoiluutru!U23</f>
        <v>Du Lịch</v>
      </c>
      <c r="AB21" s="18">
        <f>DanhsachNguoiluutru!V15</f>
        <v>603</v>
      </c>
    </row>
    <row r="22" spans="1:28" x14ac:dyDescent="0.3">
      <c r="A22" s="18" t="str">
        <f>DanhsachNguoiluutru!B24</f>
        <v>Thái Hạnh Oanh</v>
      </c>
      <c r="B22" s="18" t="str">
        <f>DanhsachNguoiluutru!C24</f>
        <v>25/07/1987</v>
      </c>
      <c r="C22" s="18" t="str">
        <f>INDEX(GioiTinh!$A:$A,MATCH(DanhsachNguoiluutru!D24,GioiTinh!$B:$B,0))</f>
        <v>3</v>
      </c>
      <c r="D22" s="18" t="str">
        <f>DanhsachNguoiluutru!D24</f>
        <v>Giới tính Nữ</v>
      </c>
      <c r="E22" s="18" t="str">
        <f>DanhsachNguoiluutru!E24</f>
        <v>019187349401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str">
        <f>INDEX(NgheNghiep!$A:$A,MATCH(DanhsachNguoiluutru!I24,NgheNghiep!$B:$B,0))</f>
        <v>TUDO</v>
      </c>
      <c r="J22" s="18" t="str">
        <f>DanhsachNguoiluutru!I24</f>
        <v>Tự do</v>
      </c>
      <c r="K22" s="18" t="str">
        <f>DanhsachNguoiluutru!J24</f>
        <v>Thành Công</v>
      </c>
      <c r="L22" s="18" t="str">
        <f>INDEX(DanToc!$A:$A,MATCH(DanhsachNguoiluutru!K24,DanToc!$B:$B,0))</f>
        <v>01</v>
      </c>
      <c r="M22" s="18" t="str">
        <f>DanhsachNguoiluutru!K24</f>
        <v>Kinh</v>
      </c>
      <c r="N22" s="18" t="str">
        <f>INDEX(QuocTich!$A:$A,MATCH(DanhsachNguoiluutru!L24,QuocTich!$B:$B,0))</f>
        <v>VN</v>
      </c>
      <c r="O22" s="18" t="str">
        <f>DanhsachNguoiluutru!L24</f>
        <v>Việt Nam</v>
      </c>
      <c r="P22" s="18" t="str">
        <f>INDEX(QuocGia!$A:$A,MATCH(DanhsachNguoiluutru!M24,QuocGia!$B:$B,0))</f>
        <v>VN</v>
      </c>
      <c r="Q22" s="18" t="str">
        <f>DanhsachNguoiluutru!M24</f>
        <v>Cộng hòa xã hội chủ nghĩa Việt Nam</v>
      </c>
      <c r="R22" s="18" t="str">
        <f>INDEX(TinhThanh!$C:$C,MATCH(DanhsachNguoiluutru!N24,TinhThanh!$B:$B,0))</f>
        <v>19</v>
      </c>
      <c r="S22" s="18" t="str">
        <f ca="1">INDEX(OFFSET(QuanHuyen!$C$1,MATCH(extracted!$R22,QuanHuyen!$A:$A,0)-1,0,10000,1),MATCH(DanhsachNguoiluutru!$O24,OFFSET(QuanHuyen!$B$1,MATCH(extracted!$R22,QuanHuyen!$A:$A,0)-1,0,10000,1), 0))</f>
        <v>172</v>
      </c>
      <c r="T22" s="18" t="str">
        <f ca="1">INDEX(OFFSET(PhuongXa!$C$1,MATCH(extracted!$S22,PhuongXa!$A:$A,0)-1,0,10000,1),MATCH(DanhsachNguoiluutru!$P24,OFFSET(PhuongXa!$B$1,MATCH(extracted!$S22,PhuongXa!$A:$A,0)-1,0,10000,1), 0))</f>
        <v>05881</v>
      </c>
      <c r="U22" s="18" t="str">
        <f>DanhsachNguoiluutru!Q24</f>
        <v>Thành Công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>Thành Công, Xã Thành Công, Thị xã Phổ Yên, Tỉnh Thái Nguyên</v>
      </c>
      <c r="W22" s="18">
        <f>VLOOKUP(DanhsachNguoiluutru!$R24,DanhMuc!$A$2:$B$4,2,FALSE)</f>
        <v>1</v>
      </c>
      <c r="X22" s="18" t="str">
        <f>DanhsachNguoiluutru!R24</f>
        <v>Tạm trú</v>
      </c>
      <c r="Y22" s="18" t="str">
        <f>DanhsachNguoiluutru!S24</f>
        <v>03/07/2023</v>
      </c>
      <c r="Z22" s="18" t="str">
        <f>DanhsachNguoiluutru!T24</f>
        <v>04/07/2023</v>
      </c>
      <c r="AA22" s="18" t="str">
        <f>DanhsachNguoiluutru!U24</f>
        <v>Du Lịch</v>
      </c>
      <c r="AB22" s="18">
        <f>DanhsachNguoiluutru!V16</f>
        <v>603</v>
      </c>
    </row>
    <row r="23" spans="1:28" x14ac:dyDescent="0.3">
      <c r="A23" s="18" t="str">
        <f>DanhsachNguoiluutru!B25</f>
        <v>Lương Hạnh Quỳnh</v>
      </c>
      <c r="B23" s="18" t="str">
        <f>DanhsachNguoiluutru!C25</f>
        <v>10/04/1985</v>
      </c>
      <c r="C23" s="18" t="str">
        <f>INDEX(GioiTinh!$A:$A,MATCH(DanhsachNguoiluutru!D25,GioiTinh!$B:$B,0))</f>
        <v>3</v>
      </c>
      <c r="D23" s="18" t="str">
        <f>DanhsachNguoiluutru!D25</f>
        <v>Giới tính Nữ</v>
      </c>
      <c r="E23" s="18" t="str">
        <f>DanhsachNguoiluutru!E25</f>
        <v>019185004222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str">
        <f>INDEX(NgheNghiep!$A:$A,MATCH(DanhsachNguoiluutru!I25,NgheNghiep!$B:$B,0))</f>
        <v>TUDO</v>
      </c>
      <c r="J23" s="18" t="str">
        <f>DanhsachNguoiluutru!I25</f>
        <v>Tự do</v>
      </c>
      <c r="K23" s="18" t="str">
        <f>DanhsachNguoiluutru!J25</f>
        <v>Thành Công</v>
      </c>
      <c r="L23" s="18" t="str">
        <f>INDEX(DanToc!$A:$A,MATCH(DanhsachNguoiluutru!K25,DanToc!$B:$B,0))</f>
        <v>01</v>
      </c>
      <c r="M23" s="18" t="str">
        <f>DanhsachNguoiluutru!K25</f>
        <v>Kinh</v>
      </c>
      <c r="N23" s="18" t="str">
        <f>INDEX(QuocTich!$A:$A,MATCH(DanhsachNguoiluutru!L25,QuocTich!$B:$B,0))</f>
        <v>VN</v>
      </c>
      <c r="O23" s="18" t="str">
        <f>DanhsachNguoiluutru!L25</f>
        <v>Việt Nam</v>
      </c>
      <c r="P23" s="18" t="str">
        <f>INDEX(QuocGia!$A:$A,MATCH(DanhsachNguoiluutru!M25,QuocGia!$B:$B,0))</f>
        <v>VN</v>
      </c>
      <c r="Q23" s="18" t="str">
        <f>DanhsachNguoiluutru!M25</f>
        <v>Cộng hòa xã hội chủ nghĩa Việt Nam</v>
      </c>
      <c r="R23" s="18" t="str">
        <f>INDEX(TinhThanh!$C:$C,MATCH(DanhsachNguoiluutru!N25,TinhThanh!$B:$B,0))</f>
        <v>19</v>
      </c>
      <c r="S23" s="18" t="str">
        <f ca="1">INDEX(OFFSET(QuanHuyen!$C$1,MATCH(extracted!$R23,QuanHuyen!$A:$A,0)-1,0,10000,1),MATCH(DanhsachNguoiluutru!$O25,OFFSET(QuanHuyen!$B$1,MATCH(extracted!$R23,QuanHuyen!$A:$A,0)-1,0,10000,1), 0))</f>
        <v>172</v>
      </c>
      <c r="T23" s="18" t="str">
        <f ca="1">INDEX(OFFSET(PhuongXa!$C$1,MATCH(extracted!$S23,PhuongXa!$A:$A,0)-1,0,10000,1),MATCH(DanhsachNguoiluutru!$P25,OFFSET(PhuongXa!$B$1,MATCH(extracted!$S23,PhuongXa!$A:$A,0)-1,0,10000,1), 0))</f>
        <v>05881</v>
      </c>
      <c r="U23" s="18" t="str">
        <f>DanhsachNguoiluutru!Q25</f>
        <v>Thành Công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>Thành Công, Xã Thành Công, Thị xã Phổ Yên, Tỉnh Thái Nguyên</v>
      </c>
      <c r="W23" s="18">
        <f>VLOOKUP(DanhsachNguoiluutru!$R25,DanhMuc!$A$2:$B$4,2,FALSE)</f>
        <v>1</v>
      </c>
      <c r="X23" s="18" t="str">
        <f>DanhsachNguoiluutru!R25</f>
        <v>Tạm trú</v>
      </c>
      <c r="Y23" s="18" t="str">
        <f>DanhsachNguoiluutru!S25</f>
        <v>03/07/2023</v>
      </c>
      <c r="Z23" s="18" t="str">
        <f>DanhsachNguoiluutru!T25</f>
        <v>04/07/2023</v>
      </c>
      <c r="AA23" s="18" t="str">
        <f>DanhsachNguoiluutru!U25</f>
        <v>Du Lịch</v>
      </c>
      <c r="AB23" s="18">
        <f>DanhsachNguoiluutru!V17</f>
        <v>603</v>
      </c>
    </row>
    <row r="24" spans="1:28" x14ac:dyDescent="0.3">
      <c r="A24" s="18" t="str">
        <f>DanhsachNguoiluutru!B26</f>
        <v>Trần Ngọc Hà</v>
      </c>
      <c r="B24" s="18" t="str">
        <f>DanhsachNguoiluutru!C26</f>
        <v>10/04/1994</v>
      </c>
      <c r="C24" s="18" t="str">
        <f>INDEX(GioiTinh!$A:$A,MATCH(DanhsachNguoiluutru!D26,GioiTinh!$B:$B,0))</f>
        <v>3</v>
      </c>
      <c r="D24" s="18" t="str">
        <f>DanhsachNguoiluutru!D26</f>
        <v>Giới tính Nữ</v>
      </c>
      <c r="E24" s="18" t="str">
        <f>DanhsachNguoiluutru!E26</f>
        <v>019194720893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str">
        <f>INDEX(NgheNghiep!$A:$A,MATCH(DanhsachNguoiluutru!I26,NgheNghiep!$B:$B,0))</f>
        <v>TUDO</v>
      </c>
      <c r="J24" s="18" t="str">
        <f>DanhsachNguoiluutru!I26</f>
        <v>Tự do</v>
      </c>
      <c r="K24" s="18" t="str">
        <f>DanhsachNguoiluutru!J26</f>
        <v>Thành Công</v>
      </c>
      <c r="L24" s="18" t="str">
        <f>INDEX(DanToc!$A:$A,MATCH(DanhsachNguoiluutru!K26,DanToc!$B:$B,0))</f>
        <v>01</v>
      </c>
      <c r="M24" s="18" t="str">
        <f>DanhsachNguoiluutru!K26</f>
        <v>Kinh</v>
      </c>
      <c r="N24" s="18" t="str">
        <f>INDEX(QuocTich!$A:$A,MATCH(DanhsachNguoiluutru!L26,QuocTich!$B:$B,0))</f>
        <v>VN</v>
      </c>
      <c r="O24" s="18" t="str">
        <f>DanhsachNguoiluutru!L26</f>
        <v>Việt Nam</v>
      </c>
      <c r="P24" s="18" t="str">
        <f>INDEX(QuocGia!$A:$A,MATCH(DanhsachNguoiluutru!M26,QuocGia!$B:$B,0))</f>
        <v>VN</v>
      </c>
      <c r="Q24" s="18" t="str">
        <f>DanhsachNguoiluutru!M26</f>
        <v>Cộng hòa xã hội chủ nghĩa Việt Nam</v>
      </c>
      <c r="R24" s="18" t="str">
        <f>INDEX(TinhThanh!$C:$C,MATCH(DanhsachNguoiluutru!N26,TinhThanh!$B:$B,0))</f>
        <v>19</v>
      </c>
      <c r="S24" s="18" t="str">
        <f ca="1">INDEX(OFFSET(QuanHuyen!$C$1,MATCH(extracted!$R24,QuanHuyen!$A:$A,0)-1,0,10000,1),MATCH(DanhsachNguoiluutru!$O26,OFFSET(QuanHuyen!$B$1,MATCH(extracted!$R24,QuanHuyen!$A:$A,0)-1,0,10000,1), 0))</f>
        <v>172</v>
      </c>
      <c r="T24" s="18" t="str">
        <f ca="1">INDEX(OFFSET(PhuongXa!$C$1,MATCH(extracted!$S24,PhuongXa!$A:$A,0)-1,0,10000,1),MATCH(DanhsachNguoiluutru!$P26,OFFSET(PhuongXa!$B$1,MATCH(extracted!$S24,PhuongXa!$A:$A,0)-1,0,10000,1), 0))</f>
        <v>05881</v>
      </c>
      <c r="U24" s="18" t="str">
        <f>DanhsachNguoiluutru!Q26</f>
        <v>Thành Công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>Thành Công, Xã Thành Công, Thị xã Phổ Yên, Tỉnh Thái Nguyên</v>
      </c>
      <c r="W24" s="18">
        <f>VLOOKUP(DanhsachNguoiluutru!$R26,DanhMuc!$A$2:$B$4,2,FALSE)</f>
        <v>1</v>
      </c>
      <c r="X24" s="18" t="str">
        <f>DanhsachNguoiluutru!R26</f>
        <v>Tạm trú</v>
      </c>
      <c r="Y24" s="18" t="str">
        <f>DanhsachNguoiluutru!S26</f>
        <v>03/07/2023</v>
      </c>
      <c r="Z24" s="18" t="str">
        <f>DanhsachNguoiluutru!T26</f>
        <v>04/07/2023</v>
      </c>
      <c r="AA24" s="18" t="str">
        <f>DanhsachNguoiluutru!U26</f>
        <v>Du Lịch</v>
      </c>
      <c r="AB24" s="18">
        <f>DanhsachNguoiluutru!V18</f>
        <v>603</v>
      </c>
    </row>
    <row r="25" spans="1:28" x14ac:dyDescent="0.3">
      <c r="A25" s="18" t="str">
        <f>DanhsachNguoiluutru!B27</f>
        <v>Hoàng Linh Anh</v>
      </c>
      <c r="B25" s="18" t="str">
        <f>DanhsachNguoiluutru!C27</f>
        <v>18/05/1991</v>
      </c>
      <c r="C25" s="18" t="str">
        <f>INDEX(GioiTinh!$A:$A,MATCH(DanhsachNguoiluutru!D27,GioiTinh!$B:$B,0))</f>
        <v>3</v>
      </c>
      <c r="D25" s="18" t="str">
        <f>DanhsachNguoiluutru!D27</f>
        <v>Giới tính Nữ</v>
      </c>
      <c r="E25" s="18" t="str">
        <f>DanhsachNguoiluutru!E27</f>
        <v>019191978310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str">
        <f>INDEX(NgheNghiep!$A:$A,MATCH(DanhsachNguoiluutru!I27,NgheNghiep!$B:$B,0))</f>
        <v>TUDO</v>
      </c>
      <c r="J25" s="18" t="str">
        <f>DanhsachNguoiluutru!I27</f>
        <v>Tự do</v>
      </c>
      <c r="K25" s="18" t="str">
        <f>DanhsachNguoiluutru!J27</f>
        <v>Thành Công</v>
      </c>
      <c r="L25" s="18" t="str">
        <f>INDEX(DanToc!$A:$A,MATCH(DanhsachNguoiluutru!K27,DanToc!$B:$B,0))</f>
        <v>01</v>
      </c>
      <c r="M25" s="18" t="str">
        <f>DanhsachNguoiluutru!K27</f>
        <v>Kinh</v>
      </c>
      <c r="N25" s="18" t="str">
        <f>INDEX(QuocTich!$A:$A,MATCH(DanhsachNguoiluutru!L27,QuocTich!$B:$B,0))</f>
        <v>VN</v>
      </c>
      <c r="O25" s="18" t="str">
        <f>DanhsachNguoiluutru!L27</f>
        <v>Việt Nam</v>
      </c>
      <c r="P25" s="18" t="str">
        <f>INDEX(QuocGia!$A:$A,MATCH(DanhsachNguoiluutru!M27,QuocGia!$B:$B,0))</f>
        <v>VN</v>
      </c>
      <c r="Q25" s="18" t="str">
        <f>DanhsachNguoiluutru!M27</f>
        <v>Cộng hòa xã hội chủ nghĩa Việt Nam</v>
      </c>
      <c r="R25" s="18" t="str">
        <f>INDEX(TinhThanh!$C:$C,MATCH(DanhsachNguoiluutru!N27,TinhThanh!$B:$B,0))</f>
        <v>19</v>
      </c>
      <c r="S25" s="18" t="str">
        <f ca="1">INDEX(OFFSET(QuanHuyen!$C$1,MATCH(extracted!$R25,QuanHuyen!$A:$A,0)-1,0,10000,1),MATCH(DanhsachNguoiluutru!$O27,OFFSET(QuanHuyen!$B$1,MATCH(extracted!$R25,QuanHuyen!$A:$A,0)-1,0,10000,1), 0))</f>
        <v>172</v>
      </c>
      <c r="T25" s="18" t="str">
        <f ca="1">INDEX(OFFSET(PhuongXa!$C$1,MATCH(extracted!$S25,PhuongXa!$A:$A,0)-1,0,10000,1),MATCH(DanhsachNguoiluutru!$P27,OFFSET(PhuongXa!$B$1,MATCH(extracted!$S25,PhuongXa!$A:$A,0)-1,0,10000,1), 0))</f>
        <v>05881</v>
      </c>
      <c r="U25" s="18" t="str">
        <f>DanhsachNguoiluutru!Q27</f>
        <v>Thành Công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>Thành Công, Xã Thành Công, Thị xã Phổ Yên, Tỉnh Thái Nguyên</v>
      </c>
      <c r="W25" s="18">
        <f>VLOOKUP(DanhsachNguoiluutru!$R27,DanhMuc!$A$2:$B$4,2,FALSE)</f>
        <v>1</v>
      </c>
      <c r="X25" s="18" t="str">
        <f>DanhsachNguoiluutru!R27</f>
        <v>Tạm trú</v>
      </c>
      <c r="Y25" s="18" t="str">
        <f>DanhsachNguoiluutru!S27</f>
        <v>03/07/2023</v>
      </c>
      <c r="Z25" s="18" t="str">
        <f>DanhsachNguoiluutru!T27</f>
        <v>04/07/2023</v>
      </c>
      <c r="AA25" s="18" t="str">
        <f>DanhsachNguoiluutru!U27</f>
        <v>Du Lịch</v>
      </c>
      <c r="AB25" s="18">
        <f>DanhsachNguoiluutru!V19</f>
        <v>406</v>
      </c>
    </row>
    <row r="26" spans="1:28" x14ac:dyDescent="0.3">
      <c r="A26" s="18" t="str">
        <f>DanhsachNguoiluutru!B28</f>
        <v>Lê Ngọc Trang</v>
      </c>
      <c r="B26" s="18" t="str">
        <f>DanhsachNguoiluutru!C28</f>
        <v>15/03/1979</v>
      </c>
      <c r="C26" s="18" t="str">
        <f>INDEX(GioiTinh!$A:$A,MATCH(DanhsachNguoiluutru!D28,GioiTinh!$B:$B,0))</f>
        <v>3</v>
      </c>
      <c r="D26" s="18" t="str">
        <f>DanhsachNguoiluutru!D28</f>
        <v>Giới tính Nữ</v>
      </c>
      <c r="E26" s="18" t="str">
        <f>DanhsachNguoiluutru!E28</f>
        <v>019179577234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str">
        <f>INDEX(NgheNghiep!$A:$A,MATCH(DanhsachNguoiluutru!I28,NgheNghiep!$B:$B,0))</f>
        <v>TUDO</v>
      </c>
      <c r="J26" s="18" t="str">
        <f>DanhsachNguoiluutru!I28</f>
        <v>Tự do</v>
      </c>
      <c r="K26" s="18" t="str">
        <f>DanhsachNguoiluutru!J28</f>
        <v>Thành Công</v>
      </c>
      <c r="L26" s="18" t="str">
        <f>INDEX(DanToc!$A:$A,MATCH(DanhsachNguoiluutru!K28,DanToc!$B:$B,0))</f>
        <v>01</v>
      </c>
      <c r="M26" s="18" t="str">
        <f>DanhsachNguoiluutru!K28</f>
        <v>Kinh</v>
      </c>
      <c r="N26" s="18" t="str">
        <f>INDEX(QuocTich!$A:$A,MATCH(DanhsachNguoiluutru!L28,QuocTich!$B:$B,0))</f>
        <v>VN</v>
      </c>
      <c r="O26" s="18" t="str">
        <f>DanhsachNguoiluutru!L28</f>
        <v>Việt Nam</v>
      </c>
      <c r="P26" s="18" t="str">
        <f>INDEX(QuocGia!$A:$A,MATCH(DanhsachNguoiluutru!M28,QuocGia!$B:$B,0))</f>
        <v>VN</v>
      </c>
      <c r="Q26" s="18" t="str">
        <f>DanhsachNguoiluutru!M28</f>
        <v>Cộng hòa xã hội chủ nghĩa Việt Nam</v>
      </c>
      <c r="R26" s="18" t="str">
        <f>INDEX(TinhThanh!$C:$C,MATCH(DanhsachNguoiluutru!N28,TinhThanh!$B:$B,0))</f>
        <v>19</v>
      </c>
      <c r="S26" s="18" t="str">
        <f ca="1">INDEX(OFFSET(QuanHuyen!$C$1,MATCH(extracted!$R26,QuanHuyen!$A:$A,0)-1,0,10000,1),MATCH(DanhsachNguoiluutru!$O28,OFFSET(QuanHuyen!$B$1,MATCH(extracted!$R26,QuanHuyen!$A:$A,0)-1,0,10000,1), 0))</f>
        <v>172</v>
      </c>
      <c r="T26" s="18" t="str">
        <f ca="1">INDEX(OFFSET(PhuongXa!$C$1,MATCH(extracted!$S26,PhuongXa!$A:$A,0)-1,0,10000,1),MATCH(DanhsachNguoiluutru!$P28,OFFSET(PhuongXa!$B$1,MATCH(extracted!$S26,PhuongXa!$A:$A,0)-1,0,10000,1), 0))</f>
        <v>05881</v>
      </c>
      <c r="U26" s="18" t="str">
        <f>DanhsachNguoiluutru!Q28</f>
        <v>Thành Công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>Thành Công, Xã Thành Công, Thị xã Phổ Yên, Tỉnh Thái Nguyên</v>
      </c>
      <c r="W26" s="18">
        <f>VLOOKUP(DanhsachNguoiluutru!$R28,DanhMuc!$A$2:$B$4,2,FALSE)</f>
        <v>1</v>
      </c>
      <c r="X26" s="18" t="str">
        <f>DanhsachNguoiluutru!R28</f>
        <v>Tạm trú</v>
      </c>
      <c r="Y26" s="18" t="str">
        <f>DanhsachNguoiluutru!S28</f>
        <v>03/07/2023</v>
      </c>
      <c r="Z26" s="18" t="str">
        <f>DanhsachNguoiluutru!T28</f>
        <v>04/07/2023</v>
      </c>
      <c r="AA26" s="18" t="str">
        <f>DanhsachNguoiluutru!U28</f>
        <v>Du Lịch</v>
      </c>
      <c r="AB26" s="18">
        <f>DanhsachNguoiluutru!V20</f>
        <v>406</v>
      </c>
    </row>
    <row r="27" spans="1:28" x14ac:dyDescent="0.3">
      <c r="A27" s="18" t="str">
        <f>DanhsachNguoiluutru!B29</f>
        <v>Dương Quốc Sơn</v>
      </c>
      <c r="B27" s="18" t="str">
        <f>DanhsachNguoiluutru!C29</f>
        <v>01/01/1989</v>
      </c>
      <c r="C27" s="18" t="str">
        <f>INDEX(GioiTinh!$A:$A,MATCH(DanhsachNguoiluutru!D29,GioiTinh!$B:$B,0))</f>
        <v>2</v>
      </c>
      <c r="D27" s="18" t="str">
        <f>DanhsachNguoiluutru!D29</f>
        <v>Giới tính Nam</v>
      </c>
      <c r="E27" s="18" t="str">
        <f>DanhsachNguoiluutru!E29</f>
        <v>019089881410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str">
        <f>INDEX(NgheNghiep!$A:$A,MATCH(DanhsachNguoiluutru!I29,NgheNghiep!$B:$B,0))</f>
        <v>TUDO</v>
      </c>
      <c r="J27" s="18" t="str">
        <f>DanhsachNguoiluutru!I29</f>
        <v>Tự do</v>
      </c>
      <c r="K27" s="18" t="str">
        <f>DanhsachNguoiluutru!J29</f>
        <v>Thành Công</v>
      </c>
      <c r="L27" s="18" t="str">
        <f>INDEX(DanToc!$A:$A,MATCH(DanhsachNguoiluutru!K29,DanToc!$B:$B,0))</f>
        <v>01</v>
      </c>
      <c r="M27" s="18" t="str">
        <f>DanhsachNguoiluutru!K29</f>
        <v>Kinh</v>
      </c>
      <c r="N27" s="18" t="str">
        <f>INDEX(QuocTich!$A:$A,MATCH(DanhsachNguoiluutru!L29,QuocTich!$B:$B,0))</f>
        <v>VN</v>
      </c>
      <c r="O27" s="18" t="str">
        <f>DanhsachNguoiluutru!L29</f>
        <v>Việt Nam</v>
      </c>
      <c r="P27" s="18" t="str">
        <f>INDEX(QuocGia!$A:$A,MATCH(DanhsachNguoiluutru!M29,QuocGia!$B:$B,0))</f>
        <v>VN</v>
      </c>
      <c r="Q27" s="18" t="str">
        <f>DanhsachNguoiluutru!M29</f>
        <v>Cộng hòa xã hội chủ nghĩa Việt Nam</v>
      </c>
      <c r="R27" s="18" t="str">
        <f>INDEX(TinhThanh!$C:$C,MATCH(DanhsachNguoiluutru!N29,TinhThanh!$B:$B,0))</f>
        <v>19</v>
      </c>
      <c r="S27" s="18" t="str">
        <f ca="1">INDEX(OFFSET(QuanHuyen!$C$1,MATCH(extracted!$R27,QuanHuyen!$A:$A,0)-1,0,10000,1),MATCH(DanhsachNguoiluutru!$O29,OFFSET(QuanHuyen!$B$1,MATCH(extracted!$R27,QuanHuyen!$A:$A,0)-1,0,10000,1), 0))</f>
        <v>172</v>
      </c>
      <c r="T27" s="18" t="str">
        <f ca="1">INDEX(OFFSET(PhuongXa!$C$1,MATCH(extracted!$S27,PhuongXa!$A:$A,0)-1,0,10000,1),MATCH(DanhsachNguoiluutru!$P29,OFFSET(PhuongXa!$B$1,MATCH(extracted!$S27,PhuongXa!$A:$A,0)-1,0,10000,1), 0))</f>
        <v>05881</v>
      </c>
      <c r="U27" s="18" t="str">
        <f>DanhsachNguoiluutru!Q29</f>
        <v>Thành Công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>Thành Công, Xã Thành Công, Thị xã Phổ Yên, Tỉnh Thái Nguyên</v>
      </c>
      <c r="W27" s="18">
        <f>VLOOKUP(DanhsachNguoiluutru!$R29,DanhMuc!$A$2:$B$4,2,FALSE)</f>
        <v>1</v>
      </c>
      <c r="X27" s="18" t="str">
        <f>DanhsachNguoiluutru!R29</f>
        <v>Tạm trú</v>
      </c>
      <c r="Y27" s="18" t="str">
        <f>DanhsachNguoiluutru!S29</f>
        <v>03/07/2023</v>
      </c>
      <c r="Z27" s="18" t="str">
        <f>DanhsachNguoiluutru!T29</f>
        <v>04/07/2023</v>
      </c>
      <c r="AA27" s="18" t="str">
        <f>DanhsachNguoiluutru!U29</f>
        <v>Du Lịch</v>
      </c>
      <c r="AB27" s="18">
        <f>DanhsachNguoiluutru!V21</f>
        <v>406</v>
      </c>
    </row>
    <row r="28" spans="1:28" x14ac:dyDescent="0.3">
      <c r="A28" s="18" t="str">
        <f>DanhsachNguoiluutru!B30</f>
        <v>Trịnh Khoa Hiếu</v>
      </c>
      <c r="B28" s="18" t="str">
        <f>DanhsachNguoiluutru!C30</f>
        <v>04/06/1989</v>
      </c>
      <c r="C28" s="18" t="str">
        <f>INDEX(GioiTinh!$A:$A,MATCH(DanhsachNguoiluutru!D30,GioiTinh!$B:$B,0))</f>
        <v>2</v>
      </c>
      <c r="D28" s="18" t="str">
        <f>DanhsachNguoiluutru!D30</f>
        <v>Giới tính Nam</v>
      </c>
      <c r="E28" s="18" t="str">
        <f>DanhsachNguoiluutru!E30</f>
        <v>019089212960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str">
        <f>INDEX(NgheNghiep!$A:$A,MATCH(DanhsachNguoiluutru!I30,NgheNghiep!$B:$B,0))</f>
        <v>TUDO</v>
      </c>
      <c r="J28" s="18" t="str">
        <f>DanhsachNguoiluutru!I30</f>
        <v>Tự do</v>
      </c>
      <c r="K28" s="18" t="str">
        <f>DanhsachNguoiluutru!J30</f>
        <v>Thành Công</v>
      </c>
      <c r="L28" s="18" t="str">
        <f>INDEX(DanToc!$A:$A,MATCH(DanhsachNguoiluutru!K30,DanToc!$B:$B,0))</f>
        <v>01</v>
      </c>
      <c r="M28" s="18" t="str">
        <f>DanhsachNguoiluutru!K30</f>
        <v>Kinh</v>
      </c>
      <c r="N28" s="18" t="str">
        <f>INDEX(QuocTich!$A:$A,MATCH(DanhsachNguoiluutru!L30,QuocTich!$B:$B,0))</f>
        <v>VN</v>
      </c>
      <c r="O28" s="18" t="str">
        <f>DanhsachNguoiluutru!L30</f>
        <v>Việt Nam</v>
      </c>
      <c r="P28" s="18" t="str">
        <f>INDEX(QuocGia!$A:$A,MATCH(DanhsachNguoiluutru!M30,QuocGia!$B:$B,0))</f>
        <v>VN</v>
      </c>
      <c r="Q28" s="18" t="str">
        <f>DanhsachNguoiluutru!M30</f>
        <v>Cộng hòa xã hội chủ nghĩa Việt Nam</v>
      </c>
      <c r="R28" s="18" t="str">
        <f>INDEX(TinhThanh!$C:$C,MATCH(DanhsachNguoiluutru!N30,TinhThanh!$B:$B,0))</f>
        <v>19</v>
      </c>
      <c r="S28" s="18" t="str">
        <f ca="1">INDEX(OFFSET(QuanHuyen!$C$1,MATCH(extracted!$R28,QuanHuyen!$A:$A,0)-1,0,10000,1),MATCH(DanhsachNguoiluutru!$O30,OFFSET(QuanHuyen!$B$1,MATCH(extracted!$R28,QuanHuyen!$A:$A,0)-1,0,10000,1), 0))</f>
        <v>172</v>
      </c>
      <c r="T28" s="18" t="str">
        <f ca="1">INDEX(OFFSET(PhuongXa!$C$1,MATCH(extracted!$S28,PhuongXa!$A:$A,0)-1,0,10000,1),MATCH(DanhsachNguoiluutru!$P30,OFFSET(PhuongXa!$B$1,MATCH(extracted!$S28,PhuongXa!$A:$A,0)-1,0,10000,1), 0))</f>
        <v>05881</v>
      </c>
      <c r="U28" s="18" t="str">
        <f>DanhsachNguoiluutru!Q30</f>
        <v>Thành Công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>Thành Công, Xã Thành Công, Thị xã Phổ Yên, Tỉnh Thái Nguyên</v>
      </c>
      <c r="W28" s="18">
        <f>VLOOKUP(DanhsachNguoiluutru!$R30,DanhMuc!$A$2:$B$4,2,FALSE)</f>
        <v>1</v>
      </c>
      <c r="X28" s="18" t="str">
        <f>DanhsachNguoiluutru!R30</f>
        <v>Tạm trú</v>
      </c>
      <c r="Y28" s="18" t="str">
        <f>DanhsachNguoiluutru!S30</f>
        <v>03/07/2023</v>
      </c>
      <c r="Z28" s="18" t="str">
        <f>DanhsachNguoiluutru!T30</f>
        <v>04/07/2023</v>
      </c>
      <c r="AA28" s="18" t="str">
        <f>DanhsachNguoiluutru!U30</f>
        <v>Du Lịch</v>
      </c>
      <c r="AB28" s="18">
        <f>DanhsachNguoiluutru!V22</f>
        <v>406</v>
      </c>
    </row>
    <row r="29" spans="1:28" x14ac:dyDescent="0.3">
      <c r="A29" s="18" t="str">
        <f>DanhsachNguoiluutru!B31</f>
        <v>Huỳnh Thu Oanh</v>
      </c>
      <c r="B29" s="18" t="str">
        <f>DanhsachNguoiluutru!C31</f>
        <v>21/12/1994</v>
      </c>
      <c r="C29" s="18" t="str">
        <f>INDEX(GioiTinh!$A:$A,MATCH(DanhsachNguoiluutru!D31,GioiTinh!$B:$B,0))</f>
        <v>3</v>
      </c>
      <c r="D29" s="18" t="str">
        <f>DanhsachNguoiluutru!D31</f>
        <v>Giới tính Nữ</v>
      </c>
      <c r="E29" s="18" t="str">
        <f>DanhsachNguoiluutru!E31</f>
        <v>019194556074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str">
        <f>INDEX(NgheNghiep!$A:$A,MATCH(DanhsachNguoiluutru!I31,NgheNghiep!$B:$B,0))</f>
        <v>TUDO</v>
      </c>
      <c r="J29" s="18" t="str">
        <f>DanhsachNguoiluutru!I31</f>
        <v>Tự do</v>
      </c>
      <c r="K29" s="18" t="str">
        <f>DanhsachNguoiluutru!J31</f>
        <v>Thành Công</v>
      </c>
      <c r="L29" s="18" t="str">
        <f>INDEX(DanToc!$A:$A,MATCH(DanhsachNguoiluutru!K31,DanToc!$B:$B,0))</f>
        <v>01</v>
      </c>
      <c r="M29" s="18" t="str">
        <f>DanhsachNguoiluutru!K31</f>
        <v>Kinh</v>
      </c>
      <c r="N29" s="18" t="str">
        <f>INDEX(QuocTich!$A:$A,MATCH(DanhsachNguoiluutru!L31,QuocTich!$B:$B,0))</f>
        <v>VN</v>
      </c>
      <c r="O29" s="18" t="str">
        <f>DanhsachNguoiluutru!L31</f>
        <v>Việt Nam</v>
      </c>
      <c r="P29" s="18" t="str">
        <f>INDEX(QuocGia!$A:$A,MATCH(DanhsachNguoiluutru!M31,QuocGia!$B:$B,0))</f>
        <v>VN</v>
      </c>
      <c r="Q29" s="18" t="str">
        <f>DanhsachNguoiluutru!M31</f>
        <v>Cộng hòa xã hội chủ nghĩa Việt Nam</v>
      </c>
      <c r="R29" s="18" t="str">
        <f>INDEX(TinhThanh!$C:$C,MATCH(DanhsachNguoiluutru!N31,TinhThanh!$B:$B,0))</f>
        <v>19</v>
      </c>
      <c r="S29" s="18" t="str">
        <f ca="1">INDEX(OFFSET(QuanHuyen!$C$1,MATCH(extracted!$R29,QuanHuyen!$A:$A,0)-1,0,10000,1),MATCH(DanhsachNguoiluutru!$O31,OFFSET(QuanHuyen!$B$1,MATCH(extracted!$R29,QuanHuyen!$A:$A,0)-1,0,10000,1), 0))</f>
        <v>172</v>
      </c>
      <c r="T29" s="18" t="str">
        <f ca="1">INDEX(OFFSET(PhuongXa!$C$1,MATCH(extracted!$S29,PhuongXa!$A:$A,0)-1,0,10000,1),MATCH(DanhsachNguoiluutru!$P31,OFFSET(PhuongXa!$B$1,MATCH(extracted!$S29,PhuongXa!$A:$A,0)-1,0,10000,1), 0))</f>
        <v>05881</v>
      </c>
      <c r="U29" s="18" t="str">
        <f>DanhsachNguoiluutru!Q31</f>
        <v>Thành Công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>Thành Công, Xã Thành Công, Thị xã Phổ Yên, Tỉnh Thái Nguyên</v>
      </c>
      <c r="W29" s="18">
        <f>VLOOKUP(DanhsachNguoiluutru!$R31,DanhMuc!$A$2:$B$4,2,FALSE)</f>
        <v>1</v>
      </c>
      <c r="X29" s="18" t="str">
        <f>DanhsachNguoiluutru!R31</f>
        <v>Tạm trú</v>
      </c>
      <c r="Y29" s="18" t="str">
        <f>DanhsachNguoiluutru!S31</f>
        <v>03/07/2023</v>
      </c>
      <c r="Z29" s="18" t="str">
        <f>DanhsachNguoiluutru!T31</f>
        <v>04/07/2023</v>
      </c>
      <c r="AA29" s="18" t="str">
        <f>DanhsachNguoiluutru!U31</f>
        <v>Du Lịch</v>
      </c>
      <c r="AB29" s="18">
        <f>DanhsachNguoiluutru!V23</f>
        <v>407</v>
      </c>
    </row>
    <row r="30" spans="1:28" x14ac:dyDescent="0.3">
      <c r="A30" s="18" t="str">
        <f>DanhsachNguoiluutru!B32</f>
        <v>Trịnh Minh Dương</v>
      </c>
      <c r="B30" s="18" t="str">
        <f>DanhsachNguoiluutru!C32</f>
        <v>01/09/1990</v>
      </c>
      <c r="C30" s="18" t="str">
        <f>INDEX(GioiTinh!$A:$A,MATCH(DanhsachNguoiluutru!D32,GioiTinh!$B:$B,0))</f>
        <v>2</v>
      </c>
      <c r="D30" s="18" t="str">
        <f>DanhsachNguoiluutru!D32</f>
        <v>Giới tính Nam</v>
      </c>
      <c r="E30" s="18" t="str">
        <f>DanhsachNguoiluutru!E32</f>
        <v>019090032633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str">
        <f>INDEX(NgheNghiep!$A:$A,MATCH(DanhsachNguoiluutru!I32,NgheNghiep!$B:$B,0))</f>
        <v>TUDO</v>
      </c>
      <c r="J30" s="18" t="str">
        <f>DanhsachNguoiluutru!I32</f>
        <v>Tự do</v>
      </c>
      <c r="K30" s="18" t="str">
        <f>DanhsachNguoiluutru!J32</f>
        <v>Thành Công</v>
      </c>
      <c r="L30" s="18" t="str">
        <f>INDEX(DanToc!$A:$A,MATCH(DanhsachNguoiluutru!K32,DanToc!$B:$B,0))</f>
        <v>01</v>
      </c>
      <c r="M30" s="18" t="str">
        <f>DanhsachNguoiluutru!K32</f>
        <v>Kinh</v>
      </c>
      <c r="N30" s="18" t="str">
        <f>INDEX(QuocTich!$A:$A,MATCH(DanhsachNguoiluutru!L32,QuocTich!$B:$B,0))</f>
        <v>VN</v>
      </c>
      <c r="O30" s="18" t="str">
        <f>DanhsachNguoiluutru!L32</f>
        <v>Việt Nam</v>
      </c>
      <c r="P30" s="18" t="str">
        <f>INDEX(QuocGia!$A:$A,MATCH(DanhsachNguoiluutru!M32,QuocGia!$B:$B,0))</f>
        <v>VN</v>
      </c>
      <c r="Q30" s="18" t="str">
        <f>DanhsachNguoiluutru!M32</f>
        <v>Cộng hòa xã hội chủ nghĩa Việt Nam</v>
      </c>
      <c r="R30" s="18" t="str">
        <f>INDEX(TinhThanh!$C:$C,MATCH(DanhsachNguoiluutru!N32,TinhThanh!$B:$B,0))</f>
        <v>19</v>
      </c>
      <c r="S30" s="18" t="str">
        <f ca="1">INDEX(OFFSET(QuanHuyen!$C$1,MATCH(extracted!$R30,QuanHuyen!$A:$A,0)-1,0,10000,1),MATCH(DanhsachNguoiluutru!$O32,OFFSET(QuanHuyen!$B$1,MATCH(extracted!$R30,QuanHuyen!$A:$A,0)-1,0,10000,1), 0))</f>
        <v>172</v>
      </c>
      <c r="T30" s="18" t="str">
        <f ca="1">INDEX(OFFSET(PhuongXa!$C$1,MATCH(extracted!$S30,PhuongXa!$A:$A,0)-1,0,10000,1),MATCH(DanhsachNguoiluutru!$P32,OFFSET(PhuongXa!$B$1,MATCH(extracted!$S30,PhuongXa!$A:$A,0)-1,0,10000,1), 0))</f>
        <v>05881</v>
      </c>
      <c r="U30" s="18" t="str">
        <f>DanhsachNguoiluutru!Q32</f>
        <v>Thành Công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>Thành Công, Xã Thành Công, Thị xã Phổ Yên, Tỉnh Thái Nguyên</v>
      </c>
      <c r="W30" s="18">
        <f>VLOOKUP(DanhsachNguoiluutru!$R32,DanhMuc!$A$2:$B$4,2,FALSE)</f>
        <v>1</v>
      </c>
      <c r="X30" s="18" t="str">
        <f>DanhsachNguoiluutru!R32</f>
        <v>Tạm trú</v>
      </c>
      <c r="Y30" s="18" t="str">
        <f>DanhsachNguoiluutru!S32</f>
        <v>03/07/2023</v>
      </c>
      <c r="Z30" s="18" t="str">
        <f>DanhsachNguoiluutru!T32</f>
        <v>04/07/2023</v>
      </c>
      <c r="AA30" s="18" t="str">
        <f>DanhsachNguoiluutru!U32</f>
        <v>Du Lịch</v>
      </c>
      <c r="AB30" s="18">
        <f>DanhsachNguoiluutru!V24</f>
        <v>407</v>
      </c>
    </row>
    <row r="31" spans="1:28" x14ac:dyDescent="0.3">
      <c r="A31" s="18" t="str">
        <f>DanhsachNguoiluutru!B33</f>
        <v>Huỳnh Long Hải</v>
      </c>
      <c r="B31" s="18" t="str">
        <f>DanhsachNguoiluutru!C33</f>
        <v>02/08/1981</v>
      </c>
      <c r="C31" s="18" t="str">
        <f>INDEX(GioiTinh!$A:$A,MATCH(DanhsachNguoiluutru!D33,GioiTinh!$B:$B,0))</f>
        <v>2</v>
      </c>
      <c r="D31" s="18" t="str">
        <f>DanhsachNguoiluutru!D33</f>
        <v>Giới tính Nam</v>
      </c>
      <c r="E31" s="18" t="str">
        <f>DanhsachNguoiluutru!E33</f>
        <v>019081033176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str">
        <f>INDEX(NgheNghiep!$A:$A,MATCH(DanhsachNguoiluutru!I33,NgheNghiep!$B:$B,0))</f>
        <v>TUDO</v>
      </c>
      <c r="J31" s="18" t="str">
        <f>DanhsachNguoiluutru!I33</f>
        <v>Tự do</v>
      </c>
      <c r="K31" s="18" t="str">
        <f>DanhsachNguoiluutru!J33</f>
        <v>Thành Công</v>
      </c>
      <c r="L31" s="18" t="str">
        <f>INDEX(DanToc!$A:$A,MATCH(DanhsachNguoiluutru!K33,DanToc!$B:$B,0))</f>
        <v>01</v>
      </c>
      <c r="M31" s="18" t="str">
        <f>DanhsachNguoiluutru!K33</f>
        <v>Kinh</v>
      </c>
      <c r="N31" s="18" t="str">
        <f>INDEX(QuocTich!$A:$A,MATCH(DanhsachNguoiluutru!L33,QuocTich!$B:$B,0))</f>
        <v>VN</v>
      </c>
      <c r="O31" s="18" t="str">
        <f>DanhsachNguoiluutru!L33</f>
        <v>Việt Nam</v>
      </c>
      <c r="P31" s="18" t="str">
        <f>INDEX(QuocGia!$A:$A,MATCH(DanhsachNguoiluutru!M33,QuocGia!$B:$B,0))</f>
        <v>VN</v>
      </c>
      <c r="Q31" s="18" t="str">
        <f>DanhsachNguoiluutru!M33</f>
        <v>Cộng hòa xã hội chủ nghĩa Việt Nam</v>
      </c>
      <c r="R31" s="18" t="str">
        <f>INDEX(TinhThanh!$C:$C,MATCH(DanhsachNguoiluutru!N33,TinhThanh!$B:$B,0))</f>
        <v>19</v>
      </c>
      <c r="S31" s="18" t="str">
        <f ca="1">INDEX(OFFSET(QuanHuyen!$C$1,MATCH(extracted!$R31,QuanHuyen!$A:$A,0)-1,0,10000,1),MATCH(DanhsachNguoiluutru!$O33,OFFSET(QuanHuyen!$B$1,MATCH(extracted!$R31,QuanHuyen!$A:$A,0)-1,0,10000,1), 0))</f>
        <v>172</v>
      </c>
      <c r="T31" s="18" t="str">
        <f ca="1">INDEX(OFFSET(PhuongXa!$C$1,MATCH(extracted!$S31,PhuongXa!$A:$A,0)-1,0,10000,1),MATCH(DanhsachNguoiluutru!$P33,OFFSET(PhuongXa!$B$1,MATCH(extracted!$S31,PhuongXa!$A:$A,0)-1,0,10000,1), 0))</f>
        <v>05881</v>
      </c>
      <c r="U31" s="18" t="str">
        <f>DanhsachNguoiluutru!Q33</f>
        <v>Thành Công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>Thành Công, Xã Thành Công, Thị xã Phổ Yên, Tỉnh Thái Nguyên</v>
      </c>
      <c r="W31" s="18">
        <f>VLOOKUP(DanhsachNguoiluutru!$R33,DanhMuc!$A$2:$B$4,2,FALSE)</f>
        <v>1</v>
      </c>
      <c r="X31" s="18" t="str">
        <f>DanhsachNguoiluutru!R33</f>
        <v>Tạm trú</v>
      </c>
      <c r="Y31" s="18" t="str">
        <f>DanhsachNguoiluutru!S33</f>
        <v>03/07/2023</v>
      </c>
      <c r="Z31" s="18" t="str">
        <f>DanhsachNguoiluutru!T33</f>
        <v>04/07/2023</v>
      </c>
      <c r="AA31" s="18" t="str">
        <f>DanhsachNguoiluutru!U33</f>
        <v>Du Lịch</v>
      </c>
      <c r="AB31" s="18">
        <f>DanhsachNguoiluutru!V25</f>
        <v>407</v>
      </c>
    </row>
    <row r="32" spans="1:28" x14ac:dyDescent="0.3">
      <c r="A32" s="18" t="str">
        <f>DanhsachNguoiluutru!B34</f>
        <v>Phạm Sơn Hiếu</v>
      </c>
      <c r="B32" s="18" t="str">
        <f>DanhsachNguoiluutru!C34</f>
        <v>09/05/1993</v>
      </c>
      <c r="C32" s="18" t="str">
        <f>INDEX(GioiTinh!$A:$A,MATCH(DanhsachNguoiluutru!D34,GioiTinh!$B:$B,0))</f>
        <v>2</v>
      </c>
      <c r="D32" s="18" t="str">
        <f>DanhsachNguoiluutru!D34</f>
        <v>Giới tính Nam</v>
      </c>
      <c r="E32" s="18" t="str">
        <f>DanhsachNguoiluutru!E34</f>
        <v>019093665320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str">
        <f>INDEX(NgheNghiep!$A:$A,MATCH(DanhsachNguoiluutru!I34,NgheNghiep!$B:$B,0))</f>
        <v>TUDO</v>
      </c>
      <c r="J32" s="18" t="str">
        <f>DanhsachNguoiluutru!I34</f>
        <v>Tự do</v>
      </c>
      <c r="K32" s="18" t="str">
        <f>DanhsachNguoiluutru!J34</f>
        <v>Thành Công</v>
      </c>
      <c r="L32" s="18" t="str">
        <f>INDEX(DanToc!$A:$A,MATCH(DanhsachNguoiluutru!K34,DanToc!$B:$B,0))</f>
        <v>01</v>
      </c>
      <c r="M32" s="18" t="str">
        <f>DanhsachNguoiluutru!K34</f>
        <v>Kinh</v>
      </c>
      <c r="N32" s="18" t="str">
        <f>INDEX(QuocTich!$A:$A,MATCH(DanhsachNguoiluutru!L34,QuocTich!$B:$B,0))</f>
        <v>VN</v>
      </c>
      <c r="O32" s="18" t="str">
        <f>DanhsachNguoiluutru!L34</f>
        <v>Việt Nam</v>
      </c>
      <c r="P32" s="18" t="str">
        <f>INDEX(QuocGia!$A:$A,MATCH(DanhsachNguoiluutru!M34,QuocGia!$B:$B,0))</f>
        <v>VN</v>
      </c>
      <c r="Q32" s="18" t="str">
        <f>DanhsachNguoiluutru!M34</f>
        <v>Cộng hòa xã hội chủ nghĩa Việt Nam</v>
      </c>
      <c r="R32" s="18" t="str">
        <f>INDEX(TinhThanh!$C:$C,MATCH(DanhsachNguoiluutru!N34,TinhThanh!$B:$B,0))</f>
        <v>19</v>
      </c>
      <c r="S32" s="18" t="str">
        <f ca="1">INDEX(OFFSET(QuanHuyen!$C$1,MATCH(extracted!$R32,QuanHuyen!$A:$A,0)-1,0,10000,1),MATCH(DanhsachNguoiluutru!$O34,OFFSET(QuanHuyen!$B$1,MATCH(extracted!$R32,QuanHuyen!$A:$A,0)-1,0,10000,1), 0))</f>
        <v>172</v>
      </c>
      <c r="T32" s="18" t="str">
        <f ca="1">INDEX(OFFSET(PhuongXa!$C$1,MATCH(extracted!$S32,PhuongXa!$A:$A,0)-1,0,10000,1),MATCH(DanhsachNguoiluutru!$P34,OFFSET(PhuongXa!$B$1,MATCH(extracted!$S32,PhuongXa!$A:$A,0)-1,0,10000,1), 0))</f>
        <v>05881</v>
      </c>
      <c r="U32" s="18" t="str">
        <f>DanhsachNguoiluutru!Q34</f>
        <v>Thành Công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>Thành Công, Xã Thành Công, Thị xã Phổ Yên, Tỉnh Thái Nguyên</v>
      </c>
      <c r="W32" s="18">
        <f>VLOOKUP(DanhsachNguoiluutru!$R34,DanhMuc!$A$2:$B$4,2,FALSE)</f>
        <v>1</v>
      </c>
      <c r="X32" s="18" t="str">
        <f>DanhsachNguoiluutru!R34</f>
        <v>Tạm trú</v>
      </c>
      <c r="Y32" s="18" t="str">
        <f>DanhsachNguoiluutru!S34</f>
        <v>03/07/2023</v>
      </c>
      <c r="Z32" s="18" t="str">
        <f>DanhsachNguoiluutru!T34</f>
        <v>04/07/2023</v>
      </c>
      <c r="AA32" s="18" t="str">
        <f>DanhsachNguoiluutru!U34</f>
        <v>Du Lịch</v>
      </c>
      <c r="AB32" s="18">
        <f>DanhsachNguoiluutru!V26</f>
        <v>407</v>
      </c>
    </row>
    <row r="33" spans="1:28" x14ac:dyDescent="0.3">
      <c r="A33" s="18" t="str">
        <f>DanhsachNguoiluutru!B35</f>
        <v>Đinh Hạnh Nhi</v>
      </c>
      <c r="B33" s="18" t="str">
        <f>DanhsachNguoiluutru!C35</f>
        <v>02/09/1988</v>
      </c>
      <c r="C33" s="18" t="str">
        <f>INDEX(GioiTinh!$A:$A,MATCH(DanhsachNguoiluutru!D35,GioiTinh!$B:$B,0))</f>
        <v>3</v>
      </c>
      <c r="D33" s="18" t="str">
        <f>DanhsachNguoiluutru!D35</f>
        <v>Giới tính Nữ</v>
      </c>
      <c r="E33" s="18" t="str">
        <f>DanhsachNguoiluutru!E35</f>
        <v>019188847888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str">
        <f>INDEX(NgheNghiep!$A:$A,MATCH(DanhsachNguoiluutru!I35,NgheNghiep!$B:$B,0))</f>
        <v>TUDO</v>
      </c>
      <c r="J33" s="18" t="str">
        <f>DanhsachNguoiluutru!I35</f>
        <v>Tự do</v>
      </c>
      <c r="K33" s="18" t="str">
        <f>DanhsachNguoiluutru!J35</f>
        <v>Thành Công</v>
      </c>
      <c r="L33" s="18" t="str">
        <f>INDEX(DanToc!$A:$A,MATCH(DanhsachNguoiluutru!K35,DanToc!$B:$B,0))</f>
        <v>01</v>
      </c>
      <c r="M33" s="18" t="str">
        <f>DanhsachNguoiluutru!K35</f>
        <v>Kinh</v>
      </c>
      <c r="N33" s="18" t="str">
        <f>INDEX(QuocTich!$A:$A,MATCH(DanhsachNguoiluutru!L35,QuocTich!$B:$B,0))</f>
        <v>VN</v>
      </c>
      <c r="O33" s="18" t="str">
        <f>DanhsachNguoiluutru!L35</f>
        <v>Việt Nam</v>
      </c>
      <c r="P33" s="18" t="str">
        <f>INDEX(QuocGia!$A:$A,MATCH(DanhsachNguoiluutru!M35,QuocGia!$B:$B,0))</f>
        <v>VN</v>
      </c>
      <c r="Q33" s="18" t="str">
        <f>DanhsachNguoiluutru!M35</f>
        <v>Cộng hòa xã hội chủ nghĩa Việt Nam</v>
      </c>
      <c r="R33" s="18" t="str">
        <f>INDEX(TinhThanh!$C:$C,MATCH(DanhsachNguoiluutru!N35,TinhThanh!$B:$B,0))</f>
        <v>19</v>
      </c>
      <c r="S33" s="18" t="str">
        <f ca="1">INDEX(OFFSET(QuanHuyen!$C$1,MATCH(extracted!$R33,QuanHuyen!$A:$A,0)-1,0,10000,1),MATCH(DanhsachNguoiluutru!$O35,OFFSET(QuanHuyen!$B$1,MATCH(extracted!$R33,QuanHuyen!$A:$A,0)-1,0,10000,1), 0))</f>
        <v>172</v>
      </c>
      <c r="T33" s="18" t="str">
        <f ca="1">INDEX(OFFSET(PhuongXa!$C$1,MATCH(extracted!$S33,PhuongXa!$A:$A,0)-1,0,10000,1),MATCH(DanhsachNguoiluutru!$P35,OFFSET(PhuongXa!$B$1,MATCH(extracted!$S33,PhuongXa!$A:$A,0)-1,0,10000,1), 0))</f>
        <v>05881</v>
      </c>
      <c r="U33" s="18" t="str">
        <f>DanhsachNguoiluutru!Q35</f>
        <v>Thành Công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>Thành Công, Xã Thành Công, Thị xã Phổ Yên, Tỉnh Thái Nguyên</v>
      </c>
      <c r="W33" s="18">
        <f>VLOOKUP(DanhsachNguoiluutru!$R35,DanhMuc!$A$2:$B$4,2,FALSE)</f>
        <v>1</v>
      </c>
      <c r="X33" s="18" t="str">
        <f>DanhsachNguoiluutru!R35</f>
        <v>Tạm trú</v>
      </c>
      <c r="Y33" s="18" t="str">
        <f>DanhsachNguoiluutru!S35</f>
        <v>03/07/2023</v>
      </c>
      <c r="Z33" s="18" t="str">
        <f>DanhsachNguoiluutru!T35</f>
        <v>04/07/2023</v>
      </c>
      <c r="AA33" s="18" t="str">
        <f>DanhsachNguoiluutru!U35</f>
        <v>Du Lịch</v>
      </c>
      <c r="AB33" s="18">
        <f>DanhsachNguoiluutru!V27</f>
        <v>501</v>
      </c>
    </row>
    <row r="34" spans="1:28" x14ac:dyDescent="0.3">
      <c r="A34" s="18" t="str">
        <f>DanhsachNguoiluutru!B36</f>
        <v>Đoàn Đình Kiên</v>
      </c>
      <c r="B34" s="18" t="str">
        <f>DanhsachNguoiluutru!C36</f>
        <v>11/09/1991</v>
      </c>
      <c r="C34" s="18" t="str">
        <f>INDEX(GioiTinh!$A:$A,MATCH(DanhsachNguoiluutru!D36,GioiTinh!$B:$B,0))</f>
        <v>2</v>
      </c>
      <c r="D34" s="18" t="str">
        <f>DanhsachNguoiluutru!D36</f>
        <v>Giới tính Nam</v>
      </c>
      <c r="E34" s="18" t="str">
        <f>DanhsachNguoiluutru!E36</f>
        <v>019091629964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str">
        <f>INDEX(NgheNghiep!$A:$A,MATCH(DanhsachNguoiluutru!I36,NgheNghiep!$B:$B,0))</f>
        <v>TUDO</v>
      </c>
      <c r="J34" s="18" t="str">
        <f>DanhsachNguoiluutru!I36</f>
        <v>Tự do</v>
      </c>
      <c r="K34" s="18" t="str">
        <f>DanhsachNguoiluutru!J36</f>
        <v>Thành Công</v>
      </c>
      <c r="L34" s="18" t="str">
        <f>INDEX(DanToc!$A:$A,MATCH(DanhsachNguoiluutru!K36,DanToc!$B:$B,0))</f>
        <v>01</v>
      </c>
      <c r="M34" s="18" t="str">
        <f>DanhsachNguoiluutru!K36</f>
        <v>Kinh</v>
      </c>
      <c r="N34" s="18" t="str">
        <f>INDEX(QuocTich!$A:$A,MATCH(DanhsachNguoiluutru!L36,QuocTich!$B:$B,0))</f>
        <v>VN</v>
      </c>
      <c r="O34" s="18" t="str">
        <f>DanhsachNguoiluutru!L36</f>
        <v>Việt Nam</v>
      </c>
      <c r="P34" s="18" t="str">
        <f>INDEX(QuocGia!$A:$A,MATCH(DanhsachNguoiluutru!M36,QuocGia!$B:$B,0))</f>
        <v>VN</v>
      </c>
      <c r="Q34" s="18" t="str">
        <f>DanhsachNguoiluutru!M36</f>
        <v>Cộng hòa xã hội chủ nghĩa Việt Nam</v>
      </c>
      <c r="R34" s="18" t="str">
        <f>INDEX(TinhThanh!$C:$C,MATCH(DanhsachNguoiluutru!N36,TinhThanh!$B:$B,0))</f>
        <v>19</v>
      </c>
      <c r="S34" s="18" t="str">
        <f ca="1">INDEX(OFFSET(QuanHuyen!$C$1,MATCH(extracted!$R34,QuanHuyen!$A:$A,0)-1,0,10000,1),MATCH(DanhsachNguoiluutru!$O36,OFFSET(QuanHuyen!$B$1,MATCH(extracted!$R34,QuanHuyen!$A:$A,0)-1,0,10000,1), 0))</f>
        <v>172</v>
      </c>
      <c r="T34" s="18" t="str">
        <f ca="1">INDEX(OFFSET(PhuongXa!$C$1,MATCH(extracted!$S34,PhuongXa!$A:$A,0)-1,0,10000,1),MATCH(DanhsachNguoiluutru!$P36,OFFSET(PhuongXa!$B$1,MATCH(extracted!$S34,PhuongXa!$A:$A,0)-1,0,10000,1), 0))</f>
        <v>05881</v>
      </c>
      <c r="U34" s="18" t="str">
        <f>DanhsachNguoiluutru!Q36</f>
        <v>Thành Công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>Thành Công, Xã Thành Công, Thị xã Phổ Yên, Tỉnh Thái Nguyên</v>
      </c>
      <c r="W34" s="18">
        <f>VLOOKUP(DanhsachNguoiluutru!$R36,DanhMuc!$A$2:$B$4,2,FALSE)</f>
        <v>1</v>
      </c>
      <c r="X34" s="18" t="str">
        <f>DanhsachNguoiluutru!R36</f>
        <v>Tạm trú</v>
      </c>
      <c r="Y34" s="18" t="str">
        <f>DanhsachNguoiluutru!S36</f>
        <v>03/07/2023</v>
      </c>
      <c r="Z34" s="18" t="str">
        <f>DanhsachNguoiluutru!T36</f>
        <v>04/07/2023</v>
      </c>
      <c r="AA34" s="18" t="str">
        <f>DanhsachNguoiluutru!U36</f>
        <v>Du Lịch</v>
      </c>
      <c r="AB34" s="18">
        <f>DanhsachNguoiluutru!V28</f>
        <v>501</v>
      </c>
    </row>
    <row r="35" spans="1:28" x14ac:dyDescent="0.3">
      <c r="A35" s="18" t="str">
        <f>DanhsachNguoiluutru!B37</f>
        <v>Mai Khánh Tuấn</v>
      </c>
      <c r="B35" s="18" t="str">
        <f>DanhsachNguoiluutru!C37</f>
        <v>27/06/1982</v>
      </c>
      <c r="C35" s="18" t="str">
        <f>INDEX(GioiTinh!$A:$A,MATCH(DanhsachNguoiluutru!D37,GioiTinh!$B:$B,0))</f>
        <v>2</v>
      </c>
      <c r="D35" s="18" t="str">
        <f>DanhsachNguoiluutru!D37</f>
        <v>Giới tính Nam</v>
      </c>
      <c r="E35" s="18" t="str">
        <f>DanhsachNguoiluutru!E37</f>
        <v>019082439999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str">
        <f>INDEX(NgheNghiep!$A:$A,MATCH(DanhsachNguoiluutru!I37,NgheNghiep!$B:$B,0))</f>
        <v>TUDO</v>
      </c>
      <c r="J35" s="18" t="str">
        <f>DanhsachNguoiluutru!I37</f>
        <v>Tự do</v>
      </c>
      <c r="K35" s="18" t="str">
        <f>DanhsachNguoiluutru!J37</f>
        <v>Thành Công</v>
      </c>
      <c r="L35" s="18" t="str">
        <f>INDEX(DanToc!$A:$A,MATCH(DanhsachNguoiluutru!K37,DanToc!$B:$B,0))</f>
        <v>01</v>
      </c>
      <c r="M35" s="18" t="str">
        <f>DanhsachNguoiluutru!K37</f>
        <v>Kinh</v>
      </c>
      <c r="N35" s="18" t="str">
        <f>INDEX(QuocTich!$A:$A,MATCH(DanhsachNguoiluutru!L37,QuocTich!$B:$B,0))</f>
        <v>VN</v>
      </c>
      <c r="O35" s="18" t="str">
        <f>DanhsachNguoiluutru!L37</f>
        <v>Việt Nam</v>
      </c>
      <c r="P35" s="18" t="str">
        <f>INDEX(QuocGia!$A:$A,MATCH(DanhsachNguoiluutru!M37,QuocGia!$B:$B,0))</f>
        <v>VN</v>
      </c>
      <c r="Q35" s="18" t="str">
        <f>DanhsachNguoiluutru!M37</f>
        <v>Cộng hòa xã hội chủ nghĩa Việt Nam</v>
      </c>
      <c r="R35" s="18" t="str">
        <f>INDEX(TinhThanh!$C:$C,MATCH(DanhsachNguoiluutru!N37,TinhThanh!$B:$B,0))</f>
        <v>19</v>
      </c>
      <c r="S35" s="18" t="str">
        <f ca="1">INDEX(OFFSET(QuanHuyen!$C$1,MATCH(extracted!$R35,QuanHuyen!$A:$A,0)-1,0,10000,1),MATCH(DanhsachNguoiluutru!$O37,OFFSET(QuanHuyen!$B$1,MATCH(extracted!$R35,QuanHuyen!$A:$A,0)-1,0,10000,1), 0))</f>
        <v>172</v>
      </c>
      <c r="T35" s="18" t="str">
        <f ca="1">INDEX(OFFSET(PhuongXa!$C$1,MATCH(extracted!$S35,PhuongXa!$A:$A,0)-1,0,10000,1),MATCH(DanhsachNguoiluutru!$P37,OFFSET(PhuongXa!$B$1,MATCH(extracted!$S35,PhuongXa!$A:$A,0)-1,0,10000,1), 0))</f>
        <v>05881</v>
      </c>
      <c r="U35" s="18" t="str">
        <f>DanhsachNguoiluutru!Q37</f>
        <v>Thành Công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>Thành Công, Xã Thành Công, Thị xã Phổ Yên, Tỉnh Thái Nguyên</v>
      </c>
      <c r="W35" s="18">
        <f>VLOOKUP(DanhsachNguoiluutru!$R37,DanhMuc!$A$2:$B$4,2,FALSE)</f>
        <v>1</v>
      </c>
      <c r="X35" s="18" t="str">
        <f>DanhsachNguoiluutru!R37</f>
        <v>Tạm trú</v>
      </c>
      <c r="Y35" s="18" t="str">
        <f>DanhsachNguoiluutru!S37</f>
        <v>03/07/2023</v>
      </c>
      <c r="Z35" s="18" t="str">
        <f>DanhsachNguoiluutru!T37</f>
        <v>04/07/2023</v>
      </c>
      <c r="AA35" s="18" t="str">
        <f>DanhsachNguoiluutru!U37</f>
        <v>Du Lịch</v>
      </c>
      <c r="AB35" s="18">
        <f>DanhsachNguoiluutru!V29</f>
        <v>501</v>
      </c>
    </row>
    <row r="36" spans="1:28" x14ac:dyDescent="0.3">
      <c r="A36" s="18" t="str">
        <f>DanhsachNguoiluutru!B38</f>
        <v>Đào Công Sơn</v>
      </c>
      <c r="B36" s="18" t="str">
        <f>DanhsachNguoiluutru!C38</f>
        <v>25/11/1983</v>
      </c>
      <c r="C36" s="18" t="str">
        <f>INDEX(GioiTinh!$A:$A,MATCH(DanhsachNguoiluutru!D38,GioiTinh!$B:$B,0))</f>
        <v>2</v>
      </c>
      <c r="D36" s="18" t="str">
        <f>DanhsachNguoiluutru!D38</f>
        <v>Giới tính Nam</v>
      </c>
      <c r="E36" s="18" t="str">
        <f>DanhsachNguoiluutru!E38</f>
        <v>019083102731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str">
        <f>INDEX(NgheNghiep!$A:$A,MATCH(DanhsachNguoiluutru!I38,NgheNghiep!$B:$B,0))</f>
        <v>TUDO</v>
      </c>
      <c r="J36" s="18" t="str">
        <f>DanhsachNguoiluutru!I38</f>
        <v>Tự do</v>
      </c>
      <c r="K36" s="18" t="str">
        <f>DanhsachNguoiluutru!J38</f>
        <v>Thành Công</v>
      </c>
      <c r="L36" s="18" t="str">
        <f>INDEX(DanToc!$A:$A,MATCH(DanhsachNguoiluutru!K38,DanToc!$B:$B,0))</f>
        <v>01</v>
      </c>
      <c r="M36" s="18" t="str">
        <f>DanhsachNguoiluutru!K38</f>
        <v>Kinh</v>
      </c>
      <c r="N36" s="18" t="str">
        <f>INDEX(QuocTich!$A:$A,MATCH(DanhsachNguoiluutru!L38,QuocTich!$B:$B,0))</f>
        <v>VN</v>
      </c>
      <c r="O36" s="18" t="str">
        <f>DanhsachNguoiluutru!L38</f>
        <v>Việt Nam</v>
      </c>
      <c r="P36" s="18" t="str">
        <f>INDEX(QuocGia!$A:$A,MATCH(DanhsachNguoiluutru!M38,QuocGia!$B:$B,0))</f>
        <v>VN</v>
      </c>
      <c r="Q36" s="18" t="str">
        <f>DanhsachNguoiluutru!M38</f>
        <v>Cộng hòa xã hội chủ nghĩa Việt Nam</v>
      </c>
      <c r="R36" s="18" t="str">
        <f>INDEX(TinhThanh!$C:$C,MATCH(DanhsachNguoiluutru!N38,TinhThanh!$B:$B,0))</f>
        <v>19</v>
      </c>
      <c r="S36" s="18" t="str">
        <f ca="1">INDEX(OFFSET(QuanHuyen!$C$1,MATCH(extracted!$R36,QuanHuyen!$A:$A,0)-1,0,10000,1),MATCH(DanhsachNguoiluutru!$O38,OFFSET(QuanHuyen!$B$1,MATCH(extracted!$R36,QuanHuyen!$A:$A,0)-1,0,10000,1), 0))</f>
        <v>172</v>
      </c>
      <c r="T36" s="18" t="str">
        <f ca="1">INDEX(OFFSET(PhuongXa!$C$1,MATCH(extracted!$S36,PhuongXa!$A:$A,0)-1,0,10000,1),MATCH(DanhsachNguoiluutru!$P38,OFFSET(PhuongXa!$B$1,MATCH(extracted!$S36,PhuongXa!$A:$A,0)-1,0,10000,1), 0))</f>
        <v>05881</v>
      </c>
      <c r="U36" s="18" t="str">
        <f>DanhsachNguoiluutru!Q38</f>
        <v>Thành Công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>Thành Công, Xã Thành Công, Thị xã Phổ Yên, Tỉnh Thái Nguyên</v>
      </c>
      <c r="W36" s="18">
        <f>VLOOKUP(DanhsachNguoiluutru!$R38,DanhMuc!$A$2:$B$4,2,FALSE)</f>
        <v>1</v>
      </c>
      <c r="X36" s="18" t="str">
        <f>DanhsachNguoiluutru!R38</f>
        <v>Tạm trú</v>
      </c>
      <c r="Y36" s="18" t="str">
        <f>DanhsachNguoiluutru!S38</f>
        <v>03/07/2023</v>
      </c>
      <c r="Z36" s="18" t="str">
        <f>DanhsachNguoiluutru!T38</f>
        <v>04/07/2023</v>
      </c>
      <c r="AA36" s="18" t="str">
        <f>DanhsachNguoiluutru!U38</f>
        <v>Du Lịch</v>
      </c>
      <c r="AB36" s="18">
        <f>DanhsachNguoiluutru!V30</f>
        <v>501</v>
      </c>
    </row>
    <row r="37" spans="1:28" x14ac:dyDescent="0.3">
      <c r="A37" s="18" t="str">
        <f>DanhsachNguoiluutru!B39</f>
        <v>Lương Hữu Linh</v>
      </c>
      <c r="B37" s="18" t="str">
        <f>DanhsachNguoiluutru!C39</f>
        <v>19/01/1983</v>
      </c>
      <c r="C37" s="18" t="str">
        <f>INDEX(GioiTinh!$A:$A,MATCH(DanhsachNguoiluutru!D39,GioiTinh!$B:$B,0))</f>
        <v>2</v>
      </c>
      <c r="D37" s="18" t="str">
        <f>DanhsachNguoiluutru!D39</f>
        <v>Giới tính Nam</v>
      </c>
      <c r="E37" s="18" t="str">
        <f>DanhsachNguoiluutru!E39</f>
        <v>019083841624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str">
        <f>INDEX(NgheNghiep!$A:$A,MATCH(DanhsachNguoiluutru!I39,NgheNghiep!$B:$B,0))</f>
        <v>TUDO</v>
      </c>
      <c r="J37" s="18" t="str">
        <f>DanhsachNguoiluutru!I39</f>
        <v>Tự do</v>
      </c>
      <c r="K37" s="18" t="str">
        <f>DanhsachNguoiluutru!J39</f>
        <v>Thành Công</v>
      </c>
      <c r="L37" s="18" t="str">
        <f>INDEX(DanToc!$A:$A,MATCH(DanhsachNguoiluutru!K39,DanToc!$B:$B,0))</f>
        <v>01</v>
      </c>
      <c r="M37" s="18" t="str">
        <f>DanhsachNguoiluutru!K39</f>
        <v>Kinh</v>
      </c>
      <c r="N37" s="18" t="str">
        <f>INDEX(QuocTich!$A:$A,MATCH(DanhsachNguoiluutru!L39,QuocTich!$B:$B,0))</f>
        <v>VN</v>
      </c>
      <c r="O37" s="18" t="str">
        <f>DanhsachNguoiluutru!L39</f>
        <v>Việt Nam</v>
      </c>
      <c r="P37" s="18" t="str">
        <f>INDEX(QuocGia!$A:$A,MATCH(DanhsachNguoiluutru!M39,QuocGia!$B:$B,0))</f>
        <v>VN</v>
      </c>
      <c r="Q37" s="18" t="str">
        <f>DanhsachNguoiluutru!M39</f>
        <v>Cộng hòa xã hội chủ nghĩa Việt Nam</v>
      </c>
      <c r="R37" s="18" t="str">
        <f>INDEX(TinhThanh!$C:$C,MATCH(DanhsachNguoiluutru!N39,TinhThanh!$B:$B,0))</f>
        <v>19</v>
      </c>
      <c r="S37" s="18" t="str">
        <f ca="1">INDEX(OFFSET(QuanHuyen!$C$1,MATCH(extracted!$R37,QuanHuyen!$A:$A,0)-1,0,10000,1),MATCH(DanhsachNguoiluutru!$O39,OFFSET(QuanHuyen!$B$1,MATCH(extracted!$R37,QuanHuyen!$A:$A,0)-1,0,10000,1), 0))</f>
        <v>172</v>
      </c>
      <c r="T37" s="18" t="str">
        <f ca="1">INDEX(OFFSET(PhuongXa!$C$1,MATCH(extracted!$S37,PhuongXa!$A:$A,0)-1,0,10000,1),MATCH(DanhsachNguoiluutru!$P39,OFFSET(PhuongXa!$B$1,MATCH(extracted!$S37,PhuongXa!$A:$A,0)-1,0,10000,1), 0))</f>
        <v>05881</v>
      </c>
      <c r="U37" s="18" t="str">
        <f>DanhsachNguoiluutru!Q39</f>
        <v>Thành Công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>Thành Công, Xã Thành Công, Thị xã Phổ Yên, Tỉnh Thái Nguyên</v>
      </c>
      <c r="W37" s="18">
        <f>VLOOKUP(DanhsachNguoiluutru!$R39,DanhMuc!$A$2:$B$4,2,FALSE)</f>
        <v>1</v>
      </c>
      <c r="X37" s="18" t="str">
        <f>DanhsachNguoiluutru!R39</f>
        <v>Tạm trú</v>
      </c>
      <c r="Y37" s="18" t="str">
        <f>DanhsachNguoiluutru!S39</f>
        <v>03/07/2023</v>
      </c>
      <c r="Z37" s="18" t="str">
        <f>DanhsachNguoiluutru!T39</f>
        <v>04/07/2023</v>
      </c>
      <c r="AA37" s="18" t="str">
        <f>DanhsachNguoiluutru!U39</f>
        <v>Du Lịch</v>
      </c>
      <c r="AB37" s="18" t="e">
        <f>DanhsachNguoiluutru!#REF!</f>
        <v>#REF!</v>
      </c>
    </row>
    <row r="38" spans="1:28" x14ac:dyDescent="0.3">
      <c r="A38" s="18" t="str">
        <f>DanhsachNguoiluutru!B40</f>
        <v>Lê Hạnh Quỳnh</v>
      </c>
      <c r="B38" s="18" t="str">
        <f>DanhsachNguoiluutru!C40</f>
        <v>08/08/1990</v>
      </c>
      <c r="C38" s="18" t="str">
        <f>INDEX(GioiTinh!$A:$A,MATCH(DanhsachNguoiluutru!D40,GioiTinh!$B:$B,0))</f>
        <v>3</v>
      </c>
      <c r="D38" s="18" t="str">
        <f>DanhsachNguoiluutru!D40</f>
        <v>Giới tính Nữ</v>
      </c>
      <c r="E38" s="18" t="str">
        <f>DanhsachNguoiluutru!E40</f>
        <v>019190749680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str">
        <f>INDEX(NgheNghiep!$A:$A,MATCH(DanhsachNguoiluutru!I40,NgheNghiep!$B:$B,0))</f>
        <v>TUDO</v>
      </c>
      <c r="J38" s="18" t="str">
        <f>DanhsachNguoiluutru!I40</f>
        <v>Tự do</v>
      </c>
      <c r="K38" s="18" t="str">
        <f>DanhsachNguoiluutru!J40</f>
        <v>Thành Công</v>
      </c>
      <c r="L38" s="18" t="str">
        <f>INDEX(DanToc!$A:$A,MATCH(DanhsachNguoiluutru!K40,DanToc!$B:$B,0))</f>
        <v>01</v>
      </c>
      <c r="M38" s="18" t="str">
        <f>DanhsachNguoiluutru!K40</f>
        <v>Kinh</v>
      </c>
      <c r="N38" s="18" t="str">
        <f>INDEX(QuocTich!$A:$A,MATCH(DanhsachNguoiluutru!L40,QuocTich!$B:$B,0))</f>
        <v>VN</v>
      </c>
      <c r="O38" s="18" t="str">
        <f>DanhsachNguoiluutru!L40</f>
        <v>Việt Nam</v>
      </c>
      <c r="P38" s="18" t="str">
        <f>INDEX(QuocGia!$A:$A,MATCH(DanhsachNguoiluutru!M40,QuocGia!$B:$B,0))</f>
        <v>VN</v>
      </c>
      <c r="Q38" s="18" t="str">
        <f>DanhsachNguoiluutru!M40</f>
        <v>Cộng hòa xã hội chủ nghĩa Việt Nam</v>
      </c>
      <c r="R38" s="18" t="str">
        <f>INDEX(TinhThanh!$C:$C,MATCH(DanhsachNguoiluutru!N40,TinhThanh!$B:$B,0))</f>
        <v>19</v>
      </c>
      <c r="S38" s="18" t="str">
        <f ca="1">INDEX(OFFSET(QuanHuyen!$C$1,MATCH(extracted!$R38,QuanHuyen!$A:$A,0)-1,0,10000,1),MATCH(DanhsachNguoiluutru!$O40,OFFSET(QuanHuyen!$B$1,MATCH(extracted!$R38,QuanHuyen!$A:$A,0)-1,0,10000,1), 0))</f>
        <v>172</v>
      </c>
      <c r="T38" s="18" t="str">
        <f ca="1">INDEX(OFFSET(PhuongXa!$C$1,MATCH(extracted!$S38,PhuongXa!$A:$A,0)-1,0,10000,1),MATCH(DanhsachNguoiluutru!$P40,OFFSET(PhuongXa!$B$1,MATCH(extracted!$S38,PhuongXa!$A:$A,0)-1,0,10000,1), 0))</f>
        <v>05881</v>
      </c>
      <c r="U38" s="18" t="str">
        <f>DanhsachNguoiluutru!Q40</f>
        <v>Thành Công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>Thành Công, Xã Thành Công, Thị xã Phổ Yên, Tỉnh Thái Nguyên</v>
      </c>
      <c r="W38" s="18">
        <f>VLOOKUP(DanhsachNguoiluutru!$R40,DanhMuc!$A$2:$B$4,2,FALSE)</f>
        <v>1</v>
      </c>
      <c r="X38" s="18" t="str">
        <f>DanhsachNguoiluutru!R40</f>
        <v>Tạm trú</v>
      </c>
      <c r="Y38" s="18" t="str">
        <f>DanhsachNguoiluutru!S40</f>
        <v>03/07/2023</v>
      </c>
      <c r="Z38" s="18" t="str">
        <f>DanhsachNguoiluutru!T40</f>
        <v>04/07/2023</v>
      </c>
      <c r="AA38" s="18" t="str">
        <f>DanhsachNguoiluutru!U40</f>
        <v>Du Lịch</v>
      </c>
      <c r="AB38" s="18" t="e">
        <f>DanhsachNguoiluutru!#REF!</f>
        <v>#REF!</v>
      </c>
    </row>
    <row r="39" spans="1:28" x14ac:dyDescent="0.3">
      <c r="A39" s="18" t="str">
        <f>DanhsachNguoiluutru!B41</f>
        <v>Vũ Minh Cường</v>
      </c>
      <c r="B39" s="18" t="str">
        <f>DanhsachNguoiluutru!C41</f>
        <v>27/12/1982</v>
      </c>
      <c r="C39" s="18" t="str">
        <f>INDEX(GioiTinh!$A:$A,MATCH(DanhsachNguoiluutru!D41,GioiTinh!$B:$B,0))</f>
        <v>2</v>
      </c>
      <c r="D39" s="18" t="str">
        <f>DanhsachNguoiluutru!D41</f>
        <v>Giới tính Nam</v>
      </c>
      <c r="E39" s="18" t="str">
        <f>DanhsachNguoiluutru!E41</f>
        <v>019082319460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str">
        <f>INDEX(NgheNghiep!$A:$A,MATCH(DanhsachNguoiluutru!I41,NgheNghiep!$B:$B,0))</f>
        <v>TUDO</v>
      </c>
      <c r="J39" s="18" t="str">
        <f>DanhsachNguoiluutru!I41</f>
        <v>Tự do</v>
      </c>
      <c r="K39" s="18" t="str">
        <f>DanhsachNguoiluutru!J41</f>
        <v>Thành Công</v>
      </c>
      <c r="L39" s="18" t="str">
        <f>INDEX(DanToc!$A:$A,MATCH(DanhsachNguoiluutru!K41,DanToc!$B:$B,0))</f>
        <v>01</v>
      </c>
      <c r="M39" s="18" t="str">
        <f>DanhsachNguoiluutru!K41</f>
        <v>Kinh</v>
      </c>
      <c r="N39" s="18" t="str">
        <f>INDEX(QuocTich!$A:$A,MATCH(DanhsachNguoiluutru!L41,QuocTich!$B:$B,0))</f>
        <v>VN</v>
      </c>
      <c r="O39" s="18" t="str">
        <f>DanhsachNguoiluutru!L41</f>
        <v>Việt Nam</v>
      </c>
      <c r="P39" s="18" t="str">
        <f>INDEX(QuocGia!$A:$A,MATCH(DanhsachNguoiluutru!M41,QuocGia!$B:$B,0))</f>
        <v>VN</v>
      </c>
      <c r="Q39" s="18" t="str">
        <f>DanhsachNguoiluutru!M41</f>
        <v>Cộng hòa xã hội chủ nghĩa Việt Nam</v>
      </c>
      <c r="R39" s="18" t="str">
        <f>INDEX(TinhThanh!$C:$C,MATCH(DanhsachNguoiluutru!N41,TinhThanh!$B:$B,0))</f>
        <v>19</v>
      </c>
      <c r="S39" s="18" t="str">
        <f ca="1">INDEX(OFFSET(QuanHuyen!$C$1,MATCH(extracted!$R39,QuanHuyen!$A:$A,0)-1,0,10000,1),MATCH(DanhsachNguoiluutru!$O41,OFFSET(QuanHuyen!$B$1,MATCH(extracted!$R39,QuanHuyen!$A:$A,0)-1,0,10000,1), 0))</f>
        <v>172</v>
      </c>
      <c r="T39" s="18" t="str">
        <f ca="1">INDEX(OFFSET(PhuongXa!$C$1,MATCH(extracted!$S39,PhuongXa!$A:$A,0)-1,0,10000,1),MATCH(DanhsachNguoiluutru!$P41,OFFSET(PhuongXa!$B$1,MATCH(extracted!$S39,PhuongXa!$A:$A,0)-1,0,10000,1), 0))</f>
        <v>05881</v>
      </c>
      <c r="U39" s="18" t="str">
        <f>DanhsachNguoiluutru!Q41</f>
        <v>Thành Công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>Thành Công, Xã Thành Công, Thị xã Phổ Yên, Tỉnh Thái Nguyên</v>
      </c>
      <c r="W39" s="18">
        <f>VLOOKUP(DanhsachNguoiluutru!$R41,DanhMuc!$A$2:$B$4,2,FALSE)</f>
        <v>1</v>
      </c>
      <c r="X39" s="18" t="str">
        <f>DanhsachNguoiluutru!R41</f>
        <v>Tạm trú</v>
      </c>
      <c r="Y39" s="18" t="str">
        <f>DanhsachNguoiluutru!S41</f>
        <v>03/07/2023</v>
      </c>
      <c r="Z39" s="18" t="str">
        <f>DanhsachNguoiluutru!T41</f>
        <v>04/07/2023</v>
      </c>
      <c r="AA39" s="18" t="str">
        <f>DanhsachNguoiluutru!U41</f>
        <v>Du Lịch</v>
      </c>
      <c r="AB39" s="18" t="e">
        <f>DanhsachNguoiluutru!#REF!</f>
        <v>#REF!</v>
      </c>
    </row>
    <row r="40" spans="1:28" x14ac:dyDescent="0.3">
      <c r="A40" s="18" t="str">
        <f>DanhsachNguoiluutru!B42</f>
        <v>Đinh Sơn Dương</v>
      </c>
      <c r="B40" s="18" t="str">
        <f>DanhsachNguoiluutru!C42</f>
        <v>12/09/1991</v>
      </c>
      <c r="C40" s="18" t="str">
        <f>INDEX(GioiTinh!$A:$A,MATCH(DanhsachNguoiluutru!D42,GioiTinh!$B:$B,0))</f>
        <v>2</v>
      </c>
      <c r="D40" s="18" t="str">
        <f>DanhsachNguoiluutru!D42</f>
        <v>Giới tính Nam</v>
      </c>
      <c r="E40" s="18" t="str">
        <f>DanhsachNguoiluutru!E42</f>
        <v>019091446418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str">
        <f>INDEX(NgheNghiep!$A:$A,MATCH(DanhsachNguoiluutru!I42,NgheNghiep!$B:$B,0))</f>
        <v>TUDO</v>
      </c>
      <c r="J40" s="18" t="str">
        <f>DanhsachNguoiluutru!I42</f>
        <v>Tự do</v>
      </c>
      <c r="K40" s="18" t="str">
        <f>DanhsachNguoiluutru!J42</f>
        <v>Thành Công</v>
      </c>
      <c r="L40" s="18" t="str">
        <f>INDEX(DanToc!$A:$A,MATCH(DanhsachNguoiluutru!K42,DanToc!$B:$B,0))</f>
        <v>01</v>
      </c>
      <c r="M40" s="18" t="str">
        <f>DanhsachNguoiluutru!K42</f>
        <v>Kinh</v>
      </c>
      <c r="N40" s="18" t="str">
        <f>INDEX(QuocTich!$A:$A,MATCH(DanhsachNguoiluutru!L42,QuocTich!$B:$B,0))</f>
        <v>VN</v>
      </c>
      <c r="O40" s="18" t="str">
        <f>DanhsachNguoiluutru!L42</f>
        <v>Việt Nam</v>
      </c>
      <c r="P40" s="18" t="str">
        <f>INDEX(QuocGia!$A:$A,MATCH(DanhsachNguoiluutru!M42,QuocGia!$B:$B,0))</f>
        <v>VN</v>
      </c>
      <c r="Q40" s="18" t="str">
        <f>DanhsachNguoiluutru!M42</f>
        <v>Cộng hòa xã hội chủ nghĩa Việt Nam</v>
      </c>
      <c r="R40" s="18" t="str">
        <f>INDEX(TinhThanh!$C:$C,MATCH(DanhsachNguoiluutru!N42,TinhThanh!$B:$B,0))</f>
        <v>19</v>
      </c>
      <c r="S40" s="18" t="str">
        <f ca="1">INDEX(OFFSET(QuanHuyen!$C$1,MATCH(extracted!$R40,QuanHuyen!$A:$A,0)-1,0,10000,1),MATCH(DanhsachNguoiluutru!$O42,OFFSET(QuanHuyen!$B$1,MATCH(extracted!$R40,QuanHuyen!$A:$A,0)-1,0,10000,1), 0))</f>
        <v>172</v>
      </c>
      <c r="T40" s="18" t="str">
        <f ca="1">INDEX(OFFSET(PhuongXa!$C$1,MATCH(extracted!$S40,PhuongXa!$A:$A,0)-1,0,10000,1),MATCH(DanhsachNguoiluutru!$P42,OFFSET(PhuongXa!$B$1,MATCH(extracted!$S40,PhuongXa!$A:$A,0)-1,0,10000,1), 0))</f>
        <v>05881</v>
      </c>
      <c r="U40" s="18" t="str">
        <f>DanhsachNguoiluutru!Q42</f>
        <v>Thành Công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>Thành Công, Xã Thành Công, Thị xã Phổ Yên, Tỉnh Thái Nguyên</v>
      </c>
      <c r="W40" s="18">
        <f>VLOOKUP(DanhsachNguoiluutru!$R42,DanhMuc!$A$2:$B$4,2,FALSE)</f>
        <v>1</v>
      </c>
      <c r="X40" s="18" t="str">
        <f>DanhsachNguoiluutru!R42</f>
        <v>Tạm trú</v>
      </c>
      <c r="Y40" s="18" t="str">
        <f>DanhsachNguoiluutru!S42</f>
        <v>03/07/2023</v>
      </c>
      <c r="Z40" s="18" t="str">
        <f>DanhsachNguoiluutru!T42</f>
        <v>04/07/2023</v>
      </c>
      <c r="AA40" s="18" t="str">
        <f>DanhsachNguoiluutru!U42</f>
        <v>Du Lịch</v>
      </c>
      <c r="AB40" s="18" t="e">
        <f>DanhsachNguoiluutru!#REF!</f>
        <v>#REF!</v>
      </c>
    </row>
    <row r="41" spans="1:28" x14ac:dyDescent="0.3">
      <c r="A41" s="18" t="str">
        <f>DanhsachNguoiluutru!B43</f>
        <v>Đinh Thị Thảo</v>
      </c>
      <c r="B41" s="18" t="str">
        <f>DanhsachNguoiluutru!C43</f>
        <v>23/08/1986</v>
      </c>
      <c r="C41" s="18" t="str">
        <f>INDEX(GioiTinh!$A:$A,MATCH(DanhsachNguoiluutru!D43,GioiTinh!$B:$B,0))</f>
        <v>3</v>
      </c>
      <c r="D41" s="18" t="str">
        <f>DanhsachNguoiluutru!D43</f>
        <v>Giới tính Nữ</v>
      </c>
      <c r="E41" s="18" t="str">
        <f>DanhsachNguoiluutru!E43</f>
        <v>019186108261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str">
        <f>INDEX(NgheNghiep!$A:$A,MATCH(DanhsachNguoiluutru!I43,NgheNghiep!$B:$B,0))</f>
        <v>TUDO</v>
      </c>
      <c r="J41" s="18" t="str">
        <f>DanhsachNguoiluutru!I43</f>
        <v>Tự do</v>
      </c>
      <c r="K41" s="18" t="str">
        <f>DanhsachNguoiluutru!J43</f>
        <v>Thành Công</v>
      </c>
      <c r="L41" s="18" t="str">
        <f>INDEX(DanToc!$A:$A,MATCH(DanhsachNguoiluutru!K43,DanToc!$B:$B,0))</f>
        <v>01</v>
      </c>
      <c r="M41" s="18" t="str">
        <f>DanhsachNguoiluutru!K43</f>
        <v>Kinh</v>
      </c>
      <c r="N41" s="18" t="str">
        <f>INDEX(QuocTich!$A:$A,MATCH(DanhsachNguoiluutru!L43,QuocTich!$B:$B,0))</f>
        <v>VN</v>
      </c>
      <c r="O41" s="18" t="str">
        <f>DanhsachNguoiluutru!L43</f>
        <v>Việt Nam</v>
      </c>
      <c r="P41" s="18" t="str">
        <f>INDEX(QuocGia!$A:$A,MATCH(DanhsachNguoiluutru!M43,QuocGia!$B:$B,0))</f>
        <v>VN</v>
      </c>
      <c r="Q41" s="18" t="str">
        <f>DanhsachNguoiluutru!M43</f>
        <v>Cộng hòa xã hội chủ nghĩa Việt Nam</v>
      </c>
      <c r="R41" s="18" t="str">
        <f>INDEX(TinhThanh!$C:$C,MATCH(DanhsachNguoiluutru!N43,TinhThanh!$B:$B,0))</f>
        <v>19</v>
      </c>
      <c r="S41" s="18" t="str">
        <f ca="1">INDEX(OFFSET(QuanHuyen!$C$1,MATCH(extracted!$R41,QuanHuyen!$A:$A,0)-1,0,10000,1),MATCH(DanhsachNguoiluutru!$O43,OFFSET(QuanHuyen!$B$1,MATCH(extracted!$R41,QuanHuyen!$A:$A,0)-1,0,10000,1), 0))</f>
        <v>172</v>
      </c>
      <c r="T41" s="18" t="str">
        <f ca="1">INDEX(OFFSET(PhuongXa!$C$1,MATCH(extracted!$S41,PhuongXa!$A:$A,0)-1,0,10000,1),MATCH(DanhsachNguoiluutru!$P43,OFFSET(PhuongXa!$B$1,MATCH(extracted!$S41,PhuongXa!$A:$A,0)-1,0,10000,1), 0))</f>
        <v>05881</v>
      </c>
      <c r="U41" s="18" t="str">
        <f>DanhsachNguoiluutru!Q43</f>
        <v>Thành Công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>Thành Công, Xã Thành Công, Thị xã Phổ Yên, Tỉnh Thái Nguyên</v>
      </c>
      <c r="W41" s="18">
        <f>VLOOKUP(DanhsachNguoiluutru!$R43,DanhMuc!$A$2:$B$4,2,FALSE)</f>
        <v>1</v>
      </c>
      <c r="X41" s="18" t="str">
        <f>DanhsachNguoiluutru!R43</f>
        <v>Tạm trú</v>
      </c>
      <c r="Y41" s="18" t="str">
        <f>DanhsachNguoiluutru!S43</f>
        <v>03/07/2023</v>
      </c>
      <c r="Z41" s="18" t="str">
        <f>DanhsachNguoiluutru!T43</f>
        <v>04/07/2023</v>
      </c>
      <c r="AA41" s="18" t="str">
        <f>DanhsachNguoiluutru!U43</f>
        <v>Du Lịch</v>
      </c>
      <c r="AB41" s="18" t="e">
        <f>DanhsachNguoiluutru!#REF!</f>
        <v>#REF!</v>
      </c>
    </row>
    <row r="42" spans="1:28" x14ac:dyDescent="0.3">
      <c r="A42" s="18" t="str">
        <f>DanhsachNguoiluutru!B44</f>
        <v>Võ Phương Xuân</v>
      </c>
      <c r="B42" s="18" t="str">
        <f>DanhsachNguoiluutru!C44</f>
        <v>05/11/1994</v>
      </c>
      <c r="C42" s="18" t="str">
        <f>INDEX(GioiTinh!$A:$A,MATCH(DanhsachNguoiluutru!D44,GioiTinh!$B:$B,0))</f>
        <v>3</v>
      </c>
      <c r="D42" s="18" t="str">
        <f>DanhsachNguoiluutru!D44</f>
        <v>Giới tính Nữ</v>
      </c>
      <c r="E42" s="18" t="str">
        <f>DanhsachNguoiluutru!E44</f>
        <v>019194874147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str">
        <f>INDEX(NgheNghiep!$A:$A,MATCH(DanhsachNguoiluutru!I44,NgheNghiep!$B:$B,0))</f>
        <v>TUDO</v>
      </c>
      <c r="J42" s="18" t="str">
        <f>DanhsachNguoiluutru!I44</f>
        <v>Tự do</v>
      </c>
      <c r="K42" s="18" t="str">
        <f>DanhsachNguoiluutru!J44</f>
        <v>Thành Công</v>
      </c>
      <c r="L42" s="18" t="str">
        <f>INDEX(DanToc!$A:$A,MATCH(DanhsachNguoiluutru!K44,DanToc!$B:$B,0))</f>
        <v>01</v>
      </c>
      <c r="M42" s="18" t="str">
        <f>DanhsachNguoiluutru!K44</f>
        <v>Kinh</v>
      </c>
      <c r="N42" s="18" t="str">
        <f>INDEX(QuocTich!$A:$A,MATCH(DanhsachNguoiluutru!L44,QuocTich!$B:$B,0))</f>
        <v>VN</v>
      </c>
      <c r="O42" s="18" t="str">
        <f>DanhsachNguoiluutru!L44</f>
        <v>Việt Nam</v>
      </c>
      <c r="P42" s="18" t="str">
        <f>INDEX(QuocGia!$A:$A,MATCH(DanhsachNguoiluutru!M44,QuocGia!$B:$B,0))</f>
        <v>VN</v>
      </c>
      <c r="Q42" s="18" t="str">
        <f>DanhsachNguoiluutru!M44</f>
        <v>Cộng hòa xã hội chủ nghĩa Việt Nam</v>
      </c>
      <c r="R42" s="18" t="str">
        <f>INDEX(TinhThanh!$C:$C,MATCH(DanhsachNguoiluutru!N44,TinhThanh!$B:$B,0))</f>
        <v>19</v>
      </c>
      <c r="S42" s="18" t="str">
        <f ca="1">INDEX(OFFSET(QuanHuyen!$C$1,MATCH(extracted!$R42,QuanHuyen!$A:$A,0)-1,0,10000,1),MATCH(DanhsachNguoiluutru!$O44,OFFSET(QuanHuyen!$B$1,MATCH(extracted!$R42,QuanHuyen!$A:$A,0)-1,0,10000,1), 0))</f>
        <v>172</v>
      </c>
      <c r="T42" s="18" t="str">
        <f ca="1">INDEX(OFFSET(PhuongXa!$C$1,MATCH(extracted!$S42,PhuongXa!$A:$A,0)-1,0,10000,1),MATCH(DanhsachNguoiluutru!$P44,OFFSET(PhuongXa!$B$1,MATCH(extracted!$S42,PhuongXa!$A:$A,0)-1,0,10000,1), 0))</f>
        <v>05881</v>
      </c>
      <c r="U42" s="18" t="str">
        <f>DanhsachNguoiluutru!Q44</f>
        <v>Thành Công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>Thành Công, Xã Thành Công, Thị xã Phổ Yên, Tỉnh Thái Nguyên</v>
      </c>
      <c r="W42" s="18">
        <f>VLOOKUP(DanhsachNguoiluutru!$R44,DanhMuc!$A$2:$B$4,2,FALSE)</f>
        <v>1</v>
      </c>
      <c r="X42" s="18" t="str">
        <f>DanhsachNguoiluutru!R44</f>
        <v>Tạm trú</v>
      </c>
      <c r="Y42" s="18" t="str">
        <f>DanhsachNguoiluutru!S44</f>
        <v>03/07/2023</v>
      </c>
      <c r="Z42" s="18" t="str">
        <f>DanhsachNguoiluutru!T44</f>
        <v>04/07/2023</v>
      </c>
      <c r="AA42" s="18" t="str">
        <f>DanhsachNguoiluutru!U44</f>
        <v>Du Lịch</v>
      </c>
      <c r="AB42" s="18" t="e">
        <f>DanhsachNguoiluutru!#REF!</f>
        <v>#REF!</v>
      </c>
    </row>
    <row r="43" spans="1:28" x14ac:dyDescent="0.3">
      <c r="A43" s="18" t="str">
        <f>DanhsachNguoiluutru!B45</f>
        <v>Mai Thành Cường</v>
      </c>
      <c r="B43" s="18" t="str">
        <f>DanhsachNguoiluutru!C45</f>
        <v>12/03/1983</v>
      </c>
      <c r="C43" s="18" t="str">
        <f>INDEX(GioiTinh!$A:$A,MATCH(DanhsachNguoiluutru!D45,GioiTinh!$B:$B,0))</f>
        <v>2</v>
      </c>
      <c r="D43" s="18" t="str">
        <f>DanhsachNguoiluutru!D45</f>
        <v>Giới tính Nam</v>
      </c>
      <c r="E43" s="18" t="str">
        <f>DanhsachNguoiluutru!E45</f>
        <v>019083956393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str">
        <f>INDEX(NgheNghiep!$A:$A,MATCH(DanhsachNguoiluutru!I45,NgheNghiep!$B:$B,0))</f>
        <v>TUDO</v>
      </c>
      <c r="J43" s="18" t="str">
        <f>DanhsachNguoiluutru!I45</f>
        <v>Tự do</v>
      </c>
      <c r="K43" s="18" t="str">
        <f>DanhsachNguoiluutru!J45</f>
        <v>Thành Công</v>
      </c>
      <c r="L43" s="18" t="str">
        <f>INDEX(DanToc!$A:$A,MATCH(DanhsachNguoiluutru!K45,DanToc!$B:$B,0))</f>
        <v>01</v>
      </c>
      <c r="M43" s="18" t="str">
        <f>DanhsachNguoiluutru!K45</f>
        <v>Kinh</v>
      </c>
      <c r="N43" s="18" t="str">
        <f>INDEX(QuocTich!$A:$A,MATCH(DanhsachNguoiluutru!L45,QuocTich!$B:$B,0))</f>
        <v>VN</v>
      </c>
      <c r="O43" s="18" t="str">
        <f>DanhsachNguoiluutru!L45</f>
        <v>Việt Nam</v>
      </c>
      <c r="P43" s="18" t="str">
        <f>INDEX(QuocGia!$A:$A,MATCH(DanhsachNguoiluutru!M45,QuocGia!$B:$B,0))</f>
        <v>VN</v>
      </c>
      <c r="Q43" s="18" t="str">
        <f>DanhsachNguoiluutru!M45</f>
        <v>Cộng hòa xã hội chủ nghĩa Việt Nam</v>
      </c>
      <c r="R43" s="18" t="str">
        <f>INDEX(TinhThanh!$C:$C,MATCH(DanhsachNguoiluutru!N45,TinhThanh!$B:$B,0))</f>
        <v>19</v>
      </c>
      <c r="S43" s="18" t="str">
        <f ca="1">INDEX(OFFSET(QuanHuyen!$C$1,MATCH(extracted!$R43,QuanHuyen!$A:$A,0)-1,0,10000,1),MATCH(DanhsachNguoiluutru!$O45,OFFSET(QuanHuyen!$B$1,MATCH(extracted!$R43,QuanHuyen!$A:$A,0)-1,0,10000,1), 0))</f>
        <v>172</v>
      </c>
      <c r="T43" s="18" t="str">
        <f ca="1">INDEX(OFFSET(PhuongXa!$C$1,MATCH(extracted!$S43,PhuongXa!$A:$A,0)-1,0,10000,1),MATCH(DanhsachNguoiluutru!$P45,OFFSET(PhuongXa!$B$1,MATCH(extracted!$S43,PhuongXa!$A:$A,0)-1,0,10000,1), 0))</f>
        <v>05881</v>
      </c>
      <c r="U43" s="18" t="str">
        <f>DanhsachNguoiluutru!Q45</f>
        <v>Thành Công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>Thành Công, Xã Thành Công, Thị xã Phổ Yên, Tỉnh Thái Nguyên</v>
      </c>
      <c r="W43" s="18">
        <f>VLOOKUP(DanhsachNguoiluutru!$R45,DanhMuc!$A$2:$B$4,2,FALSE)</f>
        <v>1</v>
      </c>
      <c r="X43" s="18" t="str">
        <f>DanhsachNguoiluutru!R45</f>
        <v>Tạm trú</v>
      </c>
      <c r="Y43" s="18" t="str">
        <f>DanhsachNguoiluutru!S45</f>
        <v>03/07/2023</v>
      </c>
      <c r="Z43" s="18" t="str">
        <f>DanhsachNguoiluutru!T45</f>
        <v>04/07/2023</v>
      </c>
      <c r="AA43" s="18" t="str">
        <f>DanhsachNguoiluutru!U45</f>
        <v>Du Lịch</v>
      </c>
      <c r="AB43" s="18" t="e">
        <f>DanhsachNguoiluutru!#REF!</f>
        <v>#REF!</v>
      </c>
    </row>
    <row r="44" spans="1:28" x14ac:dyDescent="0.3">
      <c r="A44" s="18" t="str">
        <f>DanhsachNguoiluutru!B46</f>
        <v>Vũ Ngọc Bích</v>
      </c>
      <c r="B44" s="18" t="str">
        <f>DanhsachNguoiluutru!C46</f>
        <v>18/07/1995</v>
      </c>
      <c r="C44" s="18" t="str">
        <f>INDEX(GioiTinh!$A:$A,MATCH(DanhsachNguoiluutru!D46,GioiTinh!$B:$B,0))</f>
        <v>3</v>
      </c>
      <c r="D44" s="18" t="str">
        <f>DanhsachNguoiluutru!D46</f>
        <v>Giới tính Nữ</v>
      </c>
      <c r="E44" s="18" t="str">
        <f>DanhsachNguoiluutru!E46</f>
        <v>019195097860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str">
        <f>INDEX(NgheNghiep!$A:$A,MATCH(DanhsachNguoiluutru!I46,NgheNghiep!$B:$B,0))</f>
        <v>TUDO</v>
      </c>
      <c r="J44" s="18" t="str">
        <f>DanhsachNguoiluutru!I46</f>
        <v>Tự do</v>
      </c>
      <c r="K44" s="18" t="str">
        <f>DanhsachNguoiluutru!J46</f>
        <v>Thành Công</v>
      </c>
      <c r="L44" s="18" t="str">
        <f>INDEX(DanToc!$A:$A,MATCH(DanhsachNguoiluutru!K46,DanToc!$B:$B,0))</f>
        <v>01</v>
      </c>
      <c r="M44" s="18" t="str">
        <f>DanhsachNguoiluutru!K46</f>
        <v>Kinh</v>
      </c>
      <c r="N44" s="18" t="str">
        <f>INDEX(QuocTich!$A:$A,MATCH(DanhsachNguoiluutru!L46,QuocTich!$B:$B,0))</f>
        <v>VN</v>
      </c>
      <c r="O44" s="18" t="str">
        <f>DanhsachNguoiluutru!L46</f>
        <v>Việt Nam</v>
      </c>
      <c r="P44" s="18" t="str">
        <f>INDEX(QuocGia!$A:$A,MATCH(DanhsachNguoiluutru!M46,QuocGia!$B:$B,0))</f>
        <v>VN</v>
      </c>
      <c r="Q44" s="18" t="str">
        <f>DanhsachNguoiluutru!M46</f>
        <v>Cộng hòa xã hội chủ nghĩa Việt Nam</v>
      </c>
      <c r="R44" s="18" t="str">
        <f>INDEX(TinhThanh!$C:$C,MATCH(DanhsachNguoiluutru!N46,TinhThanh!$B:$B,0))</f>
        <v>19</v>
      </c>
      <c r="S44" s="18" t="str">
        <f ca="1">INDEX(OFFSET(QuanHuyen!$C$1,MATCH(extracted!$R44,QuanHuyen!$A:$A,0)-1,0,10000,1),MATCH(DanhsachNguoiluutru!$O46,OFFSET(QuanHuyen!$B$1,MATCH(extracted!$R44,QuanHuyen!$A:$A,0)-1,0,10000,1), 0))</f>
        <v>172</v>
      </c>
      <c r="T44" s="18" t="str">
        <f ca="1">INDEX(OFFSET(PhuongXa!$C$1,MATCH(extracted!$S44,PhuongXa!$A:$A,0)-1,0,10000,1),MATCH(DanhsachNguoiluutru!$P46,OFFSET(PhuongXa!$B$1,MATCH(extracted!$S44,PhuongXa!$A:$A,0)-1,0,10000,1), 0))</f>
        <v>05881</v>
      </c>
      <c r="U44" s="18" t="str">
        <f>DanhsachNguoiluutru!Q46</f>
        <v>Thành Công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>Thành Công, Xã Thành Công, Thị xã Phổ Yên, Tỉnh Thái Nguyên</v>
      </c>
      <c r="W44" s="18">
        <f>VLOOKUP(DanhsachNguoiluutru!$R46,DanhMuc!$A$2:$B$4,2,FALSE)</f>
        <v>1</v>
      </c>
      <c r="X44" s="18" t="str">
        <f>DanhsachNguoiluutru!R46</f>
        <v>Tạm trú</v>
      </c>
      <c r="Y44" s="18" t="str">
        <f>DanhsachNguoiluutru!S46</f>
        <v>03/07/2023</v>
      </c>
      <c r="Z44" s="18" t="str">
        <f>DanhsachNguoiluutru!T46</f>
        <v>04/07/2023</v>
      </c>
      <c r="AA44" s="18" t="str">
        <f>DanhsachNguoiluutru!U46</f>
        <v>Du Lịch</v>
      </c>
      <c r="AB44" s="18" t="e">
        <f>DanhsachNguoiluutru!#REF!</f>
        <v>#REF!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DanhsachNguoiluutru!V31</f>
        <v>502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DanhsachNguoiluutru!V32</f>
        <v>502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DanhsachNguoiluutru!V33</f>
        <v>502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DanhsachNguoiluutru!V34</f>
        <v>502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DanhsachNguoiluutru!V35</f>
        <v>503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DanhsachNguoiluutru!V36</f>
        <v>503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DanhsachNguoiluutru!V37</f>
        <v>503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DanhsachNguoiluutru!V38</f>
        <v>503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DanhsachNguoiluutru!V39</f>
        <v>601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DanhsachNguoiluutru!V40</f>
        <v>601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DanhsachNguoiluutru!V41</f>
        <v>601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DanhsachNguoiluutru!V42</f>
        <v>601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DanhsachNguoiluutru!V43</f>
        <v>602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DanhsachNguoiluutru!V44</f>
        <v>602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DanhsachNguoiluutru!V45</f>
        <v>602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DanhsachNguoiluutru!V46</f>
        <v>602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DanhsachNguoiluutru!V47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DanhsachNguoiluutru!V48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DanhsachNguoiluutru!V49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DanhsachNguoiluutru!V50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2023-07-03T13:58:46Z</dcterms:modified>
</cp:coreProperties>
</file>