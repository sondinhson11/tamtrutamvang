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92" i="2" l="1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<sst xmlns="http://schemas.openxmlformats.org/spreadsheetml/2006/main" count="37069" uniqueCount="22097">
  <si>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</si>
  <si>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</si>
  <si>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</si>
  <si>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</si>
  <si>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</si>
  <si>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</si>
  <si>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</si>
  <si>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</si>
  <si>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</si>
  <si>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</si>
  <si>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</si>
  <si>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</si>
  <si>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</si>
  <si>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</si>
  <si>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</si>
  <si>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</si>
  <si>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</si>
  <si>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</si>
  <si>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</si>
  <si>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</si>
  <si>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</si>
  <si>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</si>
  <si>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</si>
  <si>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</si>
  <si>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</si>
  <si>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</si>
  <si>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</si>
  <si>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</si>
  <si>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</si>
  <si>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</si>
  <si>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</si>
  <si>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</si>
  <si>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</si>
  <si>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</si>
  <si>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</si>
  <si>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</si>
  <si>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</si>
  <si>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</si>
  <si>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</si>
  <si>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</si>
  <si>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</si>
  <si>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</si>
  <si>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</si>
  <si>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</si>
  <si>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</si>
  <si>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</si>
  <si>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</si>
  <si>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</si>
  <si>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</si>
  <si>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</si>
  <si>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</si>
  <si>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</si>
  <si>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</si>
  <si>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</si>
  <si>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</si>
  <si>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</si>
  <si>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</si>
  <si>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</si>
  <si>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</si>
  <si>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</si>
  <si>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</si>
  <si>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</si>
  <si>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</si>
  <si>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</si>
  <si>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</si>
  <si>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</si>
  <si>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</si>
  <si>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</si>
  <si>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</si>
  <si>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</si>
  <si>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</si>
  <si>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</si>
  <si>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</si>
  <si>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</si>
  <si>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</si>
  <si>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</si>
  <si>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</si>
  <si>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</si>
  <si>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</si>
  <si>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</si>
  <si>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</si>
  <si>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</si>
  <si>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</si>
  <si>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</si>
  <si>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</si>
  <si>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</si>
  <si>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</si>
  <si>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</si>
  <si>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</si>
  <si>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</si>
  <si>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</si>
  <si>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</si>
  <si>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</si>
  <si>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</si>
  <si>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</si>
  <si>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</si>
  <si>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</si>
  <si>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</si>
  <si>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</si>
  <si>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</si>
  <si>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</si>
  <si>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</si>
  <si>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</si>
  <si>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</si>
  <si>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</si>
  <si>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</si>
  <si>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</si>
  <si>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</si>
  <si>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</si>
  <si>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</si>
  <si>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</si>
  <si>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</si>
  <si>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</si>
  <si>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</si>
  <si>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</si>
  <si>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</si>
  <si>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</si>
  <si>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</si>
  <si>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</si>
  <si>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</si>
  <si>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</si>
  <si>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</si>
  <si>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</si>
  <si>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</si>
  <si>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</si>
  <si>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</si>
  <si>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</si>
  <si>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</si>
  <si>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</si>
  <si>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</si>
  <si>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</si>
  <si>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</si>
  <si>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</si>
  <si>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</si>
  <si>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</si>
  <si>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</si>
  <si>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</si>
  <si>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</si>
  <si>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</si>
  <si>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</si>
  <si>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</si>
  <si>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</si>
  <si>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</si>
  <si>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</si>
  <si>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</si>
  <si>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</si>
  <si>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</si>
  <si>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</si>
  <si>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</si>
  <si>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</si>
  <si>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</si>
  <si>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</si>
  <si>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</si>
  <si>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</si>
  <si>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</si>
  <si>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</si>
  <si>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</si>
  <si>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</si>
  <si>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</si>
  <si>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</si>
  <si>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</si>
  <si>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</si>
  <si>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</si>
  <si>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</si>
  <si>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</si>
  <si>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</si>
  <si>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</si>
  <si>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</si>
  <si>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</si>
  <si>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</si>
  <si>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</si>
  <si>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</si>
  <si>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</si>
  <si>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</si>
  <si>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</si>
  <si>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</si>
  <si>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</si>
  <si>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</si>
  <si>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</si>
  <si>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</si>
  <si>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</si>
  <si>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</si>
  <si>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</si>
  <si>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</si>
  <si>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</si>
  <si>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</si>
  <si>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</si>
  <si>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</si>
  <si>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</si>
  <si>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</si>
  <si>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</si>
  <si>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</si>
  <si>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</si>
  <si>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</si>
  <si>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</si>
  <si>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</si>
  <si>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</si>
  <si>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</si>
  <si>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</si>
  <si>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</si>
  <si>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</si>
  <si>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</si>
  <si>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</si>
  <si>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</si>
  <si>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</si>
  <si>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</si>
  <si>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</si>
  <si>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</si>
  <si>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</si>
  <si>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</si>
  <si>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</si>
  <si>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</si>
  <si>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</si>
  <si>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</si>
  <si>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</si>
  <si>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</si>
  <si>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</si>
  <si>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</si>
  <si>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</si>
  <si>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</si>
  <si>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</si>
  <si>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</si>
  <si>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</si>
  <si>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</si>
  <si>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</si>
  <si>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</si>
  <si>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</si>
  <si>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</si>
  <si>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</si>
  <si>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</si>
  <si>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</si>
  <si>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</si>
  <si>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</si>
  <si>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</si>
  <si>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</si>
  <si>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</si>
  <si>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</si>
  <si>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</si>
  <si>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</si>
  <si>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</si>
  <si>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</si>
  <si>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</si>
  <si>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</si>
  <si>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</si>
  <si>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</si>
  <si>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</si>
  <si>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</si>
  <si>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</si>
  <si>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</si>
  <si>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</si>
  <si>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</si>
  <si>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</si>
  <si>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</si>
  <si>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</si>
  <si>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</si>
  <si>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</si>
  <si>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</si>
  <si>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</si>
  <si>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</si>
  <si>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</si>
  <si>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</si>
  <si>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</si>
  <si>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</si>
  <si>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</si>
  <si>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</si>
  <si>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</si>
  <si>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</si>
  <si>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</si>
  <si>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</si>
  <si>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</si>
  <si>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</si>
  <si>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</si>
  <si>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</si>
  <si>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</si>
  <si>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</si>
  <si>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</si>
  <si>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</si>
  <si>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</si>
  <si>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</si>
  <si>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</si>
  <si>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</si>
  <si>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</si>
  <si>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</si>
  <si>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</si>
  <si>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</si>
  <si>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</si>
  <si>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</si>
  <si>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</si>
  <si>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</si>
  <si>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</si>
  <si>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</si>
  <si>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</si>
  <si>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</si>
  <si>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</si>
  <si>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</si>
  <si>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</si>
  <si>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</si>
  <si>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</si>
  <si>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</si>
  <si>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</si>
  <si>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</si>
  <si>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</si>
  <si>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</si>
  <si>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</si>
  <si>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</si>
  <si>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</si>
  <si>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</si>
  <si>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</si>
  <si>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</si>
  <si>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</si>
  <si>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</si>
  <si>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</si>
  <si>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</si>
  <si>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</si>
  <si>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</si>
  <si>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</si>
  <si>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</si>
  <si>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</si>
  <si>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</si>
  <si>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</si>
  <si>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</si>
  <si>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</si>
  <si>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</si>
  <si>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</si>
  <si>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</si>
  <si>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</si>
  <si>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</si>
  <si>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</si>
  <si>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</si>
  <si>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</si>
  <si>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</si>
  <si>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</si>
  <si>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</si>
  <si>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</si>
  <si>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</si>
  <si>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</si>
  <si>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</si>
  <si>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</si>
  <si>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</si>
  <si>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</si>
  <si>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</si>
  <si>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</si>
  <si>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</si>
  <si>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</si>
  <si>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</si>
  <si>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</si>
  <si>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</si>
  <si>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</si>
  <si>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</si>
  <si>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</si>
  <si>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</si>
  <si>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</si>
  <si>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</si>
  <si>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</si>
  <si>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</si>
  <si>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</si>
  <si>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</si>
  <si>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</si>
  <si>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</si>
  <si>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</si>
  <si>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</si>
  <si>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</si>
  <si>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</si>
  <si>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</si>
  <si>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</si>
  <si>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</si>
  <si>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</si>
  <si>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</si>
  <si>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</si>
  <si>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</si>
  <si>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</si>
  <si>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</si>
  <si>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</si>
  <si>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</si>
  <si>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</si>
  <si>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</si>
  <si>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</si>
  <si>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</si>
  <si>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</si>
  <si>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</si>
  <si>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</si>
  <si>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</si>
  <si>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</si>
  <si>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</si>
  <si>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</si>
  <si>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</si>
  <si>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</si>
  <si>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</si>
  <si>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</si>
  <si>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</si>
  <si>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</si>
  <si>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</si>
  <si>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</si>
  <si>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</si>
  <si>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</si>
  <si>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</si>
  <si>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</si>
  <si>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</si>
  <si>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</si>
  <si>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</si>
  <si>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</si>
  <si>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</si>
  <si>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</si>
  <si>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</si>
  <si>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</si>
  <si>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</si>
  <si>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</si>
  <si>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</si>
  <si>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</si>
  <si>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</si>
  <si>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</si>
  <si>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</si>
  <si>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</si>
  <si>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</si>
  <si>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</si>
  <si>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</si>
  <si>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</si>
  <si>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</si>
  <si>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</si>
  <si>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</si>
  <si>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</si>
  <si>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</si>
  <si>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</si>
  <si>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</si>
  <si>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</si>
  <si>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</si>
  <si>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</si>
  <si>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</si>
  <si>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</si>
  <si>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</si>
  <si>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</si>
  <si>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</si>
  <si>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</si>
  <si>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</si>
  <si>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</si>
  <si>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</si>
  <si>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</si>
  <si>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</si>
  <si>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</si>
  <si>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</si>
  <si>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</si>
  <si>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</si>
  <si>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</si>
  <si>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</si>
  <si>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</si>
  <si>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</si>
  <si>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</si>
  <si>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</si>
  <si>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</si>
  <si>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</si>
  <si>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</si>
  <si>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</si>
  <si>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</si>
  <si>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</si>
  <si>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</si>
  <si>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</si>
  <si>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</si>
  <si>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</si>
  <si>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</si>
  <si>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</si>
  <si>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</si>
  <si>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</si>
  <si>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</si>
  <si>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</si>
  <si>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</si>
  <si>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</si>
  <si>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</si>
  <si>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</si>
  <si>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</si>
  <si>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</si>
  <si>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</si>
  <si>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</si>
  <si>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</si>
  <si>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</si>
  <si>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</si>
  <si>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</si>
  <si>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</si>
  <si>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</si>
  <si>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</si>
  <si>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</si>
  <si>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</si>
  <si>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</si>
  <si>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</si>
  <si>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</si>
  <si>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</si>
  <si>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</si>
  <si>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</si>
  <si>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</si>
  <si>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</si>
  <si>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</si>
  <si>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</si>
  <si>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</si>
  <si>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</si>
  <si>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</si>
  <si>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</si>
  <si>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</si>
  <si>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</si>
  <si>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</si>
  <si>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</si>
  <si>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</si>
  <si>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</si>
  <si>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</si>
  <si>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</si>
  <si>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</si>
  <si>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</si>
  <si>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</si>
  <si>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</si>
  <si>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</si>
  <si>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</si>
  <si>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</si>
  <si>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</si>
  <si>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</si>
  <si>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</si>
  <si>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</si>
  <si>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</si>
  <si>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</si>
  <si>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</si>
  <si>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</si>
  <si>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</si>
  <si>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</si>
  <si>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</si>
  <si>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</si>
  <si>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</si>
  <si>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</si>
  <si>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</si>
  <si>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</si>
  <si>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</si>
  <si>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</si>
  <si>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</si>
  <si>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</si>
  <si>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</si>
  <si>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</si>
  <si>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</si>
  <si>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</si>
  <si>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</si>
  <si>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</si>
  <si>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</si>
  <si>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</si>
  <si>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</si>
  <si>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</si>
  <si>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</si>
  <si>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</si>
  <si>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</si>
  <si>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</si>
  <si>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</si>
  <si>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</si>
  <si>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</si>
  <si>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</si>
  <si>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</si>
  <si>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</si>
  <si>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</si>
  <si>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</si>
  <si>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</si>
  <si>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</si>
  <si>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</si>
  <si>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</si>
  <si>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</si>
  <si>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</si>
  <si>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</si>
  <si>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</si>
  <si>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</si>
  <si>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</si>
  <si>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</si>
  <si>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</si>
  <si>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</si>
  <si>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</si>
  <si>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</si>
  <si>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</si>
  <si>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</si>
  <si>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</si>
  <si>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</si>
  <si>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</si>
  <si>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</si>
  <si>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</si>
  <si>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</si>
  <si>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</si>
  <si>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</si>
  <si>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</si>
  <si>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</si>
  <si>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</si>
  <si>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</si>
  <si>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</si>
  <si>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</si>
  <si>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</si>
  <si>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</si>
  <si>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</si>
  <si>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</si>
  <si>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</si>
  <si>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</si>
  <si>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</si>
  <si>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</si>
  <si>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</si>
  <si>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</si>
  <si>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</si>
  <si>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</si>
  <si>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</si>
  <si>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</si>
  <si>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</si>
  <si>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</si>
  <si>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</si>
  <si>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</si>
  <si>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</si>
  <si>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</si>
  <si>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</si>
  <si>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</si>
  <si>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</si>
  <si>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</si>
  <si>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</si>
  <si>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</si>
  <si>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</si>
  <si>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</si>
  <si>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</si>
  <si>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</si>
  <si>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</si>
  <si>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</si>
  <si>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</si>
  <si>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</si>
  <si>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</si>
  <si>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</si>
  <si>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</si>
  <si>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</si>
  <si>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</si>
  <si>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</si>
  <si>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</si>
  <si>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</si>
  <si>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</si>
  <si>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</si>
  <si>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</si>
  <si>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</si>
  <si>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</si>
  <si>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</si>
  <si>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</si>
  <si>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</si>
  <si>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</si>
  <si>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</si>
  <si>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</si>
  <si>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</si>
  <si>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</si>
  <si>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</si>
  <si>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</si>
  <si>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</si>
  <si>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</si>
  <si>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</si>
  <si>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</si>
  <si>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</si>
  <si>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</si>
  <si>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</si>
  <si>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</si>
  <si>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</si>
  <si>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</si>
  <si>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</si>
  <si>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</si>
  <si>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</si>
  <si>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</si>
  <si>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</si>
  <si>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</si>
  <si>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</si>
  <si>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</si>
  <si>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</si>
  <si>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</si>
  <si>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</si>
  <si>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</si>
  <si>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</si>
  <si>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</si>
  <si>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</si>
  <si>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</si>
  <si>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</si>
  <si>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</si>
  <si>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</si>
  <si>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</si>
  <si>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</si>
  <si>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</si>
  <si>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</si>
  <si>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</si>
  <si>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</si>
  <si>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</si>
  <si>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</si>
  <si>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</si>
  <si>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</si>
  <si>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</si>
  <si>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</si>
  <si>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</si>
  <si>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</si>
  <si>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</si>
  <si>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</si>
  <si>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</si>
  <si>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</si>
  <si>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</si>
  <si>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</si>
  <si>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</si>
  <si>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</si>
  <si>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</si>
  <si>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</si>
  <si>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</si>
  <si>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</si>
  <si>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</si>
  <si>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</si>
  <si>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</si>
  <si>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</si>
  <si>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</si>
  <si>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</si>
  <si>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</si>
  <si>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</si>
  <si>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</si>
  <si>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</si>
  <si>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</si>
  <si>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</si>
  <si>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</si>
  <si>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</si>
  <si>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</si>
  <si>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</si>
  <si>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</si>
  <si>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</si>
  <si>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</si>
  <si>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</si>
  <si>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</si>
  <si>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</si>
  <si>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</si>
  <si>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</si>
  <si>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</si>
  <si>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</si>
  <si>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</si>
  <si>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</si>
  <si>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</si>
  <si>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</si>
  <si>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</si>
  <si>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</si>
  <si>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</si>
  <si>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</si>
  <si>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</si>
  <si>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</si>
  <si>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</si>
  <si>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</si>
  <si>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</si>
  <si>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</si>
  <si>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</si>
  <si>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</si>
  <si>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</si>
  <si>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</si>
  <si>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</si>
  <si>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</si>
  <si>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</si>
  <si>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</si>
  <si>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</si>
  <si>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</si>
  <si>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</si>
  <si>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</si>
  <si>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</si>
  <si>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</si>
  <si>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</si>
  <si>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</si>
  <si>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</si>
  <si>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</si>
  <si>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</si>
  <si>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</si>
  <si>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</si>
  <si>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</si>
  <si>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</si>
  <si>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</si>
  <si>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</si>
  <si>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</si>
  <si>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</si>
  <si>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</si>
  <si>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</si>
  <si>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</si>
  <si>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</si>
  <si>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</si>
  <si>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</si>
  <si>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</si>
  <si>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</si>
  <si>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</si>
  <si>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</si>
  <si>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</si>
  <si>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</si>
  <si>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</si>
  <si>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</si>
  <si>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</si>
  <si>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</si>
  <si>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</si>
  <si>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</si>
  <si>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</si>
  <si>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</si>
  <si>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</si>
  <si>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</si>
  <si>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</si>
  <si>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</si>
  <si>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</si>
  <si>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</si>
  <si>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</si>
  <si>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</si>
  <si>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</si>
  <si>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</si>
  <si>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</si>
  <si>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</si>
  <si>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</si>
  <si>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</si>
  <si>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</si>
  <si>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</si>
  <si>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</si>
  <si>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</si>
  <si>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</si>
  <si>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</si>
  <si>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</si>
  <si>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</si>
  <si>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</si>
  <si>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</si>
  <si>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</si>
  <si>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</si>
  <si>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</si>
  <si>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</si>
  <si>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</si>
  <si>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</si>
  <si>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</si>
  <si>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</si>
  <si>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</si>
  <si>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</si>
  <si>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</si>
  <si>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</si>
  <si>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</si>
  <si>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</si>
  <si>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</si>
  <si>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</si>
  <si>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</si>
  <si>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</si>
  <si>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</si>
  <si>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</si>
  <si>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</si>
  <si>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</si>
  <si>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</si>
  <si>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</si>
  <si>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</si>
  <si>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</si>
  <si>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</si>
  <si>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</si>
  <si>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</si>
  <si>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</si>
  <si>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</si>
  <si>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</si>
  <si>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</si>
  <si>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</si>
  <si>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</si>
  <si>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</si>
  <si>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</si>
  <si>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</si>
  <si>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</si>
  <si>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</si>
  <si>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</si>
  <si>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</si>
  <si>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</si>
  <si>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</si>
  <si>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</si>
  <si>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</si>
  <si>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</si>
  <si>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</si>
  <si>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</si>
  <si>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</si>
  <si>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</si>
  <si>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</si>
  <si>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</si>
  <si>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</si>
  <si>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</si>
  <si>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</si>
  <si>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</si>
  <si>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</si>
  <si>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</si>
  <si>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</si>
  <si>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</si>
  <si>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</si>
  <si>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</si>
  <si>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</si>
  <si>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</si>
  <si>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</si>
  <si>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</si>
  <si>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</si>
  <si>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</si>
  <si>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</si>
  <si>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</si>
  <si>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</si>
  <si>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</si>
  <si>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</si>
  <si>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</si>
  <si>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</si>
  <si>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</si>
  <si>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</si>
  <si>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</si>
  <si>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</si>
  <si>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</si>
  <si>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</si>
  <si>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</si>
  <si>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</si>
  <si>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</si>
  <si>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</si>
  <si>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</si>
  <si>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</si>
  <si>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</si>
  <si>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</si>
  <si>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</si>
  <si>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</si>
  <si>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</si>
  <si>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</si>
  <si>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</si>
  <si>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</si>
  <si>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</si>
  <si>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</si>
  <si>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</si>
  <si>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</si>
  <si>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</si>
  <si>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</si>
  <si>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</si>
  <si>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</si>
  <si>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</si>
  <si>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</si>
  <si>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</si>
  <si>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</si>
  <si>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</si>
  <si>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</si>
  <si>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</si>
  <si>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</si>
  <si>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</si>
  <si>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</si>
  <si>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</si>
  <si>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</si>
  <si>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</si>
  <si>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</si>
  <si>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</si>
  <si>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</si>
  <si>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</si>
  <si>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</si>
  <si>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</si>
  <si>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</si>
  <si>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</si>
  <si>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</si>
  <si>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</si>
  <si>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</si>
  <si>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</si>
  <si>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</si>
  <si>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</si>
  <si>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</si>
  <si>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</si>
  <si>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</si>
  <si>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</si>
  <si>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</si>
  <si>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</si>
  <si>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</si>
  <si>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</si>
  <si>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</si>
  <si>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</si>
  <si>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</si>
  <si>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</si>
  <si>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</si>
  <si>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</si>
  <si>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</si>
  <si>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</si>
  <si>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</si>
  <si>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</si>
  <si>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</si>
  <si>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</si>
  <si>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</si>
  <si>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</si>
  <si>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</si>
  <si>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</si>
  <si>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</si>
  <si>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</si>
  <si>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</si>
  <si>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</si>
  <si>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</si>
  <si>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</si>
  <si>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</si>
  <si>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</si>
  <si>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</si>
  <si>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</si>
  <si>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</si>
  <si>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</si>
  <si>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</si>
  <si>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</si>
  <si>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</si>
  <si>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</si>
  <si>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</si>
  <si>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</si>
  <si>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</si>
  <si>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</si>
  <si>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</si>
  <si>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</si>
  <si>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</si>
  <si>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</si>
  <si>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</si>
  <si>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</si>
  <si>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</si>
  <si>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</si>
  <si>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</si>
  <si>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</si>
  <si>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</si>
  <si>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</si>
  <si>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</si>
  <si>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</si>
  <si>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</si>
  <si>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</si>
  <si>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</si>
  <si>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</si>
  <si>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</si>
  <si>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</si>
  <si>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</si>
  <si>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</si>
  <si>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</si>
  <si>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</si>
  <si>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</si>
  <si>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</si>
  <si>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</si>
  <si>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</si>
  <si>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</si>
  <si>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</si>
  <si>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</si>
  <si>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</si>
  <si>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</si>
  <si>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</si>
  <si>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</si>
  <si>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</si>
  <si>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</si>
  <si>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</si>
  <si>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</si>
  <si>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</si>
  <si>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</si>
  <si>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</si>
  <si>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</si>
  <si>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</si>
  <si>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</si>
  <si>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</si>
  <si>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</si>
  <si>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</si>
  <si>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</si>
  <si>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</si>
  <si>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</si>
  <si>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</si>
  <si>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</si>
  <si>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</si>
  <si>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</si>
  <si>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</si>
  <si>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</si>
  <si>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</si>
  <si>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</si>
  <si>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</si>
  <si>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</si>
  <si>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</si>
  <si>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</si>
  <si>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</si>
  <si>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</si>
  <si>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</si>
  <si>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</si>
  <si>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</si>
  <si>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</si>
  <si>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</si>
  <si>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</si>
  <si>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</si>
  <si>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</si>
  <si>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</si>
  <si>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</si>
  <si>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</si>
  <si>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</si>
  <si>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</si>
  <si>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</si>
  <si>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</si>
  <si>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</si>
  <si>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</si>
  <si>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</si>
  <si>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</si>
  <si>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</si>
  <si>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</si>
  <si>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</si>
  <si>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</si>
  <si>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</si>
  <si>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</si>
  <si>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</si>
  <si>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</si>
  <si>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</si>
  <si>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</si>
  <si>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</si>
  <si>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</si>
  <si>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</si>
  <si>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</si>
  <si>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</si>
  <si>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</si>
  <si>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</si>
  <si>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</si>
  <si>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</si>
  <si>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</si>
  <si>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</si>
  <si>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</si>
  <si>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</si>
  <si>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</si>
  <si>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</si>
  <si>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</si>
  <si>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</si>
  <si>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</si>
  <si>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</si>
  <si>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</si>
  <si>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</si>
  <si>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</si>
  <si>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</si>
  <si>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</si>
  <si>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</si>
  <si>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</si>
  <si>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</si>
  <si>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</si>
  <si>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</si>
  <si>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</si>
  <si>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</si>
  <si>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</si>
  <si>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</si>
  <si>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</si>
  <si>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</si>
  <si>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</si>
  <si>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</si>
  <si>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</si>
  <si>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</si>
  <si>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</si>
  <si>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</si>
  <si>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</si>
  <si>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</si>
  <si>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</si>
  <si>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</si>
  <si>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</si>
  <si>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</si>
  <si>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</si>
  <si>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</si>
  <si>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</si>
  <si>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</si>
  <si>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</si>
  <si>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</si>
  <si>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</si>
  <si>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</si>
  <si>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</si>
  <si>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</si>
  <si>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</si>
  <si>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</si>
  <si>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</si>
  <si>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</si>
  <si>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</si>
  <si>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</si>
  <si>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</si>
  <si>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</si>
  <si>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</si>
  <si>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</si>
  <si>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</si>
  <si>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</si>
  <si>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</si>
  <si>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</si>
  <si>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</si>
  <si>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</si>
  <si>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</si>
  <si>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</si>
  <si>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</si>
  <si>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</si>
  <si>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</si>
  <si>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</si>
  <si>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</si>
  <si>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</si>
  <si>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</si>
  <si>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</si>
  <si>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</si>
  <si>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</si>
  <si>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</si>
  <si>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</si>
  <si>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</si>
  <si>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</si>
  <si>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</si>
  <si>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</si>
  <si>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</si>
  <si>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</si>
  <si>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</si>
  <si>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</si>
  <si>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</si>
  <si>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</si>
  <si>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</si>
  <si>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</si>
  <si>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</si>
  <si>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</si>
  <si>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</si>
  <si>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</si>
  <si>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</si>
  <si>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</si>
  <si>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</si>
  <si>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</si>
  <si>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</si>
  <si>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</si>
  <si>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</si>
  <si>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</si>
  <si>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</si>
  <si>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</si>
  <si>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</si>
  <si>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</si>
  <si>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</si>
  <si>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</si>
  <si>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</si>
  <si>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</si>
  <si>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</si>
  <si>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</si>
  <si>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</si>
  <si>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</si>
  <si>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</si>
  <si>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</si>
  <si>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</si>
  <si>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</si>
  <si>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</si>
  <si>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</si>
  <si>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</si>
  <si>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</si>
  <si>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</si>
  <si>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</si>
  <si>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</si>
  <si>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</si>
  <si>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</si>
  <si>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</si>
  <si>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</si>
  <si>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</si>
  <si>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</si>
  <si>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</si>
  <si>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</si>
  <si>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</si>
  <si>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</si>
  <si>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</si>
  <si>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</si>
  <si>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</si>
  <si>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</si>
  <si>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</si>
  <si>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</si>
  <si>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</si>
  <si>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</si>
  <si>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</si>
  <si>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</si>
  <si>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</si>
  <si>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</si>
  <si>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</si>
  <si>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</si>
  <si>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</si>
  <si>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</si>
  <si>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</si>
  <si>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</si>
  <si>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</si>
  <si>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</si>
  <si>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</si>
  <si>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</si>
  <si>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</si>
  <si>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</si>
  <si>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</si>
  <si>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</si>
  <si>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</si>
  <si>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</si>
  <si>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</si>
  <si>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</si>
  <si>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</si>
  <si>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</si>
  <si>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</si>
  <si>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</si>
  <si>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</si>
  <si>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</si>
  <si>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</si>
  <si>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</si>
  <si>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</si>
  <si>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</si>
  <si>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</si>
  <si>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</si>
  <si>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</si>
  <si>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</si>
  <si>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</si>
  <si>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</si>
  <si>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</si>
  <si>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</si>
  <si>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</si>
  <si>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</si>
  <si>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</si>
  <si>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</si>
  <si>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</si>
  <si>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</si>
  <si>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</si>
  <si>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</si>
  <si>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</si>
  <si>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</si>
  <si>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</si>
  <si>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</si>
  <si>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</si>
  <si>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</si>
  <si>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</si>
  <si>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</si>
  <si>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</si>
  <si>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</si>
  <si>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</si>
  <si>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</si>
  <si>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</si>
  <si>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</si>
  <si>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</si>
  <si>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</si>
  <si>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</si>
  <si>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</si>
  <si>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</si>
  <si>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</si>
  <si>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</si>
  <si>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</si>
  <si>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</si>
  <si>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</si>
  <si>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</si>
  <si>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</si>
  <si>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</si>
  <si>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</si>
  <si>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</si>
  <si>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</si>
  <si>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</si>
  <si>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</si>
  <si>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</si>
  <si>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</si>
  <si>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</si>
  <si>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</si>
  <si>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</si>
  <si>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</si>
  <si>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</si>
  <si>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</si>
  <si>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</si>
  <si>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</si>
  <si>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</si>
  <si>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</si>
  <si>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</si>
  <si>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</si>
  <si>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</si>
  <si>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</si>
  <si>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</si>
  <si>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</si>
  <si>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</si>
  <si>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</si>
  <si>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</si>
  <si>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</si>
  <si>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</si>
  <si>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</si>
  <si>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</si>
  <si>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</si>
  <si>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</si>
  <si>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</si>
  <si>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</si>
  <si>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</si>
  <si>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</si>
  <si>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</si>
  <si>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</si>
  <si>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</si>
  <si>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</si>
  <si>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</si>
  <si>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</si>
  <si>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</si>
  <si>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</si>
  <si>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</si>
  <si>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</si>
  <si>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</si>
  <si>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</si>
  <si>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</si>
  <si>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</si>
  <si>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</si>
  <si>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</si>
  <si>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</si>
  <si>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</si>
  <si>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</si>
  <si>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</si>
  <si>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</si>
  <si>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</si>
  <si>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</si>
  <si>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</si>
  <si>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</si>
  <si>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</si>
  <si>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</si>
  <si>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</si>
  <si>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</si>
  <si>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</si>
  <si>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</si>
  <si>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</si>
  <si>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</si>
  <si>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</si>
  <si>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</si>
  <si>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</si>
  <si>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</si>
  <si>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</si>
  <si>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</si>
  <si>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</si>
  <si>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</si>
  <si>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</si>
  <si>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</si>
  <si>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</si>
  <si>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</si>
  <si>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</si>
  <si>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</si>
  <si>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</si>
  <si>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</si>
  <si>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</si>
  <si>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</si>
  <si>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</si>
  <si>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</si>
  <si>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</si>
  <si>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</si>
  <si>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</si>
  <si>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</si>
  <si>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</si>
  <si>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</si>
  <si>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</si>
  <si>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</si>
  <si>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</si>
  <si>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</si>
  <si>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</si>
  <si>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</si>
  <si>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</si>
  <si>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</si>
  <si>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</si>
  <si>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</si>
  <si>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</si>
  <si>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</si>
  <si>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</si>
  <si>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</si>
  <si>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</si>
  <si>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</si>
  <si>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</si>
  <si>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</si>
  <si>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</si>
  <si>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</si>
  <si>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</si>
  <si>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</si>
  <si>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</si>
  <si>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</si>
  <si>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</si>
  <si>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</si>
  <si>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</si>
  <si>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</si>
  <si>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</si>
  <si>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</si>
  <si>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</si>
  <si>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</si>
  <si>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</si>
  <si>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</si>
  <si>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</si>
  <si>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</si>
  <si>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</si>
  <si>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</si>
  <si>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</si>
  <si>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</si>
  <si>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</si>
  <si>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</si>
  <si>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</si>
  <si>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</si>
  <si>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</si>
  <si>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</si>
  <si>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</si>
  <si>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</si>
  <si>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</si>
  <si>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</si>
  <si>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</si>
  <si>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</si>
  <si>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</si>
  <si>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</si>
  <si>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</si>
  <si>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</si>
  <si>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</si>
  <si>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</si>
  <si>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</si>
  <si>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</si>
  <si>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</si>
  <si>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</si>
  <si>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</si>
  <si>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</si>
  <si>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</si>
  <si>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</si>
  <si>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</si>
  <si>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</si>
  <si>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</si>
  <si>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</si>
  <si>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</si>
  <si>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</si>
  <si>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</si>
  <si>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</si>
  <si>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</si>
  <si>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</si>
  <si>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</si>
  <si>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</si>
  <si>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</si>
  <si>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</si>
  <si>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</si>
  <si>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</si>
  <si>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</si>
  <si>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</si>
  <si>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</si>
  <si>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</si>
  <si>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</si>
  <si>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</si>
  <si>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</si>
  <si>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</si>
  <si>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</si>
  <si>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</si>
  <si>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</si>
  <si>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</si>
  <si>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</si>
  <si>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</si>
  <si>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</si>
  <si>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</si>
  <si>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</si>
  <si>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</si>
  <si>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</si>
  <si>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</si>
  <si>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</si>
  <si>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</si>
  <si>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</si>
  <si>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</si>
  <si>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</si>
  <si>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</si>
  <si>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</si>
  <si>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</si>
  <si>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</si>
  <si>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</si>
  <si>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</si>
  <si>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</si>
  <si>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</si>
  <si>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</si>
  <si>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</si>
  <si>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</si>
  <si>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</si>
  <si>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</si>
  <si>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</si>
  <si>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</si>
  <si>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</si>
  <si>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</si>
  <si>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</si>
  <si>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</si>
  <si>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</si>
  <si>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</si>
  <si>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</si>
  <si>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</si>
  <si>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</si>
  <si>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</si>
  <si>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</si>
  <si>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</si>
  <si>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</si>
  <si>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</si>
  <si>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</si>
  <si>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</si>
  <si>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</si>
  <si>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</si>
  <si>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</si>
  <si>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</si>
  <si>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</si>
  <si>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</si>
  <si>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</si>
  <si>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</si>
  <si>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</si>
  <si>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</si>
  <si>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</si>
  <si>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</si>
  <si>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</si>
  <si>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</si>
  <si>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</si>
  <si>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</si>
  <si>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</si>
  <si>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</si>
  <si>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</si>
  <si>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</si>
  <si>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</si>
  <si>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</si>
  <si>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</si>
  <si>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</si>
  <si>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</si>
  <si>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</si>
  <si>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</si>
  <si>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</si>
  <si>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</si>
  <si>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</si>
  <si>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</si>
  <si>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</si>
  <si>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</si>
  <si>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</si>
  <si>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</si>
  <si>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</si>
  <si>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</si>
  <si>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</si>
  <si>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</si>
  <si>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</si>
  <si>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</si>
  <si>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</si>
  <si>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</si>
  <si>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</si>
  <si>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</si>
  <si>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</si>
  <si>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</si>
  <si>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</si>
  <si>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</si>
  <si>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</si>
  <si>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</si>
  <si>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</si>
  <si>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</si>
  <si>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</si>
  <si>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</si>
  <si>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</si>
  <si>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</si>
  <si>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</si>
  <si>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</si>
  <si>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</si>
  <si>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</si>
  <si>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</si>
  <si>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</si>
  <si>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</si>
  <si>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</si>
  <si>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</si>
  <si>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</si>
  <si>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</si>
  <si>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</si>
  <si>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</si>
  <si>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</si>
  <si>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</si>
  <si>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</si>
  <si>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</si>
  <si>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</si>
  <si>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</si>
  <si>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</si>
  <si>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</si>
  <si>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</si>
  <si>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</si>
  <si>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</si>
  <si>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</si>
  <si>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</si>
  <si>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</si>
  <si>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</si>
  <si>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</si>
  <si>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</si>
  <si>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</si>
  <si>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</si>
  <si>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</si>
  <si>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</si>
  <si>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</si>
  <si>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</si>
  <si>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</si>
  <si>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</si>
  <si>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</si>
  <si>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</si>
  <si>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</si>
  <si>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</si>
  <si>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</si>
  <si>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</si>
  <si>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</si>
  <si>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</si>
  <si>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</si>
  <si>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</si>
  <si>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</si>
  <si>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</si>
  <si>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</si>
  <si>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</si>
  <si>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</si>
  <si>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</si>
  <si>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</si>
  <si>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</si>
  <si>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</si>
  <si>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</si>
  <si>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</si>
  <si>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</si>
  <si>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</si>
  <si>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</si>
  <si>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</si>
  <si>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</si>
  <si>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</si>
  <si>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</si>
  <si>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</si>
  <si>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</si>
  <si>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</si>
  <si>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</si>
  <si>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</si>
  <si>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</si>
  <si>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</si>
  <si>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</si>
  <si>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</si>
  <si>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</si>
  <si>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</si>
  <si>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</si>
  <si>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</si>
  <si>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</si>
  <si>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</si>
  <si>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</si>
  <si>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</si>
  <si>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</si>
  <si>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</si>
  <si>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</si>
  <si>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</si>
  <si>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</si>
  <si>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</si>
  <si>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</si>
  <si>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</si>
  <si>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</si>
  <si>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</si>
  <si>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</si>
  <si>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</si>
  <si>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</si>
  <si>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</si>
  <si>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</si>
  <si>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</si>
  <si>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</si>
  <si>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</si>
  <si>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</si>
  <si>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</si>
  <si>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</si>
  <si>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</si>
  <si>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</si>
  <si>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</si>
  <si>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</si>
  <si>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</si>
  <si>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</si>
  <si>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</si>
  <si>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</si>
  <si>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</si>
  <si>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</si>
  <si>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</si>
  <si>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</si>
  <si>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</si>
  <si>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</si>
  <si>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</si>
  <si>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</si>
  <si>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</si>
  <si>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</si>
  <si>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</si>
  <si>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</si>
  <si>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</si>
  <si>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</si>
  <si>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</si>
  <si>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</si>
  <si>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</si>
  <si>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</si>
  <si>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</si>
  <si>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</si>
  <si>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</si>
  <si>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</si>
  <si>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</si>
  <si>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</si>
  <si>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</si>
  <si>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</si>
  <si>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</si>
  <si>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</si>
  <si>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</si>
  <si>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</si>
  <si>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</si>
  <si>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</si>
  <si>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</si>
  <si>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</si>
  <si>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</si>
  <si>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</si>
  <si>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</si>
  <si>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</si>
  <si>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</si>
  <si>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</si>
  <si>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</si>
  <si>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</si>
  <si>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</si>
  <si>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</si>
  <si>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</si>
  <si>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</si>
  <si>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</si>
  <si>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</si>
  <si>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</si>
  <si>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</si>
  <si>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</si>
  <si>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</si>
  <si>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</si>
  <si>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</si>
  <si>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</si>
  <si>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</si>
  <si>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</si>
  <si>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</si>
  <si>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</si>
  <si>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</si>
  <si>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</si>
  <si>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</si>
  <si>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</si>
  <si>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</si>
  <si>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</si>
  <si>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</si>
  <si>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</si>
  <si>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</si>
  <si>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</si>
  <si>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</si>
  <si>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</si>
  <si>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</si>
  <si>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</si>
  <si>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</si>
  <si>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</si>
  <si>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</si>
  <si>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</si>
  <si>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</si>
  <si>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</si>
  <si>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</si>
  <si>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</si>
  <si>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</si>
  <si>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</si>
  <si>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</si>
  <si>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</si>
  <si>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</si>
  <si>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</si>
  <si>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</si>
  <si>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</si>
  <si>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</si>
  <si>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</si>
  <si>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</si>
  <si>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</si>
  <si>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</si>
  <si>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</si>
  <si>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</si>
  <si>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</si>
  <si>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</si>
  <si>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</si>
  <si>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</si>
  <si>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</si>
  <si>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</si>
  <si>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</si>
  <si>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</si>
  <si>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</si>
  <si>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</si>
  <si>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</si>
  <si>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</si>
  <si>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</si>
  <si>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</si>
  <si>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</si>
  <si>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</si>
  <si>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</si>
  <si>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</si>
  <si>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</si>
  <si>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</si>
  <si>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</si>
  <si>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</si>
  <si>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</si>
  <si>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</si>
  <si>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</si>
  <si>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</si>
  <si>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</si>
  <si>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</si>
  <si>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</si>
  <si>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</si>
  <si>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</si>
  <si>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</si>
  <si>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</si>
  <si>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</si>
  <si>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</si>
  <si>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</si>
  <si>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</si>
  <si>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</si>
  <si>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</si>
  <si>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</si>
  <si>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</si>
  <si>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</si>
  <si>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</si>
  <si>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</si>
  <si>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</si>
  <si>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</si>
  <si>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</si>
  <si>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</si>
  <si>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</si>
  <si>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</si>
  <si>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</si>
  <si>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</si>
  <si>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</si>
  <si>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</si>
  <si>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</si>
  <si>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</si>
  <si>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</si>
  <si>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</si>
  <si>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</si>
  <si>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</si>
  <si>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</si>
  <si>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</si>
  <si>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</si>
  <si>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</si>
  <si>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</si>
  <si>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</si>
  <si>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</si>
  <si>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</si>
  <si>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</si>
  <si>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</si>
  <si>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</si>
  <si>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</si>
  <si>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</si>
  <si>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</si>
  <si>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</si>
  <si>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</si>
  <si>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</si>
  <si>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</si>
  <si>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</si>
  <si>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</si>
  <si>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</si>
  <si>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</si>
  <si>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</si>
  <si>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</si>
  <si>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</si>
  <si>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</si>
  <si>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</si>
  <si>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</si>
  <si>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</si>
  <si>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</si>
  <si>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</si>
  <si>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</si>
  <si>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</si>
  <si>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</si>
  <si>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</si>
  <si>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</si>
  <si>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</si>
  <si>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</si>
  <si>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</si>
  <si>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</si>
  <si>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</si>
  <si>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</si>
  <si>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</si>
  <si>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</si>
  <si>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</si>
  <si>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</si>
  <si>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</si>
  <si>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</si>
  <si>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</si>
  <si>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</si>
  <si>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</si>
  <si>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</si>
  <si>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</si>
  <si>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</si>
  <si>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</si>
  <si>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</si>
  <si>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</si>
  <si>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</si>
  <si>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</si>
  <si>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</si>
  <si>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</si>
  <si>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</si>
  <si>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</si>
  <si>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</si>
  <si>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</si>
  <si>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</si>
  <si>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</si>
  <si>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</si>
  <si>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</si>
  <si>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</si>
  <si>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</si>
  <si>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</si>
  <si>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</si>
  <si>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</si>
  <si>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</si>
  <si>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</si>
  <si>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</si>
  <si>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</si>
  <si>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</si>
  <si>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</si>
  <si>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</si>
  <si>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</si>
  <si>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</si>
  <si>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</si>
  <si>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</si>
  <si>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</si>
  <si>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</si>
  <si>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</si>
  <si>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</si>
  <si>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</si>
  <si>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</si>
  <si>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</si>
  <si>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</si>
  <si>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</si>
  <si>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</si>
  <si>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</si>
  <si>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</si>
  <si>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</si>
  <si>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</si>
  <si>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</si>
  <si>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</si>
  <si>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</si>
  <si>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</si>
  <si>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</si>
  <si>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</si>
  <si>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</si>
  <si>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</si>
  <si>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</si>
  <si>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</si>
  <si>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</si>
  <si>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</si>
  <si>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</si>
  <si>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</si>
  <si>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</si>
  <si>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</si>
  <si>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</si>
  <si>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</si>
  <si>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</si>
  <si>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</si>
  <si>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</si>
  <si>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</si>
  <si>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</si>
  <si>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</si>
  <si>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</si>
  <si>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</si>
  <si>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</si>
  <si>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</si>
  <si>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</si>
  <si>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</si>
  <si>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</si>
  <si>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</si>
  <si>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</si>
  <si>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</si>
  <si>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</si>
  <si>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</si>
  <si>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</si>
  <si>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</si>
  <si>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</si>
  <si>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</si>
  <si>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</si>
  <si>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</si>
  <si>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</si>
  <si>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</si>
  <si>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</si>
  <si>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</si>
  <si>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</si>
  <si>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</si>
  <si>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</si>
  <si>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</si>
  <si>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</si>
  <si>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</si>
  <si>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</si>
  <si>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</si>
  <si>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</si>
  <si>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</si>
  <si>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</si>
  <si>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</si>
  <si>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</si>
  <si>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</si>
  <si>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</si>
  <si>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</si>
  <si>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</si>
  <si>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</si>
  <si>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</si>
  <si>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</si>
  <si>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</si>
  <si>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</si>
  <si>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</si>
  <si>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</si>
  <si>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</si>
  <si>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</si>
  <si>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</si>
  <si>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</si>
  <si>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</si>
  <si>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</si>
  <si>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</si>
  <si>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</si>
  <si>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</si>
  <si>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</si>
  <si>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</si>
  <si>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</si>
  <si>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</si>
  <si>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</si>
  <si>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</si>
  <si>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</si>
  <si>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</si>
  <si>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</si>
  <si>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</si>
  <si>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</si>
  <si>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</si>
  <si>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</si>
  <si>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</si>
  <si>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</si>
  <si>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</si>
  <si>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</si>
  <si>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</si>
  <si>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</si>
  <si>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</si>
  <si>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</si>
  <si>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</si>
  <si>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</si>
  <si>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</si>
  <si>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</si>
  <si>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</si>
  <si>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</si>
  <si>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</si>
  <si>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</si>
  <si>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</si>
  <si>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</si>
  <si>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</si>
  <si>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</si>
  <si>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</si>
  <si>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</si>
  <si>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</si>
  <si>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</si>
  <si>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</si>
  <si>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</si>
  <si>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</si>
  <si>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</si>
  <si>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</si>
  <si>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</si>
  <si>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</si>
  <si>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</si>
  <si>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</si>
  <si>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</si>
  <si>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</si>
  <si>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</si>
  <si>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</si>
  <si>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</si>
  <si>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</si>
  <si>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</si>
  <si>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</si>
  <si>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</si>
  <si>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</si>
  <si>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</si>
  <si>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</si>
  <si>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</si>
  <si>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</si>
  <si>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</si>
  <si>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</si>
  <si>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</si>
  <si>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</si>
  <si>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</si>
  <si>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</si>
  <si>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</si>
  <si>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</si>
  <si>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</si>
  <si>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</si>
  <si>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</si>
  <si>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</si>
  <si>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</si>
  <si>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</si>
  <si>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</si>
  <si>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</si>
  <si>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</si>
  <si>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</si>
  <si>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</si>
  <si>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</si>
  <si>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</si>
  <si>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</si>
  <si>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</si>
  <si>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</si>
  <si>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</si>
  <si>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</si>
  <si>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</si>
  <si>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</si>
  <si>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</si>
  <si>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</si>
  <si>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</si>
  <si>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</si>
  <si>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</si>
  <si>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</si>
  <si>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</si>
  <si>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</si>
  <si>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</si>
  <si>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</si>
  <si>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</si>
  <si>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</si>
  <si>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</si>
  <si>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</si>
  <si>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</si>
  <si>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</si>
  <si>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</si>
  <si>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</si>
  <si>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</si>
  <si>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</si>
  <si>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</si>
  <si>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</si>
  <si>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</si>
  <si>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</si>
  <si>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</si>
  <si>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</si>
  <si>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</si>
  <si>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</si>
  <si>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</si>
  <si>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</si>
  <si>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</si>
  <si>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</si>
  <si>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</si>
  <si>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</si>
  <si>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</si>
  <si>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</si>
  <si>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</si>
  <si>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</si>
  <si>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</si>
  <si>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</si>
  <si>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</si>
  <si>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</si>
  <si>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</si>
  <si>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</si>
  <si>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</si>
  <si>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</si>
  <si>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</si>
  <si>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</si>
  <si>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</si>
  <si>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</si>
  <si>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</si>
  <si>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</si>
  <si>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</si>
  <si>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</si>
  <si>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</si>
  <si>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</si>
  <si>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</si>
  <si>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</si>
  <si>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</si>
  <si>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</si>
  <si>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</si>
  <si>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</si>
  <si>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</si>
  <si>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</si>
  <si>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</si>
  <si>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</si>
  <si>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</si>
  <si>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</si>
  <si>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</si>
  <si>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</si>
  <si>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</si>
  <si>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</si>
  <si>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</si>
  <si>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</si>
  <si>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</si>
  <si>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</si>
  <si>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</si>
  <si>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</si>
  <si>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</si>
  <si>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</si>
  <si>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</si>
  <si>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</si>
  <si>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</si>
  <si>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</si>
  <si>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</si>
  <si>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</si>
  <si>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</si>
  <si>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</si>
  <si>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</si>
  <si>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</si>
  <si>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</si>
  <si>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</si>
  <si>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</si>
  <si>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</si>
  <si>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</si>
  <si>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</si>
  <si>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</si>
  <si>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</si>
  <si>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</si>
  <si>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</si>
  <si>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</si>
  <si>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</si>
  <si>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</si>
  <si>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</si>
  <si>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</si>
  <si>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</si>
  <si>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</si>
  <si>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</si>
  <si>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</si>
  <si>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</si>
  <si>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</si>
  <si>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</si>
  <si>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</si>
  <si>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</si>
  <si>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</si>
  <si>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</si>
  <si>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</si>
  <si>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</si>
  <si>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</si>
  <si>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</si>
  <si>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</si>
  <si>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</si>
  <si>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</si>
  <si>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</si>
  <si>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</si>
  <si>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</si>
  <si>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</si>
  <si>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</si>
  <si>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</si>
  <si>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</si>
  <si>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</si>
  <si>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</si>
  <si>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</si>
  <si>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</si>
  <si>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</si>
  <si>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</si>
  <si>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</si>
  <si>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</si>
  <si>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</si>
  <si>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</si>
  <si>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</si>
  <si>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</si>
  <si>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</si>
  <si>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</si>
  <si>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</si>
  <si>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</si>
  <si>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</si>
  <si>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</si>
  <si>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</si>
  <si>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</si>
  <si>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</si>
  <si>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</si>
  <si>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</si>
  <si>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</si>
  <si>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</si>
  <si>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</si>
  <si>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</si>
  <si>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</si>
  <si>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</si>
  <si>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</si>
  <si>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</si>
  <si>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</si>
  <si>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</si>
  <si>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</si>
  <si>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</si>
  <si>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</si>
  <si>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</si>
  <si>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</si>
  <si>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</si>
  <si>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</si>
  <si>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</si>
  <si>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</si>
  <si>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</si>
  <si>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</si>
  <si>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</si>
  <si>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</si>
  <si>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</si>
  <si>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</si>
  <si>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</si>
  <si>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</si>
  <si>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</si>
  <si>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</si>
  <si>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</si>
  <si>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</si>
  <si>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</si>
  <si>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</si>
  <si>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</si>
  <si>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</si>
  <si>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</si>
  <si>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</si>
  <si>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</si>
  <si>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</si>
  <si>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</si>
  <si>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</si>
  <si>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</si>
  <si>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</si>
  <si>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</si>
  <si>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</si>
  <si>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</si>
  <si>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</si>
  <si>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</si>
  <si>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</si>
  <si>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</si>
  <si>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</si>
  <si>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</si>
  <si>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</si>
  <si>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</si>
  <si>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</si>
  <si>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</si>
  <si>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</si>
  <si>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</si>
  <si>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</si>
  <si>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</si>
  <si>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</si>
  <si>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</si>
  <si>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</si>
  <si>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</si>
  <si>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</si>
  <si>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</si>
  <si>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</si>
  <si>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</si>
  <si>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</si>
  <si>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</si>
  <si>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</si>
  <si>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</si>
  <si>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</si>
  <si>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</si>
  <si>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</si>
  <si>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</si>
  <si>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</si>
  <si>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</si>
  <si>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</si>
  <si>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</si>
  <si>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</si>
  <si>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</si>
  <si>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</si>
  <si>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</si>
  <si>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</si>
  <si>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</si>
  <si>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</si>
  <si>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</si>
  <si>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</si>
  <si>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</si>
  <si>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</si>
  <si>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</si>
  <si>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</si>
  <si>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</si>
  <si>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</si>
  <si>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</si>
  <si>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</si>
  <si>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</si>
  <si>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</si>
  <si>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</si>
  <si>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</si>
  <si>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</si>
  <si>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</si>
  <si>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</si>
  <si>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</si>
  <si>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</si>
  <si>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</si>
  <si>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</si>
  <si>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</si>
  <si>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</si>
  <si>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</si>
  <si>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</si>
  <si>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</si>
  <si>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</si>
  <si>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</si>
  <si>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</si>
  <si>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</si>
  <si>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</si>
  <si>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</si>
  <si>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</si>
  <si>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</si>
  <si>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</si>
  <si>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</si>
  <si>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</si>
  <si>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</si>
  <si>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</si>
  <si>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</si>
  <si>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</si>
  <si>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</si>
  <si>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</si>
  <si>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</si>
  <si>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</si>
  <si>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</si>
  <si>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</si>
  <si>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</si>
  <si>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</si>
  <si>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</si>
  <si>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</si>
  <si>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</si>
  <si>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</si>
  <si>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</si>
  <si>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</si>
  <si>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</si>
  <si>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</si>
  <si>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</si>
  <si>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</si>
  <si>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</si>
  <si>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</si>
  <si>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</si>
  <si>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</si>
  <si>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</si>
  <si>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</si>
  <si>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</si>
  <si>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</si>
  <si>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</si>
  <si>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</si>
  <si>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</si>
  <si>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</si>
  <si>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</si>
  <si>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</si>
  <si>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</si>
  <si>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</si>
  <si>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</si>
  <si>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</si>
  <si>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</si>
  <si>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</si>
  <si>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</si>
  <si>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</si>
  <si>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</si>
  <si>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</si>
  <si>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</si>
  <si>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</si>
  <si>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</si>
  <si>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</si>
  <si>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</si>
  <si>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</si>
  <si>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</si>
  <si>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</si>
  <si>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</si>
  <si>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</si>
  <si>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</si>
  <si>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</si>
  <si>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</si>
  <si>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</si>
  <si>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</si>
  <si>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</si>
  <si>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</si>
  <si>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</si>
  <si>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</si>
  <si>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</si>
  <si>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</si>
  <si>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</si>
  <si>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</si>
  <si>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</si>
  <si>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</si>
  <si>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</si>
  <si>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</si>
  <si>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</si>
  <si>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</si>
  <si>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</si>
  <si>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</si>
  <si>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</si>
  <si>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</si>
  <si>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</si>
  <si>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</si>
  <si>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</si>
  <si>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</si>
  <si>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</si>
  <si>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</si>
  <si>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</si>
  <si>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</si>
  <si>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</si>
  <si>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</si>
  <si>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</si>
  <si>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</si>
  <si>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</si>
  <si>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</si>
  <si>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</si>
  <si>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</si>
  <si>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</si>
  <si>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</si>
  <si>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</si>
  <si>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</si>
  <si>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</si>
  <si>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</si>
  <si>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</si>
  <si>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</si>
  <si>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</si>
  <si>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</si>
  <si>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</si>
  <si>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</si>
  <si>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</si>
  <si>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</si>
  <si>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</si>
  <si>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</si>
  <si>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</si>
  <si>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</si>
  <si>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</si>
  <si>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</si>
  <si>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</si>
  <si>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</si>
  <si>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</si>
  <si>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</si>
  <si>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</si>
  <si>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</si>
  <si>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</si>
  <si>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</si>
  <si>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</si>
  <si>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</si>
  <si>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</si>
  <si>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</si>
  <si>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</si>
  <si>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</si>
  <si>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</si>
  <si>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</si>
  <si>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</si>
  <si>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</si>
  <si>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</si>
  <si>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</si>
  <si>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</si>
  <si>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</si>
  <si>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</si>
  <si>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</si>
  <si>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</si>
  <si>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</si>
  <si>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</si>
  <si>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</si>
  <si>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</si>
  <si>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</si>
  <si>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</si>
  <si>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</si>
  <si>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</si>
  <si>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</si>
  <si>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</si>
  <si>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</si>
  <si>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</si>
  <si>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</si>
  <si>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</si>
  <si>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</si>
  <si>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</si>
  <si>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</si>
  <si>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</si>
  <si>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</si>
  <si>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</si>
  <si>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</si>
  <si>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</si>
  <si>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</si>
  <si>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</si>
  <si>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</si>
  <si>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</si>
  <si>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</si>
  <si>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</si>
  <si>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</si>
  <si>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</si>
  <si>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</si>
  <si>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</si>
  <si>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</si>
  <si>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</si>
  <si>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</si>
  <si>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</si>
  <si>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</si>
  <si>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</si>
  <si>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</si>
  <si>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</si>
  <si>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</si>
  <si>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</si>
  <si>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</si>
  <si>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</si>
  <si>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</si>
  <si>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</si>
  <si>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</si>
  <si>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</si>
  <si>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</si>
  <si>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</si>
  <si>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</si>
  <si>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</si>
  <si>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</si>
  <si>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</si>
  <si>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</si>
  <si>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</si>
  <si>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</si>
  <si>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</si>
  <si>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</si>
  <si>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</si>
  <si>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</si>
  <si>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</si>
  <si>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</si>
  <si>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</si>
  <si>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</si>
  <si>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</si>
  <si>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</si>
  <si>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</si>
  <si>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</si>
  <si>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</si>
  <si>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</si>
  <si>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</si>
  <si>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</si>
  <si>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</si>
  <si>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</si>
  <si>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</si>
  <si>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</si>
  <si>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</si>
  <si>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</si>
  <si>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</si>
  <si>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</si>
  <si>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</si>
  <si>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</si>
  <si>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</si>
  <si>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</si>
  <si>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</si>
  <si>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</si>
  <si>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</si>
  <si>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</si>
  <si>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</si>
  <si>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</si>
  <si>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</si>
  <si>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</si>
  <si>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</si>
  <si>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</si>
  <si>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</si>
  <si>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</si>
  <si>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</si>
  <si>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</si>
  <si>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</si>
  <si>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</si>
  <si>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</si>
  <si>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</si>
  <si>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</si>
  <si>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</si>
  <si>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</si>
  <si>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</si>
  <si>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</si>
  <si>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</si>
  <si>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</si>
  <si>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</si>
  <si>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</si>
  <si>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</si>
  <si>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</si>
  <si>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</si>
  <si>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</si>
  <si>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</si>
  <si>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</si>
  <si>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</si>
  <si>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</si>
  <si>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</si>
  <si>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</si>
  <si>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</si>
  <si>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</si>
  <si>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</si>
  <si>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</si>
  <si>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</si>
  <si>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</si>
  <si>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</si>
  <si>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</si>
  <si>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</si>
  <si>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</si>
  <si>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</si>
  <si>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</si>
  <si>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</si>
  <si>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</si>
  <si>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</si>
  <si>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</si>
  <si>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</si>
  <si>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</si>
  <si>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</si>
  <si>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</si>
  <si>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</si>
  <si>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</si>
  <si>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</si>
  <si>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</si>
  <si>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</si>
  <si>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</si>
  <si>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</si>
  <si>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</si>
  <si>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</si>
  <si>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</si>
  <si>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</si>
  <si>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</si>
  <si>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</si>
  <si>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</si>
  <si>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</si>
  <si>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</si>
  <si>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</si>
  <si>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</si>
  <si>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</si>
  <si>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</si>
  <si>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</si>
  <si>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</si>
  <si>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</si>
  <si>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</si>
  <si>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</si>
  <si>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</si>
  <si>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</si>
  <si>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</si>
  <si>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</si>
  <si>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</si>
  <si>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</si>
  <si>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</si>
  <si>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</si>
  <si>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</si>
  <si>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</si>
  <si>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</si>
  <si>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</si>
  <si>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</si>
  <si>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</si>
  <si>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</si>
  <si>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</si>
  <si>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</si>
  <si>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</si>
  <si>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</si>
  <si>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</si>
  <si>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</si>
  <si>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</si>
  <si>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</si>
  <si>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</si>
  <si>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</si>
  <si>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</si>
  <si>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</si>
  <si>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</si>
  <si>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</si>
  <si>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</si>
  <si>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</si>
  <si>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</si>
  <si>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</si>
  <si>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</si>
  <si>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</si>
  <si>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</si>
  <si>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</si>
  <si>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</si>
  <si>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</si>
  <si>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</si>
  <si>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</si>
  <si>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</si>
  <si>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</si>
  <si>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</si>
  <si>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</si>
  <si>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</si>
  <si>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</si>
  <si>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</si>
  <si>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</si>
  <si>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</si>
  <si>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</si>
  <si>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</si>
  <si>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</si>
  <si>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</si>
  <si>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</si>
  <si>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</si>
  <si>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</si>
  <si>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</si>
  <si>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</si>
  <si>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</si>
  <si>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</si>
  <si>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</si>
  <si>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</si>
  <si>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</si>
  <si>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</si>
  <si>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</si>
  <si>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</si>
  <si>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</si>
  <si>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</si>
  <si>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</si>
  <si>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</si>
  <si>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</si>
  <si>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</si>
  <si>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</si>
  <si>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</si>
  <si>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</si>
  <si>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</si>
  <si>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</si>
  <si>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</si>
  <si>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</si>
  <si>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</si>
  <si>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</si>
  <si>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</si>
  <si>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</si>
  <si>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</si>
  <si>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</si>
  <si>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</si>
  <si>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</si>
  <si>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</si>
  <si>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</si>
  <si>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</si>
  <si>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</si>
  <si>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</si>
  <si>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</si>
  <si>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</si>
  <si>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</si>
  <si>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</si>
  <si>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</si>
  <si>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</si>
  <si>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</si>
  <si>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</si>
  <si>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</si>
  <si>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</si>
  <si>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</si>
  <si>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</si>
  <si>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</si>
  <si>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</si>
  <si>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</si>
  <si>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</si>
  <si>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</si>
  <si>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</si>
  <si>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</si>
  <si>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</si>
  <si>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</si>
  <si>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</si>
  <si>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</si>
  <si>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</si>
  <si>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</si>
  <si>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</si>
  <si>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</si>
  <si>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</si>
  <si>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</si>
  <si>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</si>
  <si>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</si>
  <si>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</si>
  <si>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</si>
  <si>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</si>
  <si>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</si>
  <si>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</si>
  <si>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</si>
  <si>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</si>
  <si>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</si>
  <si>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</si>
  <si>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</si>
  <si>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</si>
  <si>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</si>
  <si>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</si>
  <si>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</si>
  <si>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</si>
  <si>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</si>
  <si>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</si>
  <si>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</si>
  <si>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</si>
  <si>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</si>
  <si>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</si>
  <si>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</si>
  <si>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</si>
  <si>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</si>
  <si>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</si>
  <si>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</si>
  <si>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</si>
  <si>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</si>
  <si>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</si>
  <si>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</si>
  <si>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</si>
  <si>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</si>
  <si>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</si>
  <si>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</si>
  <si>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</si>
  <si>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</si>
  <si>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</si>
  <si>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</si>
  <si>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</si>
  <si>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</si>
  <si>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</si>
  <si>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</si>
  <si>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</si>
  <si>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</si>
  <si>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</si>
  <si>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</si>
  <si>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</si>
  <si>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</si>
  <si>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</si>
  <si>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</si>
  <si>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</si>
  <si>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</si>
  <si>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</si>
  <si>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</si>
  <si>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</si>
  <si>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</si>
  <si>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</si>
  <si>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</si>
  <si>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</si>
  <si>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</si>
  <si>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</si>
  <si>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</si>
  <si>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</si>
  <si>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</si>
  <si>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</si>
  <si>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</si>
  <si>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</si>
  <si>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</si>
  <si>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</si>
  <si>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</si>
  <si>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</si>
  <si>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</si>
  <si>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</si>
  <si>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</si>
  <si>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</si>
  <si>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</si>
  <si>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</si>
  <si>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</si>
  <si>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</si>
  <si>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</si>
  <si>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</si>
  <si>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</si>
  <si>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</si>
  <si>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</si>
  <si>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</si>
  <si>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</si>
  <si>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</si>
  <si>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</si>
  <si>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</si>
  <si>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</si>
  <si>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</si>
  <si>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</si>
  <si>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</si>
  <si>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</si>
  <si>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</si>
  <si>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</si>
  <si>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</si>
  <si>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</si>
  <si>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</si>
  <si>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</si>
  <si>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</si>
  <si>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</si>
  <si>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</si>
  <si>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</si>
  <si>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</si>
  <si>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</si>
  <si>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</si>
  <si>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</si>
  <si>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</si>
  <si>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</si>
  <si>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</si>
  <si>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</si>
  <si>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</si>
  <si>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</si>
  <si>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</si>
  <si>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</si>
  <si>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</si>
  <si>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</si>
  <si>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</si>
  <si>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</si>
  <si>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</si>
  <si>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</si>
  <si>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</si>
  <si>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</si>
  <si>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</si>
  <si>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</si>
  <si>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</si>
  <si>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</si>
  <si>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</si>
  <si>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</si>
  <si>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</si>
  <si>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</si>
  <si>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</si>
  <si>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</si>
  <si>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</si>
  <si>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</si>
  <si>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</si>
  <si>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</si>
  <si>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</si>
  <si>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</si>
  <si>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</si>
  <si>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</si>
  <si>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</si>
  <si>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</si>
  <si>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</si>
  <si>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</si>
  <si>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</si>
  <si>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</si>
  <si>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</si>
  <si>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</si>
  <si>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</si>
  <si>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</si>
  <si>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</si>
  <si>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</si>
  <si>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</si>
  <si>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</si>
  <si>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</si>
  <si>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</si>
  <si>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</si>
  <si>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</si>
  <si>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</si>
  <si>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</si>
  <si>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</si>
  <si>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</si>
  <si>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</si>
  <si>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</si>
  <si>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</si>
  <si>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</si>
  <si>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</si>
  <si>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</si>
  <si>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</si>
  <si>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</si>
  <si>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</si>
  <si>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</si>
  <si>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</si>
  <si>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</si>
  <si>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</si>
  <si>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</si>
  <si>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</si>
  <si>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</si>
  <si>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</si>
  <si>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</si>
  <si>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</si>
  <si>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</si>
  <si>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</si>
  <si>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</si>
  <si>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</si>
  <si>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</si>
  <si>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</si>
  <si>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</si>
  <si>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</si>
  <si>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</si>
  <si>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</si>
  <si>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</si>
  <si>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</si>
  <si>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</si>
  <si>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</si>
  <si>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</si>
  <si>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</si>
  <si>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</si>
  <si>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</si>
  <si>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</si>
  <si>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</si>
  <si>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</si>
  <si>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</si>
  <si>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</si>
  <si>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</si>
  <si>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</si>
  <si>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</si>
  <si>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</si>
  <si>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</si>
  <si>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</si>
  <si>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</si>
  <si>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</si>
  <si>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</si>
  <si>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</si>
  <si>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</si>
  <si>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</si>
  <si>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</si>
  <si>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</si>
  <si>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</si>
  <si>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</si>
  <si>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</si>
  <si>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</si>
  <si>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</si>
  <si>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</si>
  <si>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</si>
  <si>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</si>
  <si>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</si>
  <si>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</si>
  <si>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</si>
  <si>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</si>
  <si>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</si>
  <si>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</si>
  <si>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</si>
  <si>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</si>
  <si>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</si>
  <si>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</si>
  <si>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</si>
  <si>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</si>
  <si>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</si>
  <si>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</si>
  <si>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</si>
  <si>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</si>
  <si>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</si>
  <si>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</si>
  <si>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</si>
  <si>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</si>
  <si>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</si>
  <si>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</si>
  <si>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</si>
  <si>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</si>
  <si>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</si>
  <si>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</si>
  <si>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</si>
  <si>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</si>
  <si>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</si>
  <si>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</si>
  <si>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</si>
  <si>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</si>
  <si>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</si>
  <si>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</si>
  <si>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</si>
  <si>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</si>
  <si>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</si>
  <si>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</si>
  <si>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</si>
  <si>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</si>
  <si>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</si>
  <si>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</si>
  <si>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</si>
  <si>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</si>
  <si>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</si>
  <si>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</si>
  <si>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</si>
  <si>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</si>
  <si>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</si>
  <si>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</si>
  <si>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</si>
  <si>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</si>
  <si>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</si>
  <si>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</si>
  <si>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</si>
  <si>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</si>
  <si>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</si>
  <si>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</si>
  <si>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</si>
  <si>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</si>
  <si>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</si>
  <si>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</si>
  <si>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</si>
  <si>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</si>
  <si>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</si>
  <si>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</si>
  <si>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</si>
  <si>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</si>
  <si>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</si>
  <si>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</si>
  <si>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</si>
  <si>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</si>
  <si>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</si>
  <si>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</si>
  <si>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</si>
  <si>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</si>
  <si>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</si>
  <si>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</si>
  <si>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</si>
  <si>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</si>
  <si>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</si>
  <si>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</si>
  <si>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</si>
  <si>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</si>
  <si>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</si>
  <si>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</si>
  <si>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</si>
  <si>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</si>
  <si>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</si>
  <si>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</si>
  <si>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</si>
  <si>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</si>
  <si>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</si>
  <si>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</si>
  <si>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</si>
  <si>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</si>
  <si>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</si>
  <si>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</si>
  <si>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</si>
  <si>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</si>
  <si>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</si>
  <si>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</si>
  <si>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</si>
  <si>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</si>
  <si>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</si>
  <si>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</si>
  <si>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</si>
  <si>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</si>
  <si>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</si>
  <si>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</si>
  <si>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</si>
  <si>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</si>
  <si>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</si>
  <si>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</si>
  <si>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</si>
  <si>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</si>
  <si>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</si>
  <si>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</si>
  <si>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</si>
  <si>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</si>
  <si>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</si>
  <si>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</si>
  <si>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</si>
  <si>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</si>
  <si>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</si>
  <si>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</si>
  <si>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</si>
  <si>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</si>
  <si>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</si>
  <si>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</si>
  <si>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</si>
  <si>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</si>
  <si>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</si>
  <si>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</si>
  <si>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</si>
  <si>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</si>
  <si>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</si>
  <si>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</si>
  <si>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</si>
  <si>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</si>
  <si>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</si>
  <si>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</si>
  <si>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</si>
  <si>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</si>
  <si>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</si>
  <si>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</si>
  <si>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</si>
  <si>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</si>
  <si>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</si>
  <si>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</si>
  <si>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</si>
  <si>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</si>
  <si>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</si>
  <si>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</si>
  <si>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</si>
  <si>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</si>
  <si>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</si>
  <si>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</si>
  <si>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</si>
  <si>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</si>
  <si>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</si>
  <si>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</si>
  <si>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</si>
  <si>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</si>
  <si>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</si>
  <si>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</si>
  <si>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</si>
  <si>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</si>
  <si>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</si>
  <si>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</si>
  <si>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</si>
  <si>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</si>
  <si>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</si>
  <si>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</si>
  <si>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</si>
  <si>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</si>
  <si>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</si>
  <si>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</si>
  <si>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</si>
  <si>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</si>
  <si>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</si>
  <si>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</si>
  <si>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</si>
  <si>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</si>
  <si>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</si>
  <si>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</si>
  <si>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</si>
  <si>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</si>
  <si>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</si>
  <si>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</si>
  <si>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</si>
  <si>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</si>
  <si>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</si>
  <si>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</si>
  <si>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</si>
  <si>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</si>
  <si>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</si>
  <si>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</si>
  <si>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</si>
  <si>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</si>
  <si>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</si>
  <si>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</si>
  <si>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</si>
  <si>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</si>
  <si>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</si>
  <si>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</si>
  <si>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</si>
  <si>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</si>
  <si>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</si>
  <si>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</si>
  <si>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</si>
  <si>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</si>
  <si>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</si>
  <si>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</si>
  <si>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</si>
  <si>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</si>
  <si>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</si>
  <si>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</si>
  <si>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</si>
  <si>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</si>
  <si>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</si>
  <si>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</si>
  <si>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</si>
  <si>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</si>
  <si>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</si>
  <si>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</si>
  <si>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</si>
  <si>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</si>
  <si>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</si>
  <si>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</si>
  <si>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</si>
  <si>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</si>
  <si>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</si>
  <si>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</si>
  <si>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</si>
  <si>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</si>
  <si>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</si>
  <si>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</si>
  <si>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</si>
  <si>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</si>
  <si>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</si>
  <si>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</si>
  <si>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</si>
  <si>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</si>
  <si>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</si>
  <si>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</si>
  <si>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</si>
  <si>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</si>
  <si>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</si>
  <si>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</si>
  <si>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</si>
  <si>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</si>
  <si>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</si>
  <si>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</si>
  <si>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</si>
  <si>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</si>
  <si>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</si>
  <si>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</si>
  <si>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</si>
  <si>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</si>
  <si>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</si>
  <si>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</si>
  <si>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</si>
  <si>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</si>
  <si>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</si>
  <si>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</si>
  <si>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</si>
  <si>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</si>
  <si>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</si>
  <si>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</si>
  <si>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</si>
  <si>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</si>
  <si>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</si>
  <si>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</si>
  <si>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</si>
  <si>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</si>
  <si>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</si>
  <si>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</si>
  <si>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</si>
  <si>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</si>
  <si>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</si>
  <si>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</si>
  <si>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</si>
  <si>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</si>
  <si>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</si>
  <si>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</si>
  <si>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</si>
  <si>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</si>
  <si>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</si>
  <si>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</si>
  <si>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</si>
  <si>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</si>
  <si>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</si>
  <si>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</si>
  <si>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</si>
  <si>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</si>
  <si>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</si>
  <si>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</si>
  <si>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</si>
  <si>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</si>
  <si>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</si>
  <si>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</si>
  <si>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</si>
  <si>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</si>
  <si>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</si>
  <si>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</si>
  <si>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</si>
  <si>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</si>
  <si>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</si>
  <si>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</si>
  <si>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</si>
  <si>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</si>
  <si>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</si>
  <si>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</si>
  <si>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</si>
  <si>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</si>
  <si>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</si>
  <si>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</si>
  <si>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</si>
  <si>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</si>
  <si>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</si>
  <si>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</si>
  <si>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</si>
  <si>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</si>
  <si>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</si>
  <si>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</si>
  <si>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</si>
  <si>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</si>
  <si>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</si>
  <si>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</si>
  <si>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</si>
  <si>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</si>
  <si>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</si>
  <si>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</si>
  <si>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</si>
  <si>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</si>
  <si>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</si>
  <si>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</si>
  <si>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</si>
  <si>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</si>
  <si>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</si>
  <si>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</si>
  <si>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</si>
  <si>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</si>
  <si>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</si>
  <si>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</si>
  <si>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</si>
  <si>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</si>
  <si>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</si>
  <si>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</si>
  <si>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</si>
  <si>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</si>
  <si>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</si>
  <si>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</si>
  <si>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</si>
  <si>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</si>
  <si>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</si>
  <si>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</si>
  <si>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</si>
  <si>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</si>
  <si>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</si>
  <si>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</si>
  <si>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</si>
  <si>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</si>
  <si>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</si>
  <si>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</si>
  <si>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</si>
  <si>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</si>
  <si>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</si>
  <si>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</si>
  <si>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</si>
  <si>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</si>
  <si>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</si>
  <si>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</si>
  <si>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</si>
  <si>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</si>
  <si>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</si>
  <si>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</si>
  <si>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</si>
  <si>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</si>
  <si>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</si>
  <si>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</si>
  <si>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</si>
  <si>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</si>
  <si>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</si>
  <si>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</si>
  <si>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</si>
  <si>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</si>
  <si>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</si>
  <si>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</si>
  <si>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</si>
  <si>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</si>
  <si>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</si>
  <si>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</si>
  <si>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</si>
  <si>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</si>
  <si>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</si>
  <si>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</si>
  <si>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</si>
  <si>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</si>
  <si>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</si>
  <si>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</si>
  <si>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</si>
  <si>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</si>
  <si>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</si>
  <si>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</si>
  <si>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</si>
  <si>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</si>
  <si>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</si>
  <si>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</si>
  <si>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</si>
  <si>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</si>
  <si>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</si>
  <si>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</si>
  <si>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</si>
  <si>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</si>
  <si>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</si>
  <si>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</si>
  <si>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</si>
  <si>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</si>
  <si>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</si>
  <si>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</si>
  <si>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</si>
  <si>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</si>
  <si>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</si>
  <si>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</si>
  <si>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</si>
  <si>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</si>
  <si>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</si>
  <si>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</si>
  <si>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</si>
  <si>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</si>
  <si>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</si>
  <si>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</si>
  <si>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</si>
  <si>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</si>
  <si>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</si>
  <si>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</si>
  <si>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</si>
  <si>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</si>
  <si>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</si>
  <si>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</si>
  <si>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</si>
  <si>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</si>
  <si>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</si>
  <si>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</si>
  <si>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</si>
  <si>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</si>
  <si>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</si>
  <si>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</si>
  <si>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</si>
  <si>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</si>
  <si>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</si>
  <si>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</si>
  <si>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</si>
  <si>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</si>
  <si>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</si>
  <si>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</si>
  <si>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</si>
  <si>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</si>
  <si>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</si>
  <si>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</si>
  <si>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</si>
  <si>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</si>
  <si>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</si>
  <si>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</si>
  <si>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</si>
  <si>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</si>
  <si>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</si>
  <si>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</si>
  <si>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</si>
  <si>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</si>
  <si>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</si>
  <si>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</si>
  <si>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</si>
  <si>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</si>
  <si>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</si>
  <si>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</si>
  <si>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</si>
  <si>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</si>
  <si>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</si>
  <si>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</si>
  <si>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</si>
  <si>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</si>
  <si>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</si>
  <si>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</si>
  <si>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</si>
  <si>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</si>
  <si>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</si>
  <si>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</si>
  <si>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</si>
  <si>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</si>
  <si>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</si>
  <si>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</si>
  <si>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</si>
  <si>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</si>
  <si>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</si>
  <si>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</si>
  <si>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</si>
  <si>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</si>
  <si>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</si>
  <si>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</si>
  <si>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</si>
  <si>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</si>
  <si>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</si>
  <si>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</si>
  <si>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</si>
  <si>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</si>
  <si>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</si>
  <si>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</si>
  <si>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</si>
  <si>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</si>
  <si>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</si>
  <si>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</si>
  <si>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</si>
  <si>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</si>
  <si>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</si>
  <si>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</si>
  <si>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</si>
  <si>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</si>
  <si>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</si>
  <si>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</si>
  <si>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</si>
  <si>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</si>
  <si>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</si>
  <si>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</si>
  <si>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</si>
  <si>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</si>
  <si>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</si>
  <si>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</si>
  <si>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</si>
  <si>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</si>
  <si>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</si>
  <si>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</si>
  <si>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</si>
  <si>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</si>
  <si>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</si>
  <si>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</si>
  <si>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</si>
  <si>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</si>
  <si>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</si>
  <si>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</si>
  <si>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</si>
  <si>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</si>
  <si>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</si>
  <si>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</si>
  <si>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</si>
  <si>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</si>
  <si>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</si>
  <si>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</si>
  <si>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</si>
  <si>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</si>
  <si>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</si>
  <si>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</si>
  <si>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</si>
  <si>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</si>
  <si>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</si>
  <si>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</si>
  <si>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</si>
  <si>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</si>
  <si>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</si>
  <si>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</si>
  <si>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</si>
  <si>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</si>
  <si>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</si>
  <si>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</si>
  <si>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</si>
  <si>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</si>
  <si>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</si>
  <si>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</si>
  <si>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</si>
  <si>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</si>
  <si>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</si>
  <si>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</si>
  <si>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</si>
  <si>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</si>
  <si>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</si>
  <si>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</si>
  <si>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</si>
  <si>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</si>
  <si>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</si>
  <si>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</si>
  <si>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</si>
  <si>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</si>
  <si>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</si>
  <si>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</si>
  <si>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</si>
  <si>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</si>
  <si>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</si>
  <si>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</si>
  <si>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</si>
  <si>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</si>
  <si>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</si>
  <si>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</si>
  <si>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</si>
  <si>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</si>
  <si>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</si>
  <si>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</si>
  <si>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</si>
  <si>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</si>
  <si>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</si>
  <si>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</si>
  <si>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</si>
  <si>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</si>
  <si>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</si>
  <si>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</si>
  <si>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</si>
  <si>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</si>
  <si>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</si>
  <si>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</si>
  <si>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</si>
  <si>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</si>
  <si>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</si>
  <si>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</si>
  <si>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</si>
  <si>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</si>
  <si>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</si>
  <si>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</si>
  <si>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</si>
  <si>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</si>
  <si>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</si>
  <si>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</si>
  <si>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</si>
  <si>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</si>
  <si>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</si>
  <si>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</si>
  <si>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</si>
  <si>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</si>
  <si>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</si>
  <si>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</si>
  <si>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</si>
  <si>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</si>
  <si>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</si>
  <si>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</si>
  <si>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</si>
  <si>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</si>
  <si>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</si>
  <si>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</si>
  <si>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</si>
  <si>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</si>
  <si>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</si>
  <si>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</si>
  <si>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</si>
  <si>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</si>
  <si>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</si>
  <si>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</si>
  <si>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</si>
  <si>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</si>
  <si>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</si>
  <si>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</si>
  <si>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</si>
  <si>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</si>
  <si>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</si>
  <si>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</si>
  <si>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</si>
  <si>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</si>
  <si>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</si>
  <si>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</si>
  <si>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</si>
  <si>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</si>
  <si>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</si>
  <si>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</si>
  <si>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</si>
  <si>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</si>
  <si>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</si>
  <si>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</si>
  <si>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</si>
  <si>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</si>
  <si>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</si>
  <si>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</si>
  <si>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</si>
  <si>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</si>
  <si>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</si>
  <si>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</si>
  <si>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</si>
  <si>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</si>
  <si>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</si>
  <si>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</si>
  <si>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</si>
  <si>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</si>
  <si>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</si>
  <si>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</si>
  <si>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</si>
  <si>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</si>
  <si>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</si>
  <si>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</si>
  <si>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</si>
  <si>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</si>
  <si>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</si>
  <si>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</si>
  <si>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</si>
  <si>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</si>
  <si>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</si>
  <si>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</si>
  <si>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</si>
  <si>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</si>
  <si>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</si>
  <si>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</si>
  <si>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</si>
  <si>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</si>
  <si>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</si>
  <si>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</si>
  <si>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</si>
  <si>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</si>
  <si>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</si>
  <si>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</si>
  <si>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</si>
  <si>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</si>
  <si>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</si>
  <si>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</si>
  <si>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</si>
  <si>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</si>
  <si>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</si>
  <si>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</si>
  <si>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</si>
  <si>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</si>
  <si>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</si>
  <si>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</si>
  <si>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</si>
  <si>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</si>
  <si>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</si>
  <si>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</si>
  <si>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</si>
  <si>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</si>
  <si>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</si>
  <si>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</si>
  <si>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</si>
  <si>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</si>
  <si>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</si>
  <si>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</si>
  <si>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</si>
  <si>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</si>
  <si>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</si>
  <si>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</si>
  <si>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</si>
  <si>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</si>
  <si>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</si>
  <si>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</si>
  <si>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</si>
  <si>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</si>
  <si>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</si>
  <si>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</si>
  <si>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</si>
  <si>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</si>
  <si>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</si>
  <si>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</si>
  <si>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</si>
  <si>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</si>
  <si>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</si>
  <si>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</si>
  <si>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</si>
  <si>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</si>
  <si>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</si>
  <si>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</si>
  <si>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</si>
  <si>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</si>
  <si>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</si>
  <si>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</si>
  <si>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</si>
  <si>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</si>
  <si>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</si>
  <si>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</si>
  <si>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</si>
  <si>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</si>
  <si>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</si>
  <si>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</si>
  <si>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</si>
  <si>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</si>
  <si>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</si>
  <si>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</si>
  <si>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</si>
  <si>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</si>
  <si>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</si>
  <si>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</si>
  <si>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</si>
  <si>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</si>
  <si>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</si>
  <si>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</si>
  <si>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</si>
  <si>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</si>
  <si>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</si>
  <si>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</si>
  <si>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</si>
  <si>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</si>
  <si>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</si>
  <si>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</si>
  <si>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</si>
  <si>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</si>
  <si>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</si>
  <si>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</si>
  <si>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</si>
  <si>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</si>
  <si>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</si>
  <si>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</si>
  <si>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</si>
  <si>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</si>
  <si>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</si>
  <si>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</si>
  <si>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</si>
  <si>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</si>
  <si>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</si>
  <si>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</si>
  <si>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</si>
  <si>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</si>
  <si>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</si>
  <si>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</si>
  <si>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</si>
  <si>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</si>
  <si>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</si>
  <si>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</si>
  <si>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</si>
  <si>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</si>
  <si>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</si>
  <si>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</si>
  <si>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</si>
  <si>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</si>
  <si>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</si>
  <si>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</si>
  <si>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</si>
  <si>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</si>
  <si>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</si>
  <si>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</si>
  <si>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</si>
  <si>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</si>
  <si>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</si>
  <si>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</si>
  <si>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</si>
  <si>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</si>
  <si>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</si>
  <si>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</si>
  <si>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</si>
  <si>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</si>
  <si>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</si>
  <si>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</si>
  <si>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</si>
  <si>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</si>
  <si>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</si>
  <si>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</si>
  <si>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</si>
  <si>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</si>
  <si>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</si>
  <si>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</si>
  <si>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</si>
  <si>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</si>
  <si>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</si>
  <si>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</si>
  <si>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</si>
  <si>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</si>
  <si>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</si>
  <si>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</si>
  <si>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</si>
  <si>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</si>
  <si>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</si>
  <si>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</si>
  <si>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</si>
  <si>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</si>
  <si>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</si>
  <si>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</si>
  <si>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</si>
  <si>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</si>
  <si>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</si>
  <si>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</si>
  <si>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</si>
  <si>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</si>
  <si>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</si>
  <si>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</si>
  <si>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</si>
  <si>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</si>
  <si>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</si>
  <si>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</si>
  <si>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</si>
  <si>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</si>
  <si>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</si>
  <si>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</si>
  <si>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</si>
  <si>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</si>
  <si>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</si>
  <si>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</si>
  <si>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</si>
  <si>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</si>
  <si>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</si>
  <si>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</si>
  <si>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</si>
  <si>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</si>
  <si>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</si>
  <si>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</si>
  <si>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</si>
  <si>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</si>
  <si>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</si>
  <si>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</si>
  <si>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</si>
  <si>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</si>
  <si>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</si>
  <si>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</si>
  <si>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</si>
  <si>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</si>
  <si>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</si>
  <si>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</si>
  <si>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</si>
  <si>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</si>
  <si>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</si>
  <si>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</si>
  <si>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</si>
  <si>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</si>
  <si>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</si>
  <si>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</si>
  <si>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</si>
  <si>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</si>
  <si>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</si>
  <si>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</si>
  <si>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</si>
  <si>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</si>
  <si>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</si>
  <si>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</si>
  <si>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</si>
  <si>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</si>
  <si>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</si>
  <si>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</si>
  <si>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</si>
  <si>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</si>
  <si>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</si>
  <si>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</si>
  <si>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</si>
  <si>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</si>
  <si>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</si>
  <si>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</si>
  <si>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</si>
  <si>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</si>
  <si>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</si>
  <si>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</si>
  <si>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</si>
  <si>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</si>
  <si>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</si>
  <si>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</si>
  <si>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</si>
  <si>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</si>
  <si>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</si>
  <si>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</si>
  <si>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</si>
  <si>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</si>
  <si>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</si>
  <si>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</si>
  <si>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</si>
  <si>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</si>
  <si>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</si>
  <si>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</si>
  <si>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</si>
  <si>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</si>
  <si>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</si>
  <si>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</si>
  <si>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</si>
  <si>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</si>
  <si>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</si>
  <si>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</si>
  <si>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</si>
  <si>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</si>
  <si>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</si>
  <si>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</si>
  <si>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</si>
  <si>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</si>
  <si>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</si>
  <si>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</si>
  <si>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</si>
  <si>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</si>
  <si>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</si>
  <si>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</si>
  <si>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</si>
  <si>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</si>
  <si>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</si>
  <si>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</si>
  <si>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</si>
  <si>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</si>
  <si>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</si>
  <si>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</si>
  <si>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</si>
  <si>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</si>
  <si>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</si>
  <si>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</si>
  <si>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</si>
  <si>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</si>
  <si>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</si>
  <si>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</si>
  <si>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</si>
  <si>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</si>
  <si>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</si>
  <si>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</si>
  <si>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</si>
  <si>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</si>
  <si>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</si>
  <si>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</si>
  <si>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</si>
  <si>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</si>
  <si>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</si>
  <si>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</si>
  <si>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</si>
  <si>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</si>
  <si>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</si>
  <si>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</si>
  <si>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</si>
  <si>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</si>
  <si>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</si>
  <si>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</si>
  <si>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</si>
  <si>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</si>
  <si>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</si>
  <si>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</si>
  <si>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</si>
  <si>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</si>
  <si>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</si>
  <si>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</si>
  <si>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</si>
  <si>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</si>
  <si>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</si>
  <si>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</si>
  <si>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</si>
  <si>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</si>
  <si>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</si>
  <si>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</si>
  <si>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</si>
  <si>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</si>
  <si>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</si>
  <si>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</si>
  <si>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</si>
  <si>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</si>
  <si>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</si>
  <si>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</si>
  <si>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</si>
  <si>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</si>
  <si>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</si>
  <si>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</si>
  <si>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</si>
  <si>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</si>
  <si>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</si>
  <si>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</si>
  <si>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</si>
  <si>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</si>
  <si>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</si>
  <si>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</si>
  <si>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</si>
  <si>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</si>
  <si>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</si>
  <si>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</si>
  <si>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</si>
  <si>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</si>
  <si>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</si>
  <si>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</si>
  <si>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</si>
  <si>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</si>
  <si>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</si>
  <si>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</si>
  <si>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</si>
  <si>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</si>
  <si>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</si>
  <si>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</si>
  <si>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</si>
  <si>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</si>
  <si>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</si>
  <si>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</si>
  <si>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</si>
  <si>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</si>
  <si>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</si>
  <si>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</si>
  <si>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</si>
  <si>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</si>
  <si>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</si>
  <si>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</si>
  <si>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</si>
  <si>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</si>
  <si>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</si>
  <si>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</si>
  <si>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</si>
  <si>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</si>
  <si>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</si>
  <si>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</si>
  <si>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</si>
  <si>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</si>
  <si>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</si>
  <si>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</si>
  <si>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</si>
  <si>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</si>
  <si>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</si>
  <si>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</si>
  <si>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</si>
  <si>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</si>
  <si>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</si>
  <si>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</si>
  <si>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</si>
  <si>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</si>
  <si>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</si>
  <si>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</si>
  <si>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</si>
  <si>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</si>
  <si>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</si>
  <si>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</si>
  <si>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</si>
  <si>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</si>
  <si>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</si>
  <si>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</si>
  <si>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</si>
  <si>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</si>
  <si>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</si>
  <si>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</si>
  <si>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</si>
  <si>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</si>
  <si>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</si>
  <si>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</si>
  <si>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</si>
  <si>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</si>
  <si>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</si>
  <si>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</si>
  <si>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</si>
  <si>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</si>
  <si>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</si>
  <si>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</si>
  <si>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</si>
  <si>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</si>
  <si>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</si>
  <si>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</si>
  <si>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</si>
  <si>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</si>
  <si>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</si>
  <si>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</si>
  <si>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</si>
  <si>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</si>
  <si>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</si>
  <si>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</si>
  <si>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</si>
  <si>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</si>
  <si>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</si>
  <si>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</si>
  <si>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</si>
  <si>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</si>
  <si>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</si>
  <si>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</si>
  <si>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</si>
  <si>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</si>
  <si>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</si>
  <si>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</si>
  <si>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</si>
  <si>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</si>
  <si>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</si>
  <si>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</si>
  <si>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</si>
  <si>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</si>
  <si>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</si>
  <si>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</si>
  <si>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</si>
  <si>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</si>
  <si>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</si>
  <si>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</si>
  <si>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</si>
  <si>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</si>
  <si>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</si>
  <si>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</si>
  <si>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</si>
  <si>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</si>
  <si>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</si>
  <si>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</si>
  <si>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</si>
  <si>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</si>
  <si>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</si>
  <si>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</si>
  <si>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</si>
  <si>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</si>
  <si>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</si>
  <si>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</si>
  <si>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</si>
  <si>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</si>
  <si>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</si>
  <si>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</si>
  <si>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</si>
  <si>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</si>
  <si>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</si>
  <si>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</si>
  <si>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</si>
  <si>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</si>
  <si>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</si>
  <si>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</si>
  <si>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</si>
  <si>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</si>
  <si>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</si>
  <si>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</si>
  <si>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</si>
  <si>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</si>
  <si>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</si>
  <si>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</si>
  <si>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</si>
  <si>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</si>
  <si>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</si>
  <si>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</si>
  <si>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</si>
  <si>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</si>
  <si>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</si>
  <si>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</si>
  <si>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</si>
  <si>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</si>
  <si>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</si>
  <si>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</si>
  <si>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</si>
  <si>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</si>
  <si>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</si>
  <si>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</si>
  <si>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</si>
  <si>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</si>
  <si>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</si>
  <si>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</si>
  <si>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</si>
  <si>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</si>
  <si>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</si>
  <si>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</si>
  <si>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</si>
  <si>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</si>
  <si>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</si>
  <si>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</si>
  <si>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</si>
  <si>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</si>
  <si>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</si>
  <si>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</si>
  <si>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</si>
  <si>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</si>
  <si>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</si>
  <si>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</si>
  <si>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</si>
  <si>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</si>
  <si>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</si>
  <si>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</si>
  <si>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</si>
  <si>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</si>
  <si>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</si>
  <si>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</si>
  <si>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</si>
  <si>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</si>
  <si>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</si>
  <si>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</si>
  <si>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</si>
  <si>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</si>
  <si>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</si>
  <si>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</si>
  <si>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</si>
  <si>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</si>
  <si>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</si>
  <si>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</si>
  <si>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</si>
  <si>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</si>
  <si>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</si>
  <si>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</si>
  <si>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</si>
  <si>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</si>
  <si>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</si>
  <si>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</si>
  <si>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</si>
  <si>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</si>
  <si>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</si>
  <si>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</si>
  <si>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</si>
  <si>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</si>
  <si>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</si>
  <si>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</si>
  <si>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</si>
  <si>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</si>
  <si>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</si>
  <si>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</si>
  <si>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</si>
  <si>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</si>
  <si>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</si>
  <si>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</si>
  <si>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</si>
  <si>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</si>
  <si>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</si>
  <si>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</si>
  <si>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</si>
  <si>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</si>
  <si>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</si>
  <si>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</si>
  <si>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</si>
  <si>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</si>
  <si>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</si>
  <si>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</si>
  <si>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</si>
  <si>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</si>
  <si>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</si>
  <si>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</si>
  <si>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</si>
  <si>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</si>
  <si>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</si>
  <si>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</si>
  <si>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</si>
  <si>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</si>
  <si>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</si>
  <si>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</si>
  <si>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</si>
  <si>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</si>
  <si>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</si>
  <si>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</si>
  <si>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</si>
  <si>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</si>
  <si>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</si>
  <si>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</si>
  <si>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</si>
  <si>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</si>
  <si>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</si>
  <si>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</si>
  <si>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</si>
  <si>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</si>
  <si>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</si>
  <si>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</si>
  <si>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</si>
  <si>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</si>
  <si>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</si>
  <si>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</si>
  <si>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</si>
  <si>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</si>
  <si>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</si>
  <si>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</si>
  <si>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</si>
  <si>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</si>
  <si>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</si>
  <si>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</si>
  <si>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</si>
  <si>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</si>
  <si>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</si>
  <si>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</si>
  <si>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</si>
  <si>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</si>
  <si>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</si>
  <si>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</si>
  <si>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</si>
  <si>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</si>
  <si>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</si>
  <si>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</si>
  <si>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</si>
  <si>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</si>
  <si>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</si>
  <si>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</si>
  <si>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</si>
  <si>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</si>
  <si>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</si>
  <si>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</si>
  <si>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</si>
  <si>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</si>
  <si>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</si>
  <si>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</si>
  <si>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</si>
  <si>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</si>
  <si>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</si>
  <si>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</si>
  <si>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</si>
  <si>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</si>
  <si>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</si>
  <si>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</si>
  <si>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</si>
  <si>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</si>
  <si>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</si>
  <si>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</si>
  <si>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</si>
  <si>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</si>
  <si>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</si>
  <si>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</si>
  <si>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</si>
  <si>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</si>
  <si>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</si>
  <si>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</si>
  <si>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</si>
  <si>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</si>
  <si>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</si>
  <si>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</si>
  <si>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</si>
  <si>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</si>
  <si>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</si>
  <si>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</si>
  <si>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</si>
  <si>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</si>
  <si>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</si>
  <si>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</si>
  <si>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</si>
  <si>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</si>
  <si>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</si>
  <si>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</si>
  <si>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</si>
  <si>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</si>
  <si>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</si>
  <si>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</si>
  <si>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</si>
  <si>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</si>
  <si>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</si>
  <si>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</si>
  <si>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</si>
  <si>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</si>
  <si>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</si>
  <si>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</si>
  <si>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</si>
  <si>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</si>
  <si>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</si>
  <si>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</si>
  <si>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</si>
  <si>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</si>
  <si>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</si>
  <si>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</si>
  <si>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</si>
  <si>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</si>
  <si>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</si>
  <si>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</si>
  <si>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</si>
  <si>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</si>
  <si>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</si>
  <si>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</si>
  <si>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</si>
  <si>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</si>
  <si>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</si>
  <si>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</si>
  <si>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</si>
  <si>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</si>
  <si>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</si>
  <si>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</si>
  <si>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</si>
  <si>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</si>
  <si>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</si>
  <si>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</si>
  <si>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</si>
  <si>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</si>
  <si>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</si>
  <si>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</si>
  <si>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</si>
  <si>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</si>
  <si>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</si>
  <si>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</si>
  <si>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</si>
  <si>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</si>
  <si>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</si>
  <si>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</si>
  <si>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</si>
  <si>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</si>
  <si>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</si>
  <si>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</si>
  <si>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</si>
  <si>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</si>
  <si>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</si>
  <si>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</si>
  <si>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</si>
  <si>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</si>
  <si>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</si>
  <si>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</si>
  <si>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</si>
  <si>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</si>
  <si>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</si>
  <si>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</si>
  <si>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</si>
  <si>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</si>
  <si>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</si>
  <si>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</si>
  <si>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</si>
  <si>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</si>
  <si>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</si>
  <si>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</si>
  <si>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</si>
  <si>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</si>
  <si>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</si>
  <si>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</si>
  <si>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</si>
  <si>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</si>
  <si>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</si>
  <si>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</si>
  <si>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</si>
  <si>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</si>
  <si>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</si>
  <si>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</si>
  <si>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</si>
  <si>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</si>
  <si>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</si>
  <si>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</si>
  <si>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</si>
  <si>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</si>
  <si>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</si>
  <si>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</si>
  <si>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</si>
  <si>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</si>
  <si>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</si>
  <si>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</si>
  <si>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</si>
  <si>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</si>
  <si>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</si>
  <si>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</si>
  <si>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</si>
  <si>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</si>
  <si>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</si>
  <si>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</si>
  <si>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</si>
  <si>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</si>
  <si>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</si>
  <si>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</si>
  <si>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</si>
  <si>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</si>
  <si>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</si>
  <si>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</si>
  <si>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</si>
  <si>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</si>
  <si>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</si>
  <si>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</si>
  <si>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</si>
  <si>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</si>
  <si>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</si>
  <si>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</si>
  <si>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</si>
  <si>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</si>
  <si>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</si>
  <si>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</si>
  <si>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</si>
  <si>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</si>
  <si>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</si>
  <si>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</si>
  <si>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</si>
  <si>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</si>
  <si>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</si>
  <si>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</si>
  <si>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</si>
  <si>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</si>
  <si>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</si>
  <si>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</si>
  <si>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</si>
  <si>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</si>
  <si>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</si>
  <si>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</si>
  <si>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</si>
  <si>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</si>
  <si>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</si>
  <si>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</si>
  <si>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</si>
  <si>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</si>
  <si>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</si>
  <si>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</si>
  <si>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</si>
  <si>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</si>
  <si>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</si>
  <si>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</si>
  <si>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</si>
  <si>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</si>
  <si>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</si>
  <si>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</si>
  <si>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</si>
  <si>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</si>
  <si>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</si>
  <si>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</si>
  <si>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</si>
  <si>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</si>
  <si>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</si>
  <si>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</si>
  <si>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</si>
  <si>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</si>
  <si>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</si>
  <si>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</si>
  <si>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</si>
  <si>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</si>
  <si>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</si>
  <si>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</si>
  <si>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</si>
  <si>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</si>
  <si>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</si>
  <si>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</si>
  <si>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</si>
  <si>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</si>
  <si>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</si>
  <si>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</si>
  <si>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</si>
  <si>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</si>
  <si>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</si>
  <si>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</si>
  <si>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</si>
  <si>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</si>
  <si>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</si>
  <si>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</si>
  <si>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</si>
  <si>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</si>
  <si>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</si>
  <si>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</si>
  <si>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</si>
  <si>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</si>
  <si>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</si>
  <si>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</si>
  <si>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</si>
  <si>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</si>
  <si>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</si>
  <si>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</si>
  <si>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</si>
  <si>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</si>
  <si>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</si>
  <si>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</si>
  <si>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</si>
  <si>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</si>
  <si>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</si>
  <si>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</si>
  <si>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</si>
  <si>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</si>
  <si>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</si>
  <si>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</si>
  <si>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</si>
  <si>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</si>
  <si>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</si>
  <si>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</si>
  <si>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</si>
  <si>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</si>
  <si>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</si>
  <si>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</si>
  <si>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</si>
  <si>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</si>
  <si>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</si>
  <si>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</si>
  <si>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</si>
  <si>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</si>
  <si>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</si>
  <si>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</si>
  <si>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</si>
  <si>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</si>
  <si>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</si>
  <si>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</si>
  <si>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</si>
  <si>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</si>
  <si>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</si>
  <si>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</si>
  <si>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</si>
  <si>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</si>
  <si>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</si>
  <si>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</si>
  <si>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</si>
  <si>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</si>
  <si>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</si>
  <si>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</si>
  <si>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</si>
  <si>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</si>
  <si>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</si>
  <si>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</si>
  <si>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</si>
  <si>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</si>
  <si>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</si>
  <si>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</si>
  <si>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</si>
  <si>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</si>
  <si>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</si>
  <si>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</si>
  <si>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</si>
  <si>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</si>
  <si>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</si>
  <si>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</si>
  <si>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</si>
  <si>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</si>
  <si>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</si>
  <si>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</si>
  <si>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</si>
  <si>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</si>
  <si>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</si>
  <si>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</si>
  <si>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</si>
  <si>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</si>
  <si>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</si>
  <si>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</si>
  <si>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</si>
  <si>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</si>
  <si>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</si>
  <si>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</si>
  <si>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</si>
  <si>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</si>
  <si>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</si>
  <si>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</si>
  <si>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</si>
  <si>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</si>
  <si>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</si>
  <si>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</si>
  <si>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</si>
  <si>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</si>
  <si>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</si>
  <si>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</si>
  <si>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</si>
  <si>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</si>
  <si>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</si>
  <si>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</si>
  <si>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</si>
  <si>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</si>
  <si>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</si>
  <si>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</si>
  <si>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</si>
  <si>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</si>
  <si>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</si>
  <si>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</si>
  <si>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</si>
  <si>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</si>
  <si>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</si>
  <si>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</si>
  <si>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</si>
  <si>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</si>
  <si>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</si>
  <si>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</si>
  <si>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</si>
  <si>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</si>
  <si>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</si>
  <si>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</si>
  <si>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</si>
  <si>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</si>
  <si>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</si>
  <si>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</si>
  <si>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</si>
  <si>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</si>
  <si>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</si>
  <si>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</si>
  <si>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</si>
  <si>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</si>
  <si>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</si>
  <si>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</si>
  <si>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</si>
  <si>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</si>
  <si>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</si>
  <si>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</si>
  <si>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</si>
  <si>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</si>
  <si>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</si>
  <si>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</si>
  <si>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</si>
  <si>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</si>
  <si>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</si>
  <si>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</si>
  <si>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</si>
  <si>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</si>
  <si>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</si>
  <si>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</si>
  <si>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</si>
  <si>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</si>
  <si>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</si>
  <si>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</si>
  <si>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</si>
  <si>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</si>
  <si>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</si>
  <si>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</si>
  <si>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</si>
  <si>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</si>
  <si>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</si>
  <si>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</si>
  <si>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</si>
  <si>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</si>
  <si>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</si>
  <si>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</si>
  <si>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</si>
  <si>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</si>
  <si>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</si>
  <si>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</si>
  <si>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</si>
  <si>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</si>
  <si>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</si>
  <si>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</si>
  <si>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</si>
  <si>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</si>
  <si>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</si>
  <si>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</si>
  <si>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</si>
  <si>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</si>
  <si>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</si>
  <si>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</si>
  <si>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</si>
  <si>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</si>
  <si>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</si>
  <si>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</si>
  <si>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</si>
  <si>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</si>
  <si>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</si>
  <si>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</si>
  <si>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</si>
  <si>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</si>
  <si>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</si>
  <si>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</si>
  <si>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</si>
  <si>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</si>
  <si>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</si>
  <si>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</si>
  <si>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</si>
  <si>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</si>
  <si>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</si>
  <si>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</si>
  <si>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</si>
  <si>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</si>
  <si>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</si>
  <si>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</si>
  <si>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</si>
  <si>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</si>
  <si>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</si>
  <si>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</si>
  <si>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</si>
  <si>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</si>
  <si>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</si>
  <si>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</si>
  <si>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</si>
  <si>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</si>
  <si>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</si>
  <si>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</si>
  <si>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</si>
  <si>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</si>
  <si>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</si>
  <si>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</si>
  <si>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</si>
  <si>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</si>
  <si>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</si>
  <si>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</si>
  <si>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</si>
  <si>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</si>
  <si>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</si>
  <si>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</si>
  <si>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</si>
  <si>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</si>
  <si>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</si>
  <si>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</si>
  <si>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</si>
  <si>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</si>
  <si>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</si>
  <si>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</si>
  <si>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</si>
  <si>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</si>
  <si>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</si>
  <si>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</si>
  <si>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</si>
  <si>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</si>
  <si>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</si>
  <si>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</si>
  <si>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</si>
  <si>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</si>
  <si>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</si>
  <si>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</si>
  <si>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</si>
  <si>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</si>
  <si>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</si>
  <si>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</si>
  <si>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</si>
  <si>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</si>
  <si>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</si>
  <si>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</si>
  <si>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</si>
  <si>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</si>
  <si>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</si>
  <si>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</si>
  <si>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</si>
  <si>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</si>
  <si>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</si>
  <si>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</si>
  <si>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</si>
  <si>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</si>
  <si>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</si>
  <si>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</si>
  <si>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</si>
  <si>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</si>
  <si>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</si>
  <si>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</si>
  <si>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</si>
  <si>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</si>
  <si>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</si>
  <si>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</si>
  <si>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</si>
  <si>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</si>
  <si>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</si>
  <si>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</si>
  <si>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</si>
  <si>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</si>
  <si>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</si>
  <si>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</si>
  <si>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</si>
  <si>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</si>
  <si>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</si>
  <si>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</si>
  <si>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</si>
  <si>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</si>
  <si>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</si>
  <si>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</si>
  <si>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</si>
  <si>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</si>
  <si>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</si>
  <si>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</si>
  <si>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</si>
  <si>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</si>
  <si>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</si>
  <si>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</si>
  <si>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</si>
  <si>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</si>
  <si>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</si>
  <si>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</si>
  <si>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</si>
  <si>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</si>
  <si>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</si>
  <si>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</si>
  <si>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</si>
  <si>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</si>
  <si>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</si>
  <si>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</si>
  <si>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</si>
  <si>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</si>
  <si>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</si>
  <si>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</si>
  <si>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</si>
  <si>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</si>
  <si>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</si>
  <si>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</si>
  <si>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</si>
  <si>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</si>
  <si>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</si>
  <si>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</si>
  <si>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</si>
  <si>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</si>
  <si>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</si>
  <si>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</si>
  <si>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</si>
  <si>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</si>
  <si>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</si>
  <si>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</si>
  <si>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</si>
  <si>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</si>
  <si>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</si>
  <si>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</si>
  <si>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</si>
  <si>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</si>
  <si>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</si>
  <si>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</si>
  <si>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</si>
  <si>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</si>
  <si>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</si>
  <si>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</si>
  <si>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</si>
  <si>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</si>
  <si>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</si>
  <si>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</si>
  <si>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</si>
  <si>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</si>
  <si>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</si>
  <si>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</si>
  <si>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</si>
  <si>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</si>
  <si>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</si>
  <si>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</si>
  <si>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</si>
  <si>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</si>
  <si>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</si>
  <si>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</si>
  <si>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</si>
  <si>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</si>
  <si>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</si>
  <si>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</si>
  <si>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</si>
  <si>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</si>
  <si>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</si>
  <si>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</si>
  <si>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</si>
  <si>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</si>
  <si>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</si>
  <si>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</si>
  <si>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</si>
  <si>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</si>
  <si>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</si>
  <si>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</si>
  <si>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</si>
  <si>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</si>
  <si>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</si>
  <si>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</si>
  <si>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</si>
  <si>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</si>
  <si>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</si>
  <si>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</si>
  <si>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</si>
  <si>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</si>
  <si>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</si>
  <si>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</si>
  <si>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</si>
  <si>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</si>
  <si>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</si>
  <si>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</si>
  <si>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</si>
  <si>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</si>
  <si>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</si>
  <si>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</si>
  <si>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</si>
  <si>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</si>
  <si>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</si>
  <si>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</si>
  <si>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</si>
  <si>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</si>
  <si>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</si>
  <si>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</si>
  <si>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</si>
  <si>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</si>
  <si>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</si>
  <si>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</si>
  <si>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</si>
  <si>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</si>
  <si>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</si>
  <si>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</si>
  <si>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</si>
  <si>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</si>
  <si>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</si>
  <si>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</si>
  <si>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</si>
  <si>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</si>
  <si>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</si>
  <si>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</si>
  <si>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</si>
  <si>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</si>
  <si>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</si>
  <si>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</si>
  <si>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</si>
  <si>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</si>
  <si>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</si>
  <si>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</si>
  <si>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</si>
  <si>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</si>
  <si>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</si>
  <si>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</si>
  <si>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</si>
  <si>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</si>
  <si>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</si>
  <si>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</si>
  <si>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</si>
  <si>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</si>
  <si>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</si>
  <si>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</si>
  <si>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</si>
  <si>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</si>
  <si>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</si>
  <si>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</si>
  <si>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</si>
  <si>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</si>
  <si>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</si>
  <si>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</si>
  <si>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</si>
  <si>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</si>
  <si>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</si>
  <si>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</si>
  <si>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</si>
  <si>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</si>
  <si>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</si>
  <si>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</si>
  <si>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</si>
  <si>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</si>
  <si>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</si>
  <si>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</si>
  <si>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</si>
  <si>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</si>
  <si>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</si>
  <si>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</si>
  <si>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</si>
  <si>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</si>
  <si>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</si>
  <si>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</si>
  <si>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</si>
  <si>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</si>
  <si>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</si>
  <si>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</si>
  <si>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</si>
  <si>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</si>
  <si>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</si>
  <si>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</si>
  <si>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</si>
  <si>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</si>
  <si>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</si>
  <si>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</si>
  <si>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</si>
  <si>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</si>
  <si>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</si>
  <si>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</si>
  <si>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</si>
  <si>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</si>
  <si>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</si>
  <si>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</si>
  <si>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</si>
  <si>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</si>
  <si>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</si>
  <si>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</si>
  <si>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</si>
  <si>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</si>
  <si>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</si>
  <si>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</si>
  <si>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</si>
  <si>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</si>
  <si>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</si>
  <si>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</si>
  <si>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</si>
  <si>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</si>
  <si>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</si>
  <si>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</si>
  <si>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</si>
  <si>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</si>
  <si>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</si>
  <si>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</si>
  <si>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</si>
  <si>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</si>
  <si>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</si>
  <si>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</si>
  <si>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</si>
  <si>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</si>
  <si>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</si>
  <si>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</si>
  <si>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</si>
  <si>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</si>
  <si>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</si>
  <si>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</si>
  <si>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</si>
  <si>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</si>
  <si>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</si>
  <si>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</si>
  <si>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</si>
  <si>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</si>
  <si>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</si>
  <si>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</si>
  <si>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</si>
  <si>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</si>
  <si>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</si>
  <si>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</si>
  <si>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</si>
  <si>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</si>
  <si>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</si>
  <si>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</si>
  <si>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</si>
  <si>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</si>
  <si>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</si>
  <si>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</si>
  <si>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</si>
  <si>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</si>
  <si>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</si>
  <si>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</si>
  <si>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</si>
  <si>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</si>
  <si>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</si>
  <si>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</si>
  <si>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</si>
  <si>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</si>
  <si>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</si>
  <si>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</si>
  <si>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</si>
  <si>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</si>
  <si>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</si>
  <si>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</si>
  <si>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</si>
  <si>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</si>
  <si>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</si>
  <si>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</si>
  <si>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</si>
  <si>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</si>
  <si>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</si>
  <si>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</si>
  <si>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</si>
  <si>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</si>
  <si>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</si>
  <si>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</si>
  <si>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</si>
  <si>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</si>
  <si>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</si>
  <si>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</si>
  <si>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</si>
  <si>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</si>
  <si>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</si>
  <si>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</si>
  <si>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</si>
  <si>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</si>
  <si>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</si>
  <si>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</si>
  <si>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</si>
  <si>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</si>
  <si>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</si>
  <si>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</si>
  <si>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</si>
  <si>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</si>
  <si>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</si>
  <si>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</si>
  <si>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</si>
  <si>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</si>
  <si>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</si>
  <si>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</si>
  <si>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</si>
  <si>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</si>
  <si>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</si>
  <si>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</si>
  <si>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</si>
  <si>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</si>
  <si>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</si>
  <si>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</si>
  <si>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</si>
  <si>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</si>
  <si>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</si>
  <si>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</si>
  <si>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</si>
  <si>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</si>
  <si>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</si>
  <si>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</si>
  <si>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</si>
  <si>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</si>
  <si>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</si>
  <si>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</si>
  <si>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</si>
  <si>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</si>
  <si>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</si>
  <si>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</si>
  <si>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</si>
  <si>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</si>
  <si>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</si>
  <si>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</si>
  <si>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</si>
  <si>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</si>
  <si>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</si>
  <si>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</si>
  <si>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</si>
  <si>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</si>
  <si>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</si>
  <si>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</si>
  <si>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</si>
  <si>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</si>
  <si>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</si>
  <si>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</si>
  <si>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</si>
  <si>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</si>
  <si>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</si>
  <si>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</si>
  <si>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</si>
  <si>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</si>
  <si>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</si>
  <si>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</si>
  <si>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</si>
  <si>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</si>
  <si>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</si>
  <si>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</si>
  <si>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</si>
  <si>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</si>
  <si>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</si>
  <si>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</si>
  <si>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</si>
  <si>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</si>
  <si>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</si>
  <si>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</si>
  <si>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</si>
  <si>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</si>
  <si>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</si>
  <si>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</si>
  <si>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</si>
  <si>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</si>
  <si>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</si>
  <si>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</si>
  <si>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</si>
  <si>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</si>
  <si>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</si>
  <si>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</si>
  <si>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</si>
  <si>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</si>
  <si>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</si>
  <si>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</si>
  <si>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</si>
  <si>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</si>
  <si>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</si>
  <si>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</si>
  <si>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</si>
  <si>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</si>
  <si>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</si>
  <si>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</si>
  <si>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</si>
  <si>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</si>
  <si>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</si>
  <si>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</si>
  <si>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</si>
  <si>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</si>
  <si>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</si>
  <si>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</si>
  <si>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</si>
  <si>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</si>
  <si>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</si>
  <si>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</si>
  <si>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</si>
  <si>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</si>
  <si>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</si>
  <si>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</si>
  <si>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</si>
  <si>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</si>
  <si>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</si>
  <si>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</si>
  <si>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</si>
  <si>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</si>
  <si>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</si>
  <si>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</si>
  <si>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</si>
  <si>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</si>
  <si>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</si>
  <si>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</si>
  <si>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</si>
  <si>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</si>
  <si>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</si>
  <si>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</si>
  <si>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</si>
  <si>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</si>
  <si>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</si>
  <si>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</si>
  <si>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</si>
  <si>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</si>
  <si>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</si>
  <si>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</si>
  <si>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</si>
  <si>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</si>
  <si>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</si>
  <si>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</si>
  <si>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</si>
  <si>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</si>
  <si>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</si>
  <si>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</si>
  <si>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</si>
  <si>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</si>
  <si>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</si>
  <si>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</si>
  <si>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</si>
  <si>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</si>
  <si>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</si>
  <si>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</si>
  <si>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</si>
  <si>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</si>
  <si>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</si>
  <si>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</si>
  <si>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</si>
  <si>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</si>
  <si>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</si>
  <si>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</si>
  <si>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</si>
  <si>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</si>
  <si>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</si>
  <si>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</si>
  <si>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</si>
  <si>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</si>
  <si>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</si>
  <si>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</si>
  <si>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</si>
  <si>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</si>
  <si>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</si>
  <si>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</si>
  <si>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</si>
  <si>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</si>
  <si>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</si>
  <si>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</si>
  <si>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</si>
  <si>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</si>
  <si>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</si>
  <si>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</si>
  <si>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</si>
  <si>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</si>
  <si>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</si>
  <si>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</si>
  <si>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</si>
  <si>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</si>
  <si>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</si>
  <si>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</si>
  <si>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</si>
  <si>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</si>
  <si>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</si>
  <si>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</si>
  <si>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</si>
  <si>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</si>
  <si>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</si>
  <si>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</si>
  <si>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</si>
  <si>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</si>
  <si>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</si>
  <si>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</si>
  <si>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</si>
  <si>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</si>
  <si>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</si>
  <si>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</si>
  <si>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</si>
  <si>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</si>
  <si>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</si>
  <si>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</si>
  <si>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</si>
  <si>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</si>
  <si>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</si>
  <si>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</si>
  <si>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</si>
  <si>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</si>
  <si>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</si>
  <si>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</si>
  <si>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</si>
  <si>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</si>
  <si>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</si>
  <si>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</si>
  <si>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</si>
  <si>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</si>
  <si>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</si>
  <si>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</si>
  <si>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</si>
  <si>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</si>
  <si>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</si>
  <si>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</si>
  <si>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</si>
  <si>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</si>
  <si>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</si>
  <si>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</si>
  <si>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</si>
  <si>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</si>
  <si>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</si>
  <si>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</si>
  <si>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</si>
  <si>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</si>
  <si>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</si>
  <si>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</si>
  <si>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</si>
  <si>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</si>
  <si>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</si>
  <si>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</si>
  <si>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</si>
  <si>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</si>
  <si>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</si>
  <si>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</si>
  <si>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</si>
  <si>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</si>
  <si>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</si>
  <si>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</si>
  <si>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</si>
  <si>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</si>
  <si>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</si>
  <si>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</si>
  <si>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</si>
  <si>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</si>
  <si>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</si>
  <si>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</si>
  <si>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</si>
  <si>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</si>
  <si>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</si>
  <si>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</si>
  <si>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</si>
  <si>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</si>
  <si>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</si>
  <si>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</si>
  <si>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</si>
  <si>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</si>
  <si>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</si>
  <si>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</si>
  <si>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</si>
  <si>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</si>
  <si>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</si>
  <si>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</si>
  <si>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</si>
  <si>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</si>
  <si>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</si>
  <si>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</si>
  <si>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</si>
  <si>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</si>
  <si>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</si>
  <si>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</si>
  <si>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</si>
  <si>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</si>
  <si>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</si>
  <si>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</si>
  <si>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</si>
  <si>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</si>
  <si>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</si>
  <si>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</si>
  <si>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</si>
  <si>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</si>
  <si>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</si>
  <si>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</si>
  <si>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</si>
  <si>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</si>
  <si>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</si>
  <si>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</si>
  <si>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</si>
  <si>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</si>
  <si>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</si>
  <si>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</si>
  <si>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</si>
  <si>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</si>
  <si>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</si>
  <si>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</si>
  <si>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</si>
  <si>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</si>
  <si>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</si>
  <si>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</si>
  <si>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</si>
  <si>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</si>
  <si>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</si>
  <si>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</si>
  <si>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</si>
  <si>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</si>
  <si>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</si>
  <si>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</si>
  <si>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</si>
  <si>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</si>
  <si>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</si>
  <si>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</si>
  <si>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</si>
  <si>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</si>
  <si>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</si>
  <si>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</si>
  <si>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</si>
  <si>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</si>
  <si>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</si>
  <si>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</si>
  <si>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</si>
  <si>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</si>
  <si>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</si>
  <si>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</si>
  <si>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</si>
  <si>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</si>
  <si>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</si>
  <si>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</si>
  <si>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</si>
  <si>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</si>
  <si>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</si>
  <si>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</si>
  <si>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</si>
  <si>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</si>
  <si>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</si>
  <si>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</si>
  <si>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</si>
  <si>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</si>
  <si>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</si>
  <si>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</si>
  <si>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</si>
  <si>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</si>
  <si>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</si>
  <si>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</si>
  <si>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</si>
  <si>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</si>
  <si>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</si>
  <si>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</si>
  <si>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</si>
  <si>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</si>
  <si>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</si>
  <si>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</si>
  <si>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</si>
  <si>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</si>
  <si>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</si>
  <si>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</si>
  <si>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</si>
  <si>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</si>
  <si>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</si>
  <si>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</si>
  <si>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</si>
  <si>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</si>
  <si>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</si>
  <si>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</si>
  <si>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</si>
  <si>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</si>
  <si>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</si>
  <si>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</si>
  <si>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</si>
  <si>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</si>
  <si>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</si>
  <si>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</si>
  <si>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</si>
  <si>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</si>
  <si>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</si>
  <si>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</si>
  <si>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</si>
  <si>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</si>
  <si>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</si>
  <si>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</si>
  <si>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</si>
  <si>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</si>
  <si>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</si>
  <si>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</si>
  <si>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</si>
  <si>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</si>
  <si>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</si>
  <si>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</si>
  <si>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</si>
  <si>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</si>
  <si>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</si>
  <si>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</si>
  <si>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</si>
  <si>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</si>
  <si>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</si>
  <si>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</si>
  <si>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</si>
  <si>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</si>
  <si>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</si>
  <si>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</si>
  <si>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</si>
  <si>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</si>
  <si>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</si>
  <si>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</si>
  <si>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</si>
  <si>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</si>
  <si>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</si>
  <si>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</si>
  <si>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</si>
  <si>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</si>
  <si>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</si>
  <si>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</si>
  <si>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</si>
  <si>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</si>
  <si>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</si>
  <si>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</si>
  <si>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</si>
  <si>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</si>
  <si>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</si>
  <si>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</si>
  <si>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</si>
  <si>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</si>
  <si>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</si>
  <si>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</si>
  <si>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</si>
  <si>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</si>
  <si>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</si>
  <si>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</si>
  <si>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</si>
  <si>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</si>
  <si>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</si>
  <si>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</si>
  <si>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</si>
  <si>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</si>
  <si>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</si>
  <si>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</si>
  <si>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</si>
  <si>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</si>
  <si>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</si>
  <si>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</si>
  <si>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</si>
  <si>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</si>
  <si>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</si>
  <si>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</si>
  <si>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</si>
  <si>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</si>
  <si>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</si>
  <si>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</si>
  <si>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</si>
  <si>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</si>
  <si>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</si>
  <si>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</si>
  <si>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</si>
  <si>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</si>
  <si>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</si>
  <si>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</si>
  <si>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</si>
  <si>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</si>
  <si>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</si>
  <si>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</si>
  <si>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</si>
  <si>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</si>
  <si>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</si>
  <si>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</si>
  <si>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</si>
  <si>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</si>
  <si>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</si>
  <si>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</si>
  <si>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</si>
  <si>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</si>
  <si>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</si>
  <si>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</si>
  <si>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</si>
  <si>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</si>
  <si>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</si>
  <si>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</si>
  <si>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</si>
  <si>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</si>
  <si>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</si>
  <si>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</si>
  <si>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</si>
  <si>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</si>
  <si>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</si>
  <si>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</si>
  <si>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</si>
  <si>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</si>
  <si>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</si>
  <si>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</si>
  <si>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</si>
  <si>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</si>
  <si>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</si>
  <si>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</si>
  <si>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</si>
  <si>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</si>
  <si>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</si>
  <si>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</si>
  <si>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</si>
  <si>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</si>
  <si>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</si>
  <si>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</si>
  <si>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</si>
  <si>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</si>
  <si>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</si>
  <si>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</si>
  <si>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</si>
  <si>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</si>
  <si>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</si>
  <si>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</si>
  <si>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</si>
  <si>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</si>
  <si>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</si>
  <si>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</si>
  <si>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</si>
  <si>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</si>
  <si>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</si>
  <si>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</si>
  <si>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</si>
  <si>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</si>
  <si>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</si>
  <si>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</si>
  <si>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</si>
  <si>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</si>
  <si>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</si>
  <si>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</si>
  <si>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</si>
  <si>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</si>
  <si>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</si>
  <si>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</si>
  <si>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</si>
  <si>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</si>
  <si>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</si>
  <si>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</si>
  <si>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</si>
  <si>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</si>
  <si>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</si>
  <si>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</si>
  <si>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</si>
  <si>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</si>
  <si>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</si>
  <si>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</si>
  <si>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</si>
  <si>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</si>
  <si>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</si>
  <si>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</si>
  <si>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</si>
  <si>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</si>
  <si>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</si>
  <si>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</si>
  <si>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</si>
  <si>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</si>
  <si>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</si>
  <si>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</si>
  <si>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</si>
  <si>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</si>
  <si>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</si>
  <si>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</si>
  <si>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</si>
  <si>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</si>
  <si>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</si>
  <si>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</si>
  <si>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</si>
  <si>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</si>
  <si>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</si>
  <si>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</si>
  <si>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</si>
  <si>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</si>
  <si>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</si>
  <si>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</si>
  <si>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</si>
  <si>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</si>
  <si>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</si>
  <si>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</si>
  <si>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</si>
  <si>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</si>
  <si>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</si>
  <si>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</si>
  <si>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</si>
  <si>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</si>
  <si>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</si>
  <si>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</si>
  <si>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</si>
  <si>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</si>
  <si>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</si>
  <si>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</si>
  <si>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</si>
  <si>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</si>
  <si>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</si>
  <si>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</si>
  <si>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</si>
  <si>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</si>
  <si>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</si>
  <si>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</si>
  <si>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</si>
  <si>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</si>
  <si>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</si>
  <si>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</si>
  <si>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</si>
  <si>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</si>
  <si>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</si>
  <si>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</si>
  <si>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</si>
  <si>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</si>
  <si>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</si>
  <si>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</si>
  <si>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</si>
  <si>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</si>
  <si>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</si>
  <si>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</si>
  <si>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</si>
  <si>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</si>
  <si>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</si>
  <si>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</si>
  <si>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</si>
  <si>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</si>
  <si>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</si>
  <si>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</si>
  <si>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</si>
  <si>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</si>
  <si>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</si>
  <si>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</si>
  <si>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</si>
  <si>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</si>
  <si>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</si>
  <si>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</si>
  <si>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</si>
  <si>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</si>
  <si>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</si>
  <si>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</si>
  <si>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</si>
  <si>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</si>
  <si>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</si>
  <si>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</si>
  <si>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</si>
  <si>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</si>
  <si>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</si>
  <si>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</si>
  <si>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</si>
  <si>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</si>
  <si>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</si>
  <si>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</si>
  <si>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</si>
  <si>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</si>
  <si>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</si>
  <si>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</si>
  <si>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</si>
  <si>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</si>
  <si>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</si>
  <si>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</si>
  <si>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</si>
  <si>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</si>
  <si>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</si>
  <si>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</si>
  <si>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</si>
  <si>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</si>
  <si>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</si>
  <si>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</si>
  <si>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</si>
  <si>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</si>
  <si>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</si>
  <si>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</si>
  <si>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</si>
  <si>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</si>
  <si>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</si>
  <si>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</si>
  <si>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</si>
  <si>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</si>
  <si>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</si>
  <si>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</si>
  <si>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</si>
  <si>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</si>
  <si>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</si>
  <si>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</si>
  <si>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</si>
  <si>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</si>
  <si>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</si>
  <si>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</si>
  <si>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</si>
  <si>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</si>
  <si>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</si>
  <si>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</si>
  <si>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</si>
  <si>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</si>
  <si>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</si>
  <si>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</si>
  <si>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</si>
  <si>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</si>
  <si>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</si>
  <si>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</si>
  <si>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</si>
  <si>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</si>
  <si>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</si>
  <si>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</si>
  <si>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</si>
  <si>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</si>
  <si>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</si>
  <si>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</si>
  <si>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</si>
  <si>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</si>
  <si>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</si>
  <si>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</si>
  <si>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</si>
  <si>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</si>
  <si>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</si>
  <si>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</si>
  <si>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</si>
  <si>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</si>
  <si>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</si>
  <si>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</si>
  <si>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</si>
  <si>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</si>
  <si>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</si>
  <si>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</si>
  <si>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</si>
  <si>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</si>
  <si>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</si>
  <si>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</si>
  <si>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</si>
  <si>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</si>
  <si>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</si>
  <si>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</si>
  <si>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</si>
  <si>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</si>
  <si>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</si>
  <si>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</si>
  <si>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</si>
  <si>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</si>
  <si>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</si>
  <si>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</si>
  <si>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</si>
  <si>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</si>
  <si>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</si>
  <si>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</si>
  <si>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</si>
  <si>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</si>
  <si>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</si>
  <si>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</si>
  <si>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</si>
  <si>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</si>
  <si>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</si>
  <si>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</si>
  <si>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</si>
  <si>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</si>
  <si>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</si>
  <si>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</si>
  <si>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</si>
  <si>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</si>
  <si>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</si>
  <si>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</si>
  <si>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</si>
  <si>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</si>
  <si>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</si>
  <si>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</si>
  <si>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</si>
  <si>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</si>
  <si>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</si>
  <si>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</si>
  <si>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</si>
  <si>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</si>
  <si>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</si>
  <si>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</si>
  <si>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</si>
  <si>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</si>
  <si>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</si>
  <si>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</si>
  <si>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</si>
  <si>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</si>
  <si>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</si>
  <si>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</si>
  <si>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</si>
  <si>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</si>
  <si>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</si>
  <si>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</si>
  <si>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</si>
  <si>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</si>
  <si>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</si>
  <si>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</si>
  <si>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</si>
  <si>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</si>
  <si>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</si>
  <si>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</si>
  <si>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</si>
  <si>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</si>
  <si>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</si>
  <si>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</si>
  <si>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</si>
  <si>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</si>
  <si>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</si>
  <si>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</si>
  <si>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</si>
  <si>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</si>
  <si>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</si>
  <si>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</si>
  <si>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</si>
  <si>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</si>
  <si>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</si>
  <si>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</si>
  <si>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</si>
  <si>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</si>
  <si>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</si>
  <si>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</si>
  <si>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</si>
  <si>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</si>
  <si>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</si>
  <si>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</si>
  <si>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</si>
  <si>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</si>
  <si>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</si>
  <si>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</si>
  <si>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</si>
  <si>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</si>
  <si>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</si>
  <si>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</si>
  <si>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</si>
  <si>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</si>
  <si>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</si>
  <si>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</si>
  <si>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</si>
  <si>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</si>
  <si>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</si>
  <si>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</si>
  <si>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</si>
  <si>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</si>
  <si>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</si>
  <si>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</si>
  <si>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</si>
  <si>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</si>
  <si>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</si>
  <si>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</si>
  <si>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</si>
  <si>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</si>
  <si>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</si>
  <si>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</si>
  <si>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</si>
  <si>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</si>
  <si>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</si>
  <si>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</si>
  <si>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</si>
  <si>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</si>
  <si>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</si>
  <si>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</si>
  <si>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</si>
  <si>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</si>
  <si>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</si>
  <si>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</si>
  <si>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</si>
  <si>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</si>
  <si>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</si>
  <si>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</si>
  <si>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</si>
  <si>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</si>
  <si>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</si>
  <si>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</si>
  <si>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</si>
  <si>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</si>
  <si>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</si>
  <si>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</si>
  <si>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</si>
  <si>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</si>
  <si>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</si>
  <si>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</si>
  <si>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</si>
  <si>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</si>
  <si>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</si>
  <si>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</si>
  <si>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</si>
  <si>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</si>
  <si>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</si>
  <si>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</si>
  <si>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</si>
  <si>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</si>
  <si>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</si>
  <si>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</si>
  <si>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</si>
  <si>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</si>
  <si>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</si>
  <si>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</si>
  <si>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</si>
  <si>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</si>
  <si>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</si>
  <si>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</si>
  <si>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</si>
  <si>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</si>
  <si>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</si>
  <si>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</si>
  <si>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</si>
  <si>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</si>
  <si>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</si>
  <si>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</si>
  <si>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</si>
  <si>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</si>
  <si>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</si>
  <si>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</si>
  <si>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</si>
  <si>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</si>
  <si>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</si>
  <si>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</si>
  <si>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</si>
  <si>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</si>
  <si>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</si>
  <si>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</si>
  <si>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</si>
  <si>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</si>
  <si>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</si>
  <si>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</si>
  <si>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</si>
  <si>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</si>
  <si>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</si>
  <si>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</si>
  <si>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</si>
  <si>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</si>
  <si>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</si>
  <si>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</si>
  <si>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</si>
  <si>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</si>
  <si>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</si>
  <si>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</si>
  <si>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</si>
  <si>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</si>
  <si>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</si>
  <si>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</si>
  <si>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</si>
  <si>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</si>
  <si>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</si>
  <si>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</si>
  <si>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</si>
  <si>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</si>
  <si>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</si>
  <si>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</si>
  <si>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</si>
  <si>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</si>
  <si>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</si>
  <si>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</si>
  <si>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</si>
  <si>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</si>
  <si>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</si>
  <si>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</si>
  <si>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</si>
  <si>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</si>
  <si>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</si>
  <si>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</si>
  <si>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</si>
  <si>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</si>
  <si>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</si>
  <si>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</si>
  <si>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</si>
  <si>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</si>
  <si>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</si>
  <si>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</si>
  <si>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</si>
  <si>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</si>
  <si>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</si>
  <si>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</si>
  <si>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</si>
  <si>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</si>
  <si>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</si>
  <si>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</si>
  <si>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</si>
  <si>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</si>
  <si>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</si>
  <si>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</si>
  <si>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</si>
  <si>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</si>
  <si>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</si>
  <si>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</si>
  <si>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</si>
  <si>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</si>
  <si>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</si>
  <si>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</si>
  <si>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</si>
  <si>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</si>
  <si>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</si>
  <si>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</si>
  <si>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</si>
  <si>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</si>
  <si>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</si>
  <si>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</si>
  <si>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</si>
  <si>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</si>
  <si>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</si>
  <si>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</si>
  <si>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</si>
  <si>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</si>
  <si>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</si>
  <si>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</si>
  <si>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</si>
  <si>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</si>
  <si>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</si>
  <si>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</si>
  <si>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</si>
  <si>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</si>
  <si>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</si>
  <si>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</si>
  <si>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</si>
  <si>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</si>
  <si>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</si>
  <si>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</si>
  <si>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</si>
  <si>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</si>
  <si>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</si>
  <si>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</si>
  <si>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</si>
  <si>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</si>
  <si>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</si>
  <si>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</si>
  <si>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</si>
  <si>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</si>
  <si>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</si>
  <si>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</si>
  <si>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</si>
  <si>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</si>
  <si>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</si>
  <si>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</si>
  <si>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</si>
  <si>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</si>
  <si>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</si>
  <si>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</si>
  <si>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</si>
  <si>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</si>
  <si>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</si>
  <si>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</si>
  <si>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</si>
  <si>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</si>
  <si>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</si>
  <si>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</si>
  <si>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</si>
  <si>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</si>
  <si>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</si>
  <si>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</si>
  <si>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</si>
  <si>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</si>
  <si>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</si>
  <si>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</si>
  <si>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</si>
  <si>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</si>
  <si>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</si>
  <si>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</si>
  <si>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</si>
  <si>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</si>
  <si>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</si>
  <si>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</si>
  <si>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</si>
  <si>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</si>
  <si>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</si>
  <si>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</si>
  <si>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</si>
  <si>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</si>
  <si>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</si>
  <si>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</si>
  <si>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</si>
  <si>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</si>
  <si>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</si>
  <si>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</si>
  <si>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</si>
  <si>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</si>
  <si>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</si>
  <si>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</si>
  <si>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</si>
  <si>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</si>
  <si>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</si>
  <si>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</si>
  <si>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</si>
  <si>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</si>
  <si>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</si>
  <si>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</si>
  <si>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</si>
  <si>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</si>
  <si>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</si>
  <si>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</si>
  <si>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</si>
  <si>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</si>
  <si>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</si>
  <si>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</si>
  <si>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</si>
  <si>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</si>
  <si>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</si>
  <si>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</si>
  <si>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</si>
  <si>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</si>
  <si>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</si>
  <si>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</si>
  <si>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</si>
  <si>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</si>
  <si>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</si>
  <si>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</si>
  <si>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</si>
  <si>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</si>
  <si>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</si>
  <si>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</si>
  <si>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</si>
  <si>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</si>
  <si>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</si>
  <si>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</si>
  <si>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</si>
  <si>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</si>
  <si>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</si>
  <si>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</si>
  <si>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</si>
  <si>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</si>
  <si>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</si>
  <si>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</si>
  <si>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</si>
  <si>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</si>
  <si>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</si>
  <si>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</si>
  <si>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</si>
  <si>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</si>
  <si>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</si>
  <si>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</si>
  <si>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</si>
  <si>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</si>
  <si>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</si>
  <si>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</si>
  <si>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</si>
  <si>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</si>
  <si>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</si>
  <si>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</si>
  <si>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</si>
  <si>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</si>
  <si>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</si>
  <si>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</si>
  <si>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</si>
  <si>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</si>
  <si>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</si>
  <si>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</si>
  <si>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</si>
  <si>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</si>
  <si>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</si>
  <si>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</si>
  <si>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</si>
  <si>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</si>
  <si>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</si>
  <si>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</si>
  <si>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</si>
  <si>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</si>
  <si>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</si>
  <si>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</si>
  <si>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</si>
  <si>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</si>
  <si>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</si>
  <si>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</si>
  <si>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</si>
  <si>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</si>
  <si>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</si>
  <si>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</si>
  <si>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</si>
  <si>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</si>
  <si>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</si>
  <si>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</si>
  <si>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</si>
  <si>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</si>
  <si>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</si>
  <si>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</si>
  <si>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</si>
  <si>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</si>
  <si>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</si>
  <si>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</si>
  <si>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</si>
  <si>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</si>
  <si>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</si>
  <si>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</si>
  <si>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</si>
  <si>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</si>
  <si>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</si>
  <si>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</si>
  <si>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</si>
  <si>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</si>
  <si>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</si>
  <si>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</si>
  <si>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</si>
  <si>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</si>
  <si>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</si>
  <si>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</si>
  <si>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</si>
  <si>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</si>
  <si>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</si>
  <si>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</si>
  <si>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</si>
  <si>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</si>
  <si>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</si>
  <si>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</si>
  <si>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</si>
  <si>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</si>
  <si>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</si>
  <si>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</si>
  <si>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</si>
  <si>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</si>
  <si>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</si>
  <si>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</si>
  <si>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</si>
  <si>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</si>
  <si>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</si>
  <si>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</si>
  <si>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</si>
  <si>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</si>
  <si>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</si>
  <si>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</si>
  <si>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</si>
  <si>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</si>
  <si>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</si>
  <si>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</si>
  <si>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</si>
  <si>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</si>
  <si>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</si>
  <si>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</si>
  <si>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</si>
  <si>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</si>
  <si>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</si>
  <si>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</si>
  <si>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</si>
  <si>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</si>
  <si>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</si>
  <si>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</si>
  <si>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</si>
  <si>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</si>
  <si>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</si>
  <si>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</si>
  <si>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</si>
  <si>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</si>
  <si>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</si>
  <si>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</si>
  <si>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</si>
  <si>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</si>
  <si>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</si>
  <si>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</si>
  <si>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</si>
  <si>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</si>
  <si>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</si>
  <si>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</si>
  <si>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</si>
  <si>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</si>
  <si>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</si>
  <si>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</si>
  <si>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</si>
  <si>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</si>
  <si>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</si>
  <si>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</si>
  <si>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</si>
  <si>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</si>
  <si>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</si>
  <si>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</si>
  <si>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</si>
  <si>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</si>
  <si>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</si>
  <si>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</si>
  <si>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</si>
  <si>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</si>
  <si>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</si>
  <si>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</si>
  <si>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</si>
  <si>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</si>
  <si>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</si>
  <si>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</si>
  <si>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</si>
  <si>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</si>
  <si>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</si>
  <si>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</si>
  <si>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</si>
  <si>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</si>
  <si>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</si>
  <si>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</si>
  <si>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</si>
  <si>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</si>
  <si>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</si>
  <si>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</si>
  <si>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</si>
  <si>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</si>
  <si>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</si>
  <si>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</si>
  <si>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</si>
  <si>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</si>
  <si>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</si>
  <si>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</si>
  <si>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</si>
  <si>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</si>
  <si>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</si>
  <si>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</si>
  <si>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</si>
  <si>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</si>
  <si>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</si>
  <si>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</si>
  <si>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</si>
  <si>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</si>
  <si>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</si>
  <si>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</si>
  <si>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</si>
  <si>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</si>
  <si>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</si>
  <si>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</si>
  <si>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</si>
  <si>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</si>
  <si>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</si>
  <si>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</si>
  <si>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</si>
  <si>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</si>
  <si>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</si>
  <si>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</si>
  <si>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</si>
  <si>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</si>
  <si>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</si>
  <si>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</si>
  <si>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</si>
  <si>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</si>
  <si>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</si>
  <si>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</si>
  <si>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</si>
  <si>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</si>
  <si>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</si>
  <si>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</si>
  <si>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</si>
  <si>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</si>
  <si>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</si>
  <si>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</si>
  <si>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</si>
  <si>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</si>
  <si>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</si>
  <si>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</si>
  <si>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</si>
  <si>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</si>
  <si>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</si>
  <si>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</si>
  <si>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</si>
  <si>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</si>
  <si>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</si>
  <si>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</si>
  <si>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</si>
  <si>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</si>
  <si>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</si>
  <si>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</si>
  <si>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</si>
  <si>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</si>
  <si>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</si>
  <si>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</si>
  <si>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</si>
  <si>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</si>
  <si>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</si>
  <si>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</si>
  <si>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</si>
  <si>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</si>
  <si>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</si>
  <si>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</si>
  <si>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</si>
  <si>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</si>
  <si>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</si>
  <si>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</si>
  <si>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</si>
  <si>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</si>
  <si>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</si>
  <si>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</si>
  <si>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</si>
  <si>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</si>
  <si>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</si>
  <si>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</si>
  <si>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</si>
  <si>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</si>
  <si>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</si>
  <si>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</si>
  <si>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</si>
  <si>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</si>
  <si>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</si>
  <si>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</si>
  <si>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</si>
  <si>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</si>
  <si>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</si>
  <si>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</si>
  <si>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</si>
  <si>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</si>
  <si>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</si>
  <si>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</si>
  <si>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</si>
  <si>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</si>
  <si>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</si>
  <si>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</si>
  <si>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</si>
  <si>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</si>
  <si>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</si>
  <si>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</si>
  <si>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</si>
  <si>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</si>
  <si>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</si>
  <si>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</si>
  <si>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</si>
  <si>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</si>
  <si>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</si>
  <si>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</si>
  <si>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</si>
  <si>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</si>
  <si>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</si>
  <si>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</si>
  <si>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</si>
  <si>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</si>
  <si>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</si>
  <si>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</si>
  <si>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</si>
  <si>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</si>
  <si>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</si>
  <si>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</si>
  <si>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</si>
  <si>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</si>
  <si>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</si>
  <si>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</si>
  <si>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</si>
  <si>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</si>
  <si>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</si>
  <si>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</si>
  <si>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</si>
  <si>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</si>
  <si>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</si>
  <si>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</si>
  <si>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</si>
  <si>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</si>
  <si>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</si>
  <si>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</si>
  <si>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</si>
  <si>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</si>
  <si>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</si>
  <si>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</si>
  <si>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</si>
  <si>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</si>
  <si>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</si>
  <si>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</si>
  <si>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</si>
  <si>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</si>
  <si>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</si>
  <si>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</si>
  <si>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</si>
  <si>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</si>
  <si>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</si>
  <si>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</si>
  <si>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</si>
  <si>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</si>
  <si>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</si>
  <si>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</si>
  <si>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</si>
  <si>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</si>
  <si>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</si>
  <si>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</si>
  <si>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</si>
  <si>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</si>
  <si>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</si>
  <si>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</si>
  <si>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</si>
  <si>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</si>
  <si>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</si>
  <si>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</si>
  <si>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</si>
  <si>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</si>
  <si>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</si>
  <si>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</si>
  <si>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</si>
  <si>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</si>
  <si>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</si>
  <si>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</si>
  <si>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</si>
  <si>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</si>
  <si>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</si>
  <si>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</si>
  <si>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</si>
  <si>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</si>
  <si>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</si>
  <si>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</si>
  <si>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</si>
  <si>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</si>
  <si>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</si>
  <si>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</si>
  <si>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</si>
  <si>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</si>
  <si>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</si>
  <si>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</si>
  <si>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</si>
  <si>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</si>
  <si>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</si>
  <si>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</si>
  <si>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</si>
  <si>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</si>
  <si>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</si>
  <si>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</si>
  <si>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</si>
  <si>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</si>
  <si>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</si>
  <si>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</si>
  <si>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</si>
  <si>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</si>
  <si>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</si>
  <si>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</si>
  <si>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</si>
  <si>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</si>
  <si>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</si>
  <si>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</si>
  <si>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</si>
  <si>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</si>
  <si>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</si>
  <si>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</si>
  <si>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</si>
  <si>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</si>
  <si>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</si>
  <si>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</si>
  <si>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</si>
  <si>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</si>
  <si>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</si>
  <si>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</si>
  <si>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</si>
  <si>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</si>
  <si>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</si>
  <si>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</si>
  <si>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</si>
  <si>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</si>
  <si>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</si>
  <si>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</si>
  <si>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</si>
  <si>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</si>
  <si>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</si>
  <si>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</si>
  <si>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</si>
  <si>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</si>
  <si>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</si>
  <si>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</si>
  <si>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</si>
  <si>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</si>
  <si>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</si>
  <si>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</si>
  <si>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</si>
  <si>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</si>
  <si>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</si>
  <si>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</si>
  <si>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</si>
  <si>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</si>
  <si>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</si>
  <si>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</si>
  <si>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</si>
  <si>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</si>
  <si>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</si>
  <si>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</si>
  <si>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</si>
  <si>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</si>
  <si>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</si>
  <si>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</si>
  <si>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</si>
  <si>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</si>
  <si>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</si>
  <si>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</si>
  <si>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</si>
  <si>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</si>
  <si>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</si>
  <si>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</si>
  <si>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</si>
  <si>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</si>
  <si>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</si>
  <si>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</si>
  <si>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</si>
  <si>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</si>
  <si>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</si>
  <si>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</si>
  <si>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</si>
  <si>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</si>
  <si>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</si>
  <si>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</si>
  <si>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</si>
  <si>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</si>
  <si>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</si>
  <si>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</si>
  <si>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</si>
  <si>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</si>
  <si>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</si>
  <si>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</si>
  <si>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</si>
  <si>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</si>
  <si>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</si>
  <si>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</si>
  <si>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</si>
  <si>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</si>
  <si>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</si>
  <si>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</si>
  <si>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</si>
  <si>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</si>
  <si>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</si>
  <si>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</si>
  <si>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</si>
  <si>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</si>
  <si>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</si>
  <si>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</si>
  <si>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</si>
  <si>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</si>
  <si>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</si>
  <si>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</si>
  <si>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</si>
  <si>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</si>
  <si>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</si>
  <si>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</si>
  <si>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</si>
  <si>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</si>
  <si>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</si>
  <si>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</si>
  <si>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</si>
  <si>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</si>
  <si>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</si>
  <si>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</si>
  <si>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</si>
  <si>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</si>
  <si>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</si>
  <si>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</si>
  <si>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</si>
  <si>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</si>
  <si>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</si>
  <si>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</si>
  <si>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</si>
  <si>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</si>
  <si>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</si>
  <si>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</si>
  <si>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</si>
  <si>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</si>
  <si>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</si>
  <si>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</si>
  <si>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</si>
  <si>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</si>
  <si>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</si>
  <si>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</si>
  <si>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</si>
  <si>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</si>
  <si>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</si>
  <si>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</si>
  <si>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</si>
  <si>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</si>
  <si>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</si>
  <si>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</si>
  <si>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</si>
  <si>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</si>
  <si>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</si>
  <si>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</si>
  <si>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</si>
  <si>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</si>
  <si>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</si>
  <si>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</si>
  <si>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</si>
  <si>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</si>
  <si>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</si>
  <si>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</si>
  <si>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</si>
  <si>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</si>
  <si>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</si>
  <si>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</si>
  <si>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</si>
  <si>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</si>
  <si>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</si>
  <si>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</si>
  <si>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</si>
  <si>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</si>
  <si>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</si>
  <si>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</si>
  <si>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</si>
  <si>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</si>
  <si>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</si>
  <si>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</si>
  <si>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</si>
  <si>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</si>
  <si>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</si>
  <si>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</si>
  <si>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</si>
  <si>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</si>
  <si>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</si>
  <si>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</si>
  <si>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</si>
  <si>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</si>
  <si>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</si>
  <si>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</si>
  <si>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</si>
  <si>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</si>
  <si>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</si>
  <si>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</si>
  <si>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</si>
  <si>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</si>
  <si>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</si>
  <si>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</si>
  <si>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</si>
  <si>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</si>
  <si>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</si>
  <si>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</si>
  <si>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</si>
  <si>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</si>
  <si>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</si>
  <si>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</si>
  <si>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</si>
  <si>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</si>
  <si>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</si>
  <si>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</si>
  <si>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</si>
  <si>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</si>
  <si>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</si>
  <si>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</si>
  <si>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</si>
  <si>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</si>
  <si>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</si>
  <si>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</si>
  <si>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</si>
  <si>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</si>
  <si>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</si>
  <si>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</si>
  <si>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</si>
  <si>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</si>
  <si>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</si>
  <si>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</si>
  <si>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</si>
  <si>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</si>
  <si>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</si>
  <si>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</si>
  <si>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</si>
  <si>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</si>
  <si>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</si>
  <si>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</si>
  <si>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</si>
  <si>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</si>
  <si>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</si>
  <si>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</si>
  <si>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</si>
  <si>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</si>
  <si>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</si>
  <si>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</si>
  <si>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</si>
  <si>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</si>
  <si>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</si>
  <si>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</si>
  <si>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</si>
  <si>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</si>
  <si>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</si>
  <si>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</si>
  <si>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</si>
  <si>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</si>
  <si>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</si>
  <si>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</si>
  <si>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</si>
  <si>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</si>
  <si>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</si>
  <si>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</si>
  <si>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</si>
  <si>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</si>
  <si>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</si>
  <si>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</si>
  <si>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</si>
  <si>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</si>
  <si>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</si>
  <si>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</si>
  <si>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</si>
  <si>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</si>
  <si>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</si>
  <si>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</si>
  <si>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</si>
  <si>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</si>
  <si>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</si>
  <si>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</si>
  <si>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</si>
  <si>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</si>
  <si>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</si>
  <si>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</si>
  <si>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</si>
  <si>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</si>
  <si>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</si>
  <si>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</si>
  <si>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</si>
  <si>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</si>
  <si>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</si>
  <si>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</si>
  <si>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</si>
  <si>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</si>
  <si>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</si>
  <si>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</si>
  <si>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</si>
  <si>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</si>
  <si>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</si>
  <si>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</si>
  <si>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</si>
  <si>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</si>
  <si>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</si>
  <si>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</si>
  <si>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</si>
  <si>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</si>
  <si>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</si>
  <si>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</si>
  <si>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</si>
  <si>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</si>
  <si>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</si>
  <si>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</si>
  <si>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</si>
  <si>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</si>
  <si>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</si>
  <si>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</si>
  <si>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</si>
  <si>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</si>
  <si>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</si>
  <si>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</si>
  <si>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</si>
  <si>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</si>
  <si>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</si>
  <si>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</si>
  <si>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</si>
  <si>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</si>
  <si>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</si>
  <si>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</si>
  <si>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</si>
  <si>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</si>
  <si>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</si>
  <si>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</si>
  <si>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</si>
  <si>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</si>
  <si>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</si>
  <si>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</si>
  <si>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</si>
  <si>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</si>
  <si>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</si>
  <si>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</si>
  <si>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</si>
  <si>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</si>
  <si>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</si>
  <si>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</si>
  <si>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</si>
  <si>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</si>
  <si>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</si>
  <si>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</si>
  <si>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</si>
  <si>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</si>
  <si>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</si>
  <si>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</si>
  <si>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</si>
  <si>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</si>
  <si>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</si>
  <si>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</si>
  <si>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</si>
  <si>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</si>
  <si>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</si>
  <si>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</si>
  <si>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</si>
  <si>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</si>
  <si>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</si>
  <si>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</si>
  <si>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</si>
  <si>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</si>
  <si>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</si>
  <si>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</si>
  <si>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</si>
  <si>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</si>
  <si>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</si>
  <si>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</si>
  <si>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</si>
  <si>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</si>
  <si>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</si>
  <si>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</si>
  <si>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</si>
  <si>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</si>
  <si>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</si>
  <si>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</si>
  <si>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</si>
  <si>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</si>
  <si>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</si>
  <si>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</si>
  <si>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</si>
  <si>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</si>
  <si>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</si>
  <si>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</si>
  <si>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</si>
  <si>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</si>
  <si>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</si>
  <si>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</si>
  <si>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</si>
  <si>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</si>
  <si>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</si>
  <si>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</si>
  <si>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</si>
  <si>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</si>
  <si>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</si>
  <si>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</si>
  <si>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</si>
  <si>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</si>
  <si>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</si>
  <si>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</si>
  <si>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</si>
  <si>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</si>
  <si>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</si>
  <si>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</si>
  <si>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</si>
  <si>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</si>
  <si>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</si>
  <si>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</si>
  <si>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</si>
  <si>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</si>
  <si>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</si>
  <si>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</si>
  <si>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</si>
  <si>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</si>
  <si>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</si>
  <si>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</si>
  <si>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</si>
  <si>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</si>
  <si>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</si>
  <si>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</si>
  <si>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</si>
  <si>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</si>
  <si>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</si>
  <si>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</si>
  <si>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</si>
  <si>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</si>
  <si>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</si>
  <si>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</si>
  <si>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</si>
  <si>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</si>
  <si>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</si>
  <si>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</si>
  <si>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</si>
  <si>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</si>
  <si>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</si>
  <si>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</si>
  <si>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</si>
  <si>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</si>
  <si>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</si>
  <si>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</si>
  <si>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</si>
  <si>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</si>
  <si>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</si>
  <si>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</si>
  <si>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</si>
  <si>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</si>
  <si>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</si>
  <si>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</si>
  <si>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</si>
  <si>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</si>
  <si>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</si>
  <si>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</si>
  <si>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</si>
  <si>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</si>
  <si>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</si>
  <si>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</si>
  <si>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</si>
  <si>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</si>
  <si>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</si>
  <si>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</si>
  <si>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</si>
  <si>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</si>
  <si>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</si>
  <si>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</si>
  <si>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</si>
  <si>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</si>
  <si>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</si>
  <si>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</si>
  <si>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</si>
  <si>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</si>
  <si>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</si>
  <si>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</si>
  <si>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</si>
  <si>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</si>
  <si>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</si>
  <si>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</si>
  <si>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</si>
  <si>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</si>
  <si>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</si>
  <si>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</si>
  <si>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</si>
  <si>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</si>
  <si>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</si>
  <si>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</si>
  <si>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</si>
  <si>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</si>
  <si>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</si>
  <si>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</si>
  <si>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</si>
  <si>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</si>
  <si>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</si>
  <si>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</si>
  <si>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</si>
  <si>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</si>
  <si>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</si>
  <si>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</si>
  <si>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</si>
  <si>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</si>
  <si>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</si>
  <si>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</si>
  <si>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</si>
  <si>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</si>
  <si>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</si>
  <si>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</si>
  <si>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</si>
  <si>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</si>
  <si>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</si>
  <si>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</si>
  <si>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</si>
  <si>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</si>
  <si>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</si>
  <si>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</si>
  <si>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</si>
  <si>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</si>
  <si>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</si>
  <si>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</si>
  <si>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</si>
  <si>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</si>
  <si>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</si>
  <si>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</si>
  <si>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</si>
  <si>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</si>
  <si>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</si>
  <si>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</si>
  <si>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</si>
  <si>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</si>
  <si>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</si>
  <si>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</si>
  <si>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</si>
  <si>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</si>
  <si>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</si>
  <si>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</si>
  <si>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</si>
  <si>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</si>
  <si>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</si>
  <si>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</si>
  <si>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</si>
  <si>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</si>
  <si>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</si>
  <si>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</si>
  <si>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</si>
  <si>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</si>
  <si>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</si>
  <si>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</si>
  <si>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</si>
  <si>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</si>
  <si>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</si>
  <si>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</si>
  <si>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</si>
  <si>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</si>
  <si>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</si>
  <si>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</si>
  <si>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</si>
  <si>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</si>
  <si>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</si>
  <si>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</si>
  <si>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</si>
  <si>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</si>
  <si>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</si>
  <si>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</si>
  <si>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</si>
  <si>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</si>
  <si>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</si>
  <si>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</si>
  <si>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</si>
  <si>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</si>
  <si>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</si>
  <si>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</si>
  <si>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</si>
  <si>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</si>
  <si>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</si>
  <si>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</si>
  <si>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</si>
  <si>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</si>
  <si>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</si>
  <si>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</si>
  <si>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</si>
  <si>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</si>
  <si>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</si>
  <si>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</si>
  <si>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</si>
  <si>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</si>
  <si>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</si>
  <si>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</si>
  <si>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</si>
  <si>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</si>
  <si>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</si>
  <si>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</si>
  <si>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</si>
  <si>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</si>
  <si>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</si>
  <si>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</si>
  <si>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</si>
  <si>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</si>
  <si>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</si>
  <si>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</si>
  <si>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</si>
  <si>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</si>
  <si>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</si>
  <si>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</si>
  <si>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</si>
  <si>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</si>
  <si>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</si>
  <si>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</si>
  <si>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</si>
  <si>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</si>
  <si>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</si>
  <si>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</si>
  <si>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</si>
  <si>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</si>
  <si>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</si>
  <si>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</si>
  <si>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</si>
  <si>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</si>
  <si>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</si>
  <si>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</si>
  <si>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</si>
  <si>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</si>
  <si>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</si>
  <si>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</si>
  <si>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</si>
  <si>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</si>
  <si>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</si>
  <si>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</si>
  <si>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</si>
  <si>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</si>
  <si>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</si>
  <si>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</si>
  <si>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</si>
  <si>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</si>
  <si>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</si>
  <si>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</si>
  <si>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</si>
  <si>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</si>
  <si>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</si>
  <si>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</si>
  <si>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</si>
  <si>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</si>
  <si>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</si>
  <si>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</si>
  <si>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</si>
  <si>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</si>
  <si>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</si>
  <si>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</si>
  <si>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</si>
  <si>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</si>
  <si>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</si>
  <si>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</si>
  <si>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</si>
  <si>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</si>
  <si>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</si>
  <si>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</si>
  <si>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</si>
  <si>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</si>
  <si>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</si>
  <si>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</si>
  <si>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</si>
  <si>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</si>
  <si>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</si>
  <si>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</si>
  <si>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</si>
  <si>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</si>
  <si>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</si>
  <si>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</si>
  <si>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</si>
  <si>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</si>
  <si>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</si>
  <si>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</si>
  <si>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</si>
  <si>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</si>
  <si>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</si>
  <si>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</si>
  <si>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</si>
  <si>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</si>
  <si>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</si>
  <si>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</si>
  <si>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</si>
  <si>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</si>
  <si>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</si>
  <si>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</si>
  <si>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</si>
  <si>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</si>
  <si>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</si>
  <si>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</si>
  <si>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</si>
  <si>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</si>
  <si>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</si>
  <si>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</si>
  <si>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</si>
  <si>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</si>
  <si>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</si>
  <si>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</si>
  <si>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</si>
  <si>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</si>
  <si>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</si>
  <si>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</si>
  <si>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</si>
  <si>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</si>
  <si>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</si>
  <si>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</si>
  <si>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</si>
  <si>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</si>
  <si>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</si>
  <si>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</si>
  <si>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</si>
  <si>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</si>
  <si>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</si>
  <si>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</si>
  <si>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</si>
  <si>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</si>
  <si>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</si>
  <si>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</si>
  <si>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</si>
  <si>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</si>
  <si>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</si>
  <si>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</si>
  <si>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</si>
  <si>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</si>
  <si>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</si>
  <si>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</si>
  <si>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</si>
  <si>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</si>
  <si>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</si>
  <si>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</si>
  <si>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</si>
  <si>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</si>
  <si>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</si>
  <si>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</si>
  <si>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</si>
  <si>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</si>
  <si>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</si>
  <si>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</si>
  <si>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</si>
  <si>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</si>
  <si>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</si>
  <si>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</si>
  <si>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</si>
  <si>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</si>
  <si>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</si>
  <si>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</si>
  <si>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</si>
  <si>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</si>
  <si>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</si>
  <si>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</si>
  <si>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</si>
  <si>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</si>
  <si>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</si>
  <si>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</si>
  <si>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</si>
  <si>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</si>
  <si>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</si>
  <si>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</si>
  <si>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</si>
  <si>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</si>
  <si>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</si>
  <si>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</si>
  <si>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</si>
  <si>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</si>
  <si>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</si>
  <si>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</si>
  <si>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</si>
  <si>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</si>
  <si>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</si>
  <si>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</si>
  <si>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</si>
  <si>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</si>
  <si>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</si>
  <si>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</si>
  <si>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</si>
  <si>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</si>
  <si>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</si>
  <si>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</si>
  <si>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</si>
  <si>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</si>
  <si>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</si>
  <si>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</si>
  <si>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</si>
  <si>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</si>
  <si>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</si>
  <si>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</si>
  <si>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</si>
  <si>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</si>
  <si>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</si>
  <si>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</si>
  <si>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</si>
  <si>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</si>
  <si>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</si>
  <si>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</si>
  <si>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</si>
  <si>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</si>
  <si>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</si>
  <si>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</si>
  <si>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</si>
  <si>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</si>
  <si>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</si>
  <si>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</si>
  <si>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</si>
  <si>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</si>
  <si>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</si>
  <si>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</si>
  <si>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</si>
  <si>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</si>
  <si>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</si>
  <si>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</si>
  <si>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</si>
  <si>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</si>
  <si>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</si>
  <si>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</si>
  <si>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</si>
  <si>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</si>
  <si>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</si>
  <si>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</si>
  <si>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</si>
  <si>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</si>
  <si>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</si>
  <si>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</si>
  <si>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</si>
  <si>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</si>
  <si>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</si>
  <si>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</si>
  <si>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</si>
  <si>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</si>
  <si>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</si>
  <si>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</si>
  <si>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</si>
  <si>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</si>
  <si>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</si>
  <si>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</si>
  <si>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</si>
  <si>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</si>
  <si>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</si>
  <si>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</si>
  <si>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</si>
  <si>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</si>
  <si>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</si>
  <si>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</si>
  <si>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</si>
  <si>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</si>
  <si>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</si>
  <si>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</si>
  <si>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</si>
  <si>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</si>
  <si>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</si>
  <si>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</si>
  <si>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</si>
  <si>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</si>
  <si>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</si>
  <si>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</si>
  <si>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</si>
  <si>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</si>
  <si>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</si>
  <si>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</si>
  <si>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</si>
  <si>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</si>
  <si>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</si>
  <si>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</si>
  <si>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</si>
  <si>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</si>
  <si>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</si>
  <si>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</si>
  <si>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</si>
  <si>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</si>
  <si>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</si>
  <si>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</si>
  <si>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</si>
  <si>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</si>
  <si>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</si>
  <si>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</si>
  <si>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</si>
  <si>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</si>
  <si>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</si>
  <si>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</si>
  <si>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</si>
  <si>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</si>
  <si>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</si>
  <si>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</si>
  <si>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</si>
  <si>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</si>
  <si>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</si>
  <si>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</si>
  <si>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</si>
  <si>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</si>
  <si>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</si>
  <si>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</si>
  <si>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</si>
  <si>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</si>
  <si>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</si>
  <si>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</si>
  <si>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</si>
  <si>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</si>
  <si>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</si>
  <si>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</si>
  <si>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</si>
  <si>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</si>
  <si>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</si>
  <si>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</si>
  <si>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</si>
  <si>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</si>
  <si>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</si>
  <si>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</si>
  <si>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</si>
  <si>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</si>
  <si>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</si>
  <si>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</si>
  <si>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</si>
  <si>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</si>
  <si>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</si>
  <si>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</si>
  <si>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</si>
  <si>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</si>
  <si>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</si>
  <si>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</si>
  <si>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</si>
  <si>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</si>
  <si>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</si>
  <si>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</si>
  <si>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</si>
  <si>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</si>
  <si>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</si>
  <si>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</si>
  <si>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</si>
  <si>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</si>
  <si>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</si>
  <si>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</si>
  <si>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</si>
  <si>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</si>
  <si>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</si>
  <si>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</si>
  <si>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</si>
  <si>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</si>
  <si>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</si>
  <si>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</si>
  <si>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</si>
  <si>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</si>
  <si>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</si>
  <si>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</si>
  <si>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</si>
  <si>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</si>
  <si>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</si>
  <si>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</si>
  <si>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</si>
  <si>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</si>
  <si>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</si>
  <si>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</si>
  <si>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</si>
  <si>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</si>
  <si>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</si>
  <si>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</si>
  <si>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</si>
  <si>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</si>
  <si>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</si>
  <si>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</si>
  <si>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</si>
  <si>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</si>
  <si>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</si>
  <si>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</si>
  <si>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</si>
  <si>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</si>
  <si>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</si>
  <si>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</si>
  <si>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</si>
  <si>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</si>
  <si>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</si>
  <si>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</si>
  <si>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</si>
  <si>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</si>
  <si>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</si>
  <si>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</si>
  <si>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</si>
  <si>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</si>
  <si>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</si>
  <si>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</si>
  <si>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</si>
  <si>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</si>
  <si>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</si>
  <si>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</si>
  <si>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</si>
  <si>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</si>
  <si>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</si>
  <si>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</si>
  <si>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</si>
  <si>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</si>
  <si>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</si>
  <si>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</si>
  <si>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</si>
  <si>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</si>
  <si>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</si>
  <si>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</si>
  <si>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</si>
  <si>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</si>
  <si>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</si>
  <si>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</si>
  <si>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</si>
  <si>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</si>
  <si>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</si>
  <si>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</si>
  <si>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</si>
  <si>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</si>
  <si>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</si>
  <si>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</si>
  <si>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</si>
  <si>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</si>
  <si>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</si>
  <si>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</si>
  <si>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</si>
  <si>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</si>
  <si>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</si>
  <si>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</si>
  <si>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</si>
  <si>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</si>
  <si>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</si>
  <si>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</si>
  <si>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</si>
  <si>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</si>
  <si>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</si>
  <si>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</si>
  <si>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</si>
  <si>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</si>
  <si>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</si>
  <si>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</si>
  <si>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</si>
  <si>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</si>
  <si>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</si>
  <si>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</si>
  <si>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</si>
  <si>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</si>
  <si>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</si>
  <si>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</si>
  <si>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</si>
  <si>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</si>
  <si>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</si>
  <si>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</si>
  <si>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</si>
  <si>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</si>
  <si>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</si>
  <si>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</si>
  <si>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</si>
  <si>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</si>
  <si>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</si>
  <si>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</si>
  <si>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</si>
  <si>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</si>
  <si>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</si>
  <si>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</si>
  <si>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</si>
  <si>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</si>
  <si>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</si>
  <si>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</si>
  <si>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</si>
  <si>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</si>
  <si>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</si>
  <si>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</si>
  <si>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</si>
  <si>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</si>
  <si>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</si>
  <si>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</si>
  <si>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</si>
  <si>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</si>
  <si>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</si>
  <si>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</si>
  <si>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</si>
  <si>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</si>
  <si>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</si>
  <si>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</si>
  <si>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</si>
  <si>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</si>
  <si>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</si>
  <si>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</si>
  <si>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</si>
  <si>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</si>
  <si>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</si>
  <si>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</si>
  <si>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</si>
  <si>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</si>
  <si>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</si>
  <si>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</si>
  <si>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</si>
  <si>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</si>
  <si>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</si>
  <si>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</si>
  <si>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</si>
  <si>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</si>
  <si>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</si>
  <si>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</si>
  <si>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</si>
  <si>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</si>
  <si>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</si>
  <si>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</si>
  <si>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</si>
  <si>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</si>
  <si>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</si>
  <si>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</si>
  <si>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</si>
  <si>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</si>
  <si>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</si>
  <si>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</si>
  <si>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</si>
  <si>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</si>
  <si>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</si>
  <si>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</si>
  <si>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</si>
  <si>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</si>
  <si>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</si>
  <si>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</si>
  <si>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</si>
  <si>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</si>
  <si>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</si>
  <si>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</si>
  <si>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</si>
  <si>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</si>
  <si>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</si>
  <si>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</si>
  <si>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</si>
  <si>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</si>
  <si>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</si>
  <si>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</si>
  <si>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</si>
  <si>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</si>
  <si>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</si>
  <si>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</si>
  <si>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</si>
  <si>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</si>
  <si>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</si>
  <si>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</si>
  <si>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</si>
  <si>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</si>
  <si>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</si>
  <si>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</si>
  <si>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</si>
  <si>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</si>
  <si>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</si>
  <si>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</si>
  <si>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</si>
  <si>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</si>
  <si>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</si>
  <si>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</si>
  <si>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</si>
  <si>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</si>
  <si>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</si>
  <si>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</si>
  <si>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</si>
  <si>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</si>
  <si>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</si>
  <si>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</si>
  <si>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</si>
  <si>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</si>
  <si>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</si>
  <si>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</si>
  <si>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</si>
  <si>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</si>
  <si>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</si>
  <si>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</si>
  <si>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</si>
  <si>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</si>
  <si>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</si>
  <si>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</si>
  <si>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</si>
  <si>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</si>
  <si>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</si>
  <si>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</si>
  <si>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</si>
  <si>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</si>
  <si>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</si>
  <si>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</si>
  <si>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</si>
  <si>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</si>
  <si>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</si>
  <si>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</si>
  <si>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</si>
  <si>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</si>
  <si>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</si>
  <si>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</si>
  <si>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</si>
  <si>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</si>
  <si>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</si>
  <si>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</si>
  <si>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</si>
  <si>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</si>
  <si>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</si>
  <si>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</si>
  <si>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</si>
  <si>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</si>
  <si>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</si>
  <si>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</si>
  <si>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</si>
  <si>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</si>
  <si>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</si>
  <si>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</si>
  <si>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</si>
  <si>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</si>
  <si>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</si>
  <si>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</si>
  <si>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</si>
  <si>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</si>
  <si>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</si>
  <si>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</si>
  <si>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</si>
  <si>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</si>
  <si>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</si>
  <si>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</si>
  <si>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</si>
  <si>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</si>
  <si>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</si>
  <si>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</si>
  <si>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</si>
  <si>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</si>
  <si>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</si>
  <si>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</si>
  <si>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</si>
  <si>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</si>
  <si>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</si>
  <si>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</si>
  <si>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</si>
  <si>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</si>
  <si>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</si>
  <si>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</si>
  <si>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</si>
  <si>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</si>
  <si>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</si>
  <si>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</si>
  <si>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</si>
  <si>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</si>
  <si>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</si>
  <si>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</si>
  <si>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</si>
  <si>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</si>
  <si>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</si>
  <si>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</si>
  <si>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</si>
  <si>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</si>
  <si>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</si>
  <si>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</si>
  <si>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</si>
  <si>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</si>
  <si>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</si>
  <si>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</si>
  <si>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</si>
  <si>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</si>
  <si>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</si>
  <si>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</si>
  <si>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</si>
  <si>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</si>
  <si>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</si>
  <si>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</si>
  <si>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</si>
  <si>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</si>
  <si>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</si>
  <si>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</si>
  <si>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</si>
  <si>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</si>
  <si>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</si>
  <si>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</si>
  <si>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</si>
  <si>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</si>
  <si>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</si>
  <si>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</si>
  <si>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</si>
  <si>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</si>
  <si>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</si>
  <si>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</si>
  <si>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</si>
  <si>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</si>
  <si>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</si>
  <si>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</si>
  <si>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</si>
  <si>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</si>
  <si>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</si>
  <si>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</si>
  <si>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</si>
  <si>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</si>
  <si>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</si>
  <si>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</si>
  <si>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</si>
  <si>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</si>
  <si>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</si>
  <si>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</si>
  <si>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</si>
  <si>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</si>
  <si>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</si>
  <si>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</si>
  <si>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</si>
  <si>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</si>
  <si>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</si>
  <si>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</si>
  <si>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</si>
  <si>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</si>
  <si>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</si>
  <si>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</si>
  <si>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</si>
  <si>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</si>
  <si>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</si>
  <si>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</si>
  <si>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</si>
  <si>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</si>
  <si>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</si>
  <si>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</si>
  <si>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</si>
  <si>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</si>
  <si>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</si>
  <si>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</si>
  <si>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</si>
  <si>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</si>
  <si>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</si>
  <si>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</si>
  <si>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</si>
  <si>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</si>
  <si>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</si>
  <si>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</si>
  <si>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</si>
  <si>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</si>
  <si>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</si>
  <si>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</si>
  <si>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</si>
  <si>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</si>
  <si>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</si>
  <si>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</si>
  <si>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</si>
  <si>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</si>
  <si>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</si>
  <si>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</si>
  <si>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</si>
  <si>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</si>
  <si>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</si>
  <si>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</si>
  <si>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</si>
  <si>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</si>
  <si>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</si>
  <si>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</si>
  <si>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</si>
  <si>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</si>
  <si>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</si>
  <si>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</si>
  <si>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</si>
  <si>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</si>
  <si>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</si>
  <si>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</si>
  <si>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</si>
  <si>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</si>
  <si>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</si>
  <si>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</si>
  <si>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</si>
  <si>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</si>
  <si>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</si>
  <si>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</si>
  <si>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</si>
  <si>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</si>
  <si>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</si>
  <si>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</si>
  <si>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</si>
  <si>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</si>
  <si>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</si>
  <si>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</si>
  <si>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</si>
  <si>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</si>
  <si>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</si>
  <si>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</si>
  <si>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</si>
  <si>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</si>
  <si>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</si>
  <si>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</si>
  <si>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</si>
  <si>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</si>
  <si>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</si>
  <si>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</si>
  <si>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</si>
  <si>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</si>
  <si>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</si>
  <si>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</si>
  <si>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</si>
  <si>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</si>
  <si>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</si>
  <si>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</si>
  <si>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</si>
  <si>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</si>
  <si>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</si>
  <si>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</si>
  <si>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</si>
  <si>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</si>
  <si>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</si>
  <si>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</si>
  <si>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</si>
  <si>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</si>
  <si>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</si>
  <si>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</si>
  <si>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</si>
  <si>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</si>
  <si>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</si>
  <si>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</si>
  <si>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</si>
  <si>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</si>
  <si>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</si>
  <si>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</si>
  <si>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</si>
  <si>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</si>
  <si>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</si>
  <si>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</si>
  <si>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</si>
  <si>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</si>
  <si>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</si>
  <si>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</si>
  <si>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</si>
  <si>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</si>
  <si>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</si>
  <si>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</si>
  <si>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</si>
  <si>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</si>
  <si>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</si>
  <si>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</si>
  <si>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</si>
  <si>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</si>
  <si>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</si>
  <si>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</si>
  <si>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</si>
  <si>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</si>
  <si>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</si>
  <si>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</si>
  <si>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</si>
  <si>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</si>
  <si>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</si>
  <si>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</si>
  <si>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</si>
  <si>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</si>
  <si>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</si>
  <si>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</si>
  <si>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</si>
  <si>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</si>
  <si>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</si>
  <si>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</si>
  <si>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</si>
  <si>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</si>
  <si>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</si>
  <si>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</si>
  <si>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</si>
  <si>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</si>
  <si>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</si>
  <si>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</si>
  <si>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</si>
  <si>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</si>
  <si>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</si>
  <si>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</si>
  <si>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</si>
  <si>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</si>
  <si>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</si>
  <si>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</si>
  <si>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</si>
  <si>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</si>
  <si>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</si>
  <si>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</si>
  <si>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</si>
  <si>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</si>
  <si>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</si>
  <si>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</si>
  <si>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</si>
  <si>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</si>
  <si>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</si>
  <si>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</si>
  <si>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</si>
  <si>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</si>
  <si>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</si>
  <si>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</si>
  <si>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</si>
  <si>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</si>
  <si>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</si>
  <si>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</si>
  <si>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</si>
  <si>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</si>
  <si>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</si>
  <si>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</si>
  <si>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</si>
  <si>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</si>
  <si>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</si>
  <si>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</si>
  <si>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</si>
  <si>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</si>
  <si>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</si>
  <si>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</si>
  <si>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</si>
  <si>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</si>
  <si>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</si>
  <si>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</si>
  <si>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</si>
  <si>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</si>
  <si>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</si>
  <si>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</si>
  <si>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</si>
  <si>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</si>
  <si>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</si>
  <si>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</si>
  <si>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</si>
  <si>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</si>
  <si>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</si>
  <si>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</si>
  <si>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</si>
  <si>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</si>
  <si>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</si>
  <si>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</si>
  <si>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</si>
  <si>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</si>
  <si>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</si>
  <si>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</si>
  <si>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</si>
  <si>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</si>
  <si>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</si>
  <si>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</si>
  <si>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</si>
  <si>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</si>
  <si>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</si>
  <si>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</si>
  <si>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</si>
  <si>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</si>
  <si>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</si>
  <si>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</si>
  <si>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</si>
  <si>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</si>
  <si>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</si>
  <si>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</si>
  <si>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</si>
  <si>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</si>
  <si>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</si>
  <si>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</si>
  <si>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</si>
  <si>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</si>
  <si>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</si>
  <si>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</si>
  <si>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</si>
  <si>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</si>
  <si>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</si>
  <si>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</si>
  <si>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</si>
  <si>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</si>
  <si>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</si>
  <si>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</si>
  <si>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</si>
  <si>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</si>
  <si>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</si>
  <si>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</si>
  <si>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</si>
  <si>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</si>
  <si>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</si>
  <si>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</si>
  <si>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</si>
  <si>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</si>
  <si>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</si>
  <si>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</si>
  <si>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</si>
  <si>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</si>
  <si>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</si>
  <si>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</si>
  <si>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</si>
  <si>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</si>
  <si>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</si>
  <si>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</si>
  <si>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</si>
  <si>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</si>
  <si>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</si>
  <si>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</si>
  <si>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</si>
  <si>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</si>
  <si>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</si>
  <si>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</si>
  <si>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</si>
  <si>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</si>
  <si>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</si>
  <si>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</si>
  <si>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</si>
  <si>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</si>
  <si>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</si>
  <si>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</si>
  <si>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</si>
  <si>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</si>
  <si>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</si>
  <si>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</si>
  <si>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</si>
  <si>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</si>
  <si>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</si>
  <si>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</si>
  <si>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</si>
  <si>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</si>
  <si>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</si>
  <si>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</si>
  <si>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</si>
  <si>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</si>
  <si>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</si>
  <si>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</si>
  <si>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</si>
  <si>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</si>
  <si>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</si>
  <si>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</si>
  <si>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</si>
  <si>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</si>
  <si>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</si>
  <si>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</si>
  <si>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</si>
  <si>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</si>
  <si>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</si>
  <si>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</si>
  <si>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</si>
  <si>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</si>
  <si>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</si>
  <si>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</si>
  <si>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</si>
  <si>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</si>
  <si>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</si>
  <si>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</si>
  <si>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</si>
  <si>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</si>
  <si>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</si>
  <si>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</si>
  <si>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</si>
  <si>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</si>
  <si>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</si>
  <si>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</si>
  <si>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</si>
  <si>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</si>
  <si>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</si>
  <si>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</si>
  <si>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</si>
  <si>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</si>
  <si>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</si>
  <si>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</si>
  <si>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</si>
  <si>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</si>
  <si>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</si>
  <si>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</si>
  <si>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</si>
  <si>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</si>
  <si>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</si>
  <si>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</si>
  <si>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</si>
  <si>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</si>
  <si>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</si>
  <si>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</si>
  <si>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</si>
  <si>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</si>
  <si>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</si>
  <si>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</si>
  <si>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</si>
  <si>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</si>
  <si>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</si>
  <si>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</si>
  <si>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</si>
  <si>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</si>
  <si>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</si>
  <si>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</si>
  <si>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</si>
  <si>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</si>
  <si>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</si>
  <si>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</si>
  <si>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</si>
  <si>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</si>
  <si>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</si>
  <si>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</si>
  <si>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</si>
  <si>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</si>
  <si>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</si>
  <si>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</si>
  <si>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</si>
  <si>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</si>
  <si>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</si>
  <si>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</si>
  <si>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</si>
  <si>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</si>
  <si>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</si>
  <si>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</si>
  <si>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</si>
  <si>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</si>
  <si>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</si>
  <si>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</si>
  <si>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</si>
  <si>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</si>
  <si>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</si>
  <si>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</si>
  <si>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</si>
  <si>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</si>
  <si>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</si>
  <si>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</si>
  <si>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</si>
  <si>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</si>
  <si>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</si>
  <si>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</si>
  <si>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</si>
  <si>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</si>
  <si>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</si>
  <si>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</si>
  <si>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</si>
  <si>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</si>
  <si>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</si>
  <si>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</si>
  <si>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</si>
  <si>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</si>
  <si>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</si>
  <si>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</si>
  <si>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</si>
  <si>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</si>
  <si>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</si>
  <si>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</si>
  <si>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</si>
  <si>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</si>
  <si>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</si>
  <si>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</si>
  <si>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</si>
  <si>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</si>
  <si>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</si>
  <si>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</si>
  <si>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</si>
  <si>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</si>
  <si>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</si>
  <si>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</si>
  <si>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</si>
  <si>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</si>
  <si>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</si>
  <si>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</si>
  <si>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</si>
  <si>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</si>
  <si>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</si>
  <si>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</si>
  <si>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</si>
  <si>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</si>
  <si>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</si>
  <si>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</si>
  <si>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</si>
  <si>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</si>
  <si>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</si>
  <si>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</si>
  <si>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</si>
  <si>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</si>
  <si>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</si>
  <si>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</si>
  <si>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</si>
  <si>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</si>
  <si>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</si>
  <si>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</si>
  <si>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</si>
  <si>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</si>
  <si>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</si>
  <si>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</si>
  <si>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</si>
  <si>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</si>
  <si>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</si>
  <si>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</si>
  <si>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</si>
  <si>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</si>
  <si>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</si>
  <si>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</si>
  <si>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</si>
  <si>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</si>
  <si>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</si>
  <si>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</si>
  <si>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</si>
  <si>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</si>
  <si>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</si>
  <si>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</si>
  <si>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</si>
  <si>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</si>
  <si>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</si>
  <si>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</si>
  <si>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</si>
  <si>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</si>
  <si>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</si>
  <si>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</si>
  <si>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</si>
  <si>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</si>
  <si>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</si>
  <si>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</si>
  <si>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</si>
  <si>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</si>
  <si>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</si>
  <si>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</si>
  <si>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</si>
  <si>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</si>
  <si>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</si>
  <si>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</si>
  <si>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</si>
  <si>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</si>
  <si>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</si>
  <si>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</si>
  <si>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</si>
  <si>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</si>
  <si>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</si>
  <si>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</si>
  <si>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</si>
  <si>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</si>
  <si>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</si>
  <si>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</si>
  <si>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</si>
  <si>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</si>
  <si>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</si>
  <si>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</si>
  <si>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</si>
  <si>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</si>
  <si>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</si>
  <si>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</si>
  <si>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</si>
  <si>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</si>
  <si>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</si>
  <si>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</si>
  <si>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</si>
  <si>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</si>
  <si>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</si>
  <si>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</si>
  <si>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</si>
  <si>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</si>
  <si>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</si>
  <si>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</si>
  <si>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</si>
  <si>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</si>
  <si>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</si>
  <si>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</si>
  <si>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</si>
  <si>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</si>
  <si>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</si>
  <si>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</si>
  <si>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</si>
  <si>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</si>
  <si>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</si>
  <si>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</si>
  <si>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</si>
  <si>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</si>
  <si>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</si>
  <si>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</si>
  <si>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</si>
  <si>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</si>
  <si>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</si>
  <si>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</si>
  <si>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</si>
  <si>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</si>
  <si>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</si>
  <si>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</si>
  <si>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</si>
  <si>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</si>
  <si>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</si>
  <si>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</si>
  <si>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</si>
  <si>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</si>
  <si>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</si>
  <si>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</si>
  <si>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</si>
  <si>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</si>
  <si>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</si>
  <si>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</si>
  <si>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</si>
  <si>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</si>
  <si>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</si>
  <si>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</si>
  <si>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</si>
  <si>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</si>
  <si>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</si>
  <si>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</si>
  <si>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</si>
  <si>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</si>
  <si>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</si>
  <si>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</si>
  <si>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</si>
  <si>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</si>
  <si>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</si>
  <si>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</si>
  <si>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</si>
  <si>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</si>
  <si>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</si>
  <si>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</si>
  <si>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</si>
  <si>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</si>
  <si>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</si>
  <si>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</si>
  <si>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</si>
  <si>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</si>
  <si>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</si>
  <si>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</si>
  <si>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</si>
  <si>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</si>
  <si>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</si>
  <si>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</si>
  <si>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</si>
  <si>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</si>
  <si>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</si>
  <si>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</si>
  <si>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</si>
  <si>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</si>
  <si>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</si>
  <si>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</si>
  <si>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</si>
  <si>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</si>
  <si>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</si>
  <si>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</si>
  <si>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</si>
  <si>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</si>
  <si>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</si>
  <si>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</si>
  <si>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</si>
  <si>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</si>
  <si>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</si>
  <si>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</si>
  <si>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</si>
  <si>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</si>
  <si>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</si>
  <si>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</si>
  <si>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</si>
  <si>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</si>
  <si>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</si>
  <si>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</si>
  <si>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</si>
  <si>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</si>
  <si>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</si>
  <si>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</si>
  <si>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</si>
  <si>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</si>
  <si>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</si>
  <si>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</si>
  <si>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</si>
  <si>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</si>
  <si>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</si>
  <si>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</si>
  <si>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</si>
  <si>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</si>
  <si>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</si>
  <si>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</si>
  <si>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</si>
  <si>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</si>
  <si>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</si>
  <si>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</si>
  <si>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</si>
  <si>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</si>
  <si>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</si>
  <si>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</si>
  <si>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</si>
  <si>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</si>
  <si>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</si>
  <si>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</si>
  <si>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</si>
  <si>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</si>
  <si>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</si>
  <si>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</si>
  <si>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</si>
  <si>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</si>
  <si>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</si>
  <si>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</si>
  <si>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</si>
  <si>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</si>
  <si>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</si>
  <si>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</si>
  <si>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</si>
  <si>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</si>
  <si>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</si>
  <si>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</si>
  <si>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</si>
  <si>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</si>
  <si>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</si>
  <si>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</si>
  <si>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</si>
  <si>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</si>
  <si>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</si>
  <si>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</si>
  <si>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</si>
  <si>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</si>
  <si>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</si>
  <si>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</si>
  <si>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</si>
  <si>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</si>
  <si>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</si>
  <si>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</si>
  <si>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</si>
  <si>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</si>
  <si>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</si>
  <si>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</si>
  <si>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</si>
  <si>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</si>
  <si>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</si>
  <si>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</si>
  <si>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</si>
  <si>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</si>
  <si>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</si>
  <si>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</si>
  <si>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</si>
  <si>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</si>
  <si>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</si>
  <si>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</si>
  <si>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</si>
  <si>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</si>
  <si>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</si>
  <si>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</si>
  <si>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</si>
  <si>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</si>
  <si>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</si>
  <si>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</si>
  <si>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</si>
  <si>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</si>
  <si>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</si>
  <si>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</si>
  <si>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</si>
  <si>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</si>
  <si>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</si>
  <si>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</si>
  <si>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</si>
  <si>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</si>
  <si>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</si>
  <si>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</si>
  <si>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</si>
  <si>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</si>
  <si>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</si>
  <si>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</si>
  <si>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</si>
  <si>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</si>
  <si>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</si>
  <si>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</si>
  <si>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</si>
  <si>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</si>
  <si>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</si>
  <si>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</si>
  <si>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</si>
  <si>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</si>
  <si>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</si>
  <si>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</si>
  <si>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</si>
  <si>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</si>
  <si>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</si>
  <si>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</si>
  <si>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</si>
  <si>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</si>
  <si>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</si>
  <si>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</si>
  <si>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</si>
  <si>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</si>
  <si>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</si>
  <si>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</si>
  <si>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</si>
  <si>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</si>
  <si>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</si>
  <si>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</si>
  <si>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</si>
  <si>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</si>
  <si>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</si>
  <si>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</si>
  <si>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</si>
  <si>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</si>
  <si>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</si>
  <si>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</si>
  <si>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</si>
  <si>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</si>
  <si>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</si>
  <si>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</si>
  <si>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</si>
  <si>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</si>
  <si>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</si>
  <si>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</si>
  <si>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</si>
  <si>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</si>
  <si>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</si>
  <si>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</si>
  <si>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</si>
  <si>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</si>
  <si>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</si>
  <si>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</si>
  <si>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</si>
  <si>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</si>
  <si>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</si>
  <si>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</si>
  <si>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</si>
  <si>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</si>
  <si>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</si>
  <si>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</si>
  <si>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</si>
  <si>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</si>
  <si>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</si>
  <si>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</si>
  <si>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</si>
  <si>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</si>
  <si>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</si>
  <si>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</si>
  <si>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</si>
  <si>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</si>
  <si>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</si>
  <si>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</si>
  <si>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</si>
  <si>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</si>
  <si>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</si>
  <si>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</si>
  <si>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</si>
  <si>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</si>
  <si>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</si>
  <si>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</si>
  <si>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</si>
  <si>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</si>
  <si>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</si>
  <si>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</si>
  <si>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</si>
  <si>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</si>
  <si>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</si>
  <si>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</si>
  <si>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</si>
  <si>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</si>
  <si>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</si>
  <si>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</si>
  <si>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</si>
  <si>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</si>
  <si>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</si>
  <si>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</si>
  <si>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</si>
  <si>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</si>
  <si>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</si>
  <si>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</si>
  <si>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</si>
  <si>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</si>
  <si>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</si>
  <si>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</si>
  <si>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</si>
  <si>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</si>
  <si>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</si>
  <si>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</si>
  <si>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</si>
  <si>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</si>
  <si>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</si>
  <si>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</si>
  <si>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</si>
  <si>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</si>
  <si>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</si>
  <si>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</si>
  <si>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</si>
  <si>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</si>
  <si>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</si>
  <si>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</si>
  <si>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</si>
  <si>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</si>
  <si>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</si>
  <si>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</si>
  <si>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</si>
  <si>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</si>
  <si>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</si>
  <si>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</si>
  <si>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</si>
  <si>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</si>
  <si>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</si>
  <si>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</si>
  <si>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</si>
  <si>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</si>
  <si>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</si>
  <si>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</si>
  <si>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</si>
  <si>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</si>
  <si>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</si>
  <si>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</si>
  <si>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</si>
  <si>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</si>
  <si>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</si>
  <si>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</si>
  <si>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</si>
  <si>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</si>
  <si>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</si>
  <si>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</si>
  <si>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</si>
  <si>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</si>
  <si>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</si>
  <si>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</si>
  <si>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</si>
  <si>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</si>
  <si>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</si>
  <si>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</si>
  <si>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</si>
  <si>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</si>
  <si>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</si>
  <si>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</si>
  <si>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</si>
  <si>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</si>
  <si>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</si>
  <si>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</si>
  <si>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</si>
  <si>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</si>
  <si>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</si>
  <si>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</si>
  <si>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</si>
  <si>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</si>
  <si>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</si>
  <si>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</si>
  <si>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</si>
  <si>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</si>
  <si>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</si>
  <si>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</si>
  <si>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</si>
  <si>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</si>
  <si>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</si>
  <si>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</si>
  <si>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</si>
  <si>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</si>
  <si>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</si>
  <si>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</si>
  <si>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</si>
  <si>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</si>
  <si>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</si>
  <si>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</si>
  <si>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</si>
  <si>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</si>
  <si>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</si>
  <si>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</si>
  <si>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</si>
  <si>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</si>
  <si>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</si>
  <si>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</si>
  <si>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</si>
  <si>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</si>
  <si>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</si>
  <si>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</si>
  <si>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</si>
  <si>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</si>
  <si>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</si>
  <si>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</si>
  <si>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</si>
  <si>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</si>
  <si>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</si>
  <si>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</si>
  <si>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</si>
  <si>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</si>
  <si>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</si>
  <si>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</si>
  <si>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</si>
  <si>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</si>
  <si>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</si>
  <si>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</si>
  <si>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</si>
  <si>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</si>
  <si>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</si>
  <si>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</si>
  <si>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</si>
  <si>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</si>
  <si>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</si>
  <si>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</si>
  <si>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</si>
  <si>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</si>
  <si>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</si>
  <si>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</si>
  <si>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</si>
  <si>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</si>
  <si>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</si>
  <si>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</si>
  <si>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</si>
  <si>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</si>
  <si>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</si>
  <si>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</si>
  <si>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</si>
  <si>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</si>
  <si>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</si>
  <si>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</si>
  <si>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</si>
  <si>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</si>
  <si>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</si>
  <si>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</si>
  <si>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</si>
  <si>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</si>
  <si>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</si>
  <si>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</si>
  <si>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</si>
  <si>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</si>
  <si>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</si>
  <si>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</si>
  <si>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</si>
  <si>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</si>
  <si>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</si>
  <si>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</si>
  <si>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</si>
  <si>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</si>
  <si>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</si>
  <si>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</si>
  <si>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</si>
  <si>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</si>
  <si>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</si>
  <si>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</si>
  <si>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</si>
  <si>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</si>
  <si>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</si>
  <si>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</si>
  <si>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</si>
  <si>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</si>
  <si>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</si>
  <si>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</si>
  <si>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</si>
  <si>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</si>
  <si>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</si>
  <si>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</si>
  <si>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</si>
  <si>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</si>
  <si>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</si>
  <si>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</si>
  <si>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</si>
  <si>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</si>
  <si>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</si>
  <si>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</si>
  <si>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</si>
  <si>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</si>
  <si>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</si>
  <si>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</si>
  <si>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</si>
  <si>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</si>
  <si>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</si>
  <si>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</si>
  <si>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</si>
  <si>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</si>
  <si>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</si>
  <si>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</si>
  <si>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</si>
  <si>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</si>
  <si>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</si>
  <si>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</si>
  <si>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</si>
  <si>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</si>
  <si>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</si>
  <si>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</si>
  <si>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</si>
  <si>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</si>
  <si>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</si>
  <si>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</si>
  <si>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</si>
  <si>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</si>
  <si>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</si>
  <si>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</si>
  <si>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</si>
  <si>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</si>
  <si>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</si>
  <si>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</si>
  <si>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</si>
  <si>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</si>
  <si>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</si>
  <si>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</si>
  <si>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</si>
  <si>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</si>
  <si>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</si>
  <si>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</si>
  <si>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</si>
  <si>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</si>
  <si>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</si>
  <si>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</si>
  <si>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</si>
  <si>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</si>
  <si>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</si>
  <si>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</si>
  <si>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</si>
  <si>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</si>
  <si>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</si>
  <si>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</si>
  <si>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</si>
  <si>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</si>
  <si>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</si>
  <si>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</si>
  <si>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</si>
  <si>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</si>
  <si>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</si>
  <si>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</si>
  <si>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</si>
  <si>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</si>
  <si>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</si>
  <si>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</si>
  <si>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</si>
  <si>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</si>
  <si>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</si>
  <si>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</si>
  <si>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</si>
  <si>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</si>
  <si>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</si>
  <si>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</si>
  <si>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</si>
  <si>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</si>
  <si>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</si>
  <si>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</si>
  <si>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</si>
  <si>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</si>
  <si>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</si>
  <si>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</si>
  <si>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</si>
  <si>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</si>
  <si>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</si>
  <si>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</si>
  <si>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</si>
  <si>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</si>
  <si>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</si>
  <si>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</si>
  <si>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</si>
  <si>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</si>
  <si>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</si>
  <si>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</si>
  <si>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</si>
  <si>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</si>
  <si>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</si>
  <si>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</si>
  <si>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</si>
  <si>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</si>
  <si>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</si>
  <si>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</si>
  <si>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</si>
  <si>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</si>
  <si>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</si>
  <si>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</si>
  <si>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</si>
  <si>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</si>
  <si>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</si>
  <si>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</si>
  <si>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</si>
  <si>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</si>
  <si>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</si>
  <si>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</si>
  <si>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</si>
  <si>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</si>
  <si>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</si>
  <si>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</si>
  <si>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</si>
  <si>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</si>
  <si>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</si>
  <si>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</si>
  <si>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</si>
  <si>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</si>
  <si>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</si>
  <si>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</si>
  <si>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</si>
  <si>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</si>
  <si>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</si>
  <si>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</si>
  <si>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</si>
  <si>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</si>
  <si>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</si>
  <si>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</si>
  <si>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</si>
  <si>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</si>
  <si>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</si>
  <si>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</si>
  <si>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</si>
  <si>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</si>
  <si>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</si>
  <si>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</si>
  <si>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</si>
  <si>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</si>
  <si>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</si>
  <si>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</si>
  <si>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</si>
  <si>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</si>
  <si>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</si>
  <si>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</si>
  <si>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</si>
  <si>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</si>
  <si>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</si>
  <si>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</si>
  <si>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</si>
  <si>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</si>
  <si>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</si>
  <si>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</si>
  <si>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</si>
  <si>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</si>
  <si>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</si>
  <si>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</si>
  <si>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</si>
  <si>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</si>
  <si>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</si>
  <si>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</si>
  <si>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</si>
  <si>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</si>
  <si>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</si>
  <si>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</si>
  <si>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</si>
  <si>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</si>
  <si>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</si>
  <si>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</si>
  <si>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</si>
  <si>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</si>
  <si>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</si>
  <si>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</si>
  <si>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</si>
  <si>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</si>
  <si>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</si>
  <si>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</si>
  <si>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</si>
  <si>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</si>
  <si>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</si>
  <si>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</si>
  <si>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</si>
  <si>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</si>
  <si>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</si>
  <si>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</si>
  <si>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</si>
  <si>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</si>
  <si>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</si>
  <si>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</si>
  <si>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</si>
  <si>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</si>
  <si>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</si>
  <si>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</si>
  <si>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</si>
  <si>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</si>
  <si>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</si>
  <si>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</si>
  <si>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</si>
  <si>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</si>
  <si>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</si>
  <si>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</si>
  <si>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</si>
  <si>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</si>
  <si>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</si>
  <si>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</si>
  <si>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</si>
  <si>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</si>
  <si>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</si>
  <si>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</si>
  <si>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</si>
  <si>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</si>
  <si>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</si>
  <si>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</si>
  <si>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</si>
  <si>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</si>
  <si>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</si>
  <si>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</si>
  <si>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</si>
  <si>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</si>
  <si>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</si>
  <si>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</si>
  <si>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</si>
  <si>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</si>
  <si>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</si>
  <si>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</si>
  <si>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</si>
  <si>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</si>
  <si>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</si>
  <si>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</si>
  <si>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</si>
  <si>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</si>
  <si>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</si>
  <si>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</si>
  <si>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</si>
  <si>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</si>
  <si>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</si>
  <si>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</si>
  <si>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</si>
  <si>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</si>
  <si>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</si>
  <si>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</si>
  <si>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</si>
  <si>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</si>
  <si>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</si>
  <si>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</si>
  <si>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</si>
  <si>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</si>
  <si>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</si>
  <si>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</si>
  <si>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</si>
  <si>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</si>
  <si>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</si>
  <si>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</si>
  <si>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</si>
  <si>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</si>
  <si>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</si>
  <si>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</si>
  <si>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</si>
  <si>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</si>
  <si>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</si>
  <si>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</si>
  <si>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</si>
  <si>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</si>
  <si>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</si>
  <si>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</si>
  <si>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</si>
  <si>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</si>
  <si>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</si>
  <si>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</si>
  <si>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</si>
  <si>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</si>
  <si>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</si>
  <si>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</si>
  <si>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</si>
  <si>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</si>
  <si>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</si>
  <si>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</si>
  <si>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</si>
  <si>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</si>
  <si>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</si>
  <si>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</si>
  <si>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</si>
  <si>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</si>
  <si>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</si>
  <si>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</si>
  <si>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</si>
  <si>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</si>
  <si>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</si>
  <si>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</si>
  <si>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</si>
  <si>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</si>
  <si>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</si>
  <si>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</si>
  <si>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</si>
  <si>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</si>
  <si>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</si>
  <si>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</si>
  <si>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</si>
  <si>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</si>
  <si>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</si>
  <si>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</si>
  <si>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</si>
  <si>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</si>
  <si>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</si>
  <si>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</si>
  <si>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</si>
  <si>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</si>
  <si>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</si>
  <si>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</si>
  <si>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</si>
  <si>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</si>
  <si>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</si>
  <si>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</si>
  <si>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</si>
  <si>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</si>
  <si>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</si>
  <si>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</si>
  <si>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</si>
  <si>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</si>
  <si>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</si>
  <si>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</si>
  <si>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</si>
  <si>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</si>
  <si>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</si>
  <si>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</si>
  <si>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</si>
  <si>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</si>
  <si>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</si>
  <si>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</si>
  <si>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</si>
  <si>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</si>
  <si>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</si>
  <si>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</si>
  <si>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</si>
  <si>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</si>
  <si>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</si>
  <si>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</si>
  <si>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</si>
  <si>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</si>
  <si>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</si>
  <si>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</si>
  <si>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</si>
  <si>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</si>
  <si>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</si>
  <si>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</si>
  <si>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</si>
  <si>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</si>
  <si>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</si>
  <si>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</si>
  <si>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</si>
  <si>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</si>
  <si>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</si>
  <si>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</si>
  <si>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</si>
  <si>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</si>
  <si>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</si>
  <si>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</si>
  <si>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</si>
  <si>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</si>
  <si>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</si>
  <si>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</si>
  <si>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</si>
  <si>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</si>
  <si>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</si>
  <si>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</si>
  <si>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</si>
  <si>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</si>
  <si>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</si>
  <si>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</si>
  <si>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</si>
  <si>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</si>
  <si>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</si>
  <si>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</si>
  <si>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</si>
  <si>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</si>
  <si>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</si>
  <si>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</si>
  <si>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</si>
  <si>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</si>
  <si>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</si>
  <si>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</si>
  <si>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</si>
  <si>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</si>
  <si>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</si>
  <si>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</si>
  <si>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</si>
  <si>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</si>
  <si>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</si>
  <si>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</si>
  <si>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</si>
  <si>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</si>
  <si>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</si>
  <si>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</si>
  <si>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</si>
  <si>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</si>
  <si>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</si>
  <si>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</si>
  <si>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</si>
  <si>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</si>
  <si>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</si>
  <si>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</si>
  <si>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</si>
  <si>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</si>
  <si>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</si>
  <si>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</si>
  <si>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</si>
  <si>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</si>
  <si>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</si>
  <si>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</si>
  <si>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</si>
  <si>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</si>
  <si>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</si>
  <si>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</si>
  <si>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</si>
  <si>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</si>
  <si>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</si>
  <si>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</si>
  <si>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</si>
  <si>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</si>
  <si>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</si>
  <si>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</si>
  <si>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</si>
  <si>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</si>
  <si>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</si>
  <si>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</si>
  <si>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</si>
  <si>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</si>
  <si>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</si>
  <si>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</si>
  <si>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</si>
  <si>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</si>
  <si>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</si>
  <si>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</si>
  <si>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</si>
  <si>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</si>
  <si>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</si>
  <si>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</si>
  <si>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</si>
  <si>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</si>
  <si>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</si>
  <si>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</si>
  <si>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</si>
  <si>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</si>
  <si>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</si>
  <si>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</si>
  <si>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</si>
  <si>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</si>
  <si>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</si>
  <si>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</si>
  <si>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</si>
  <si>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</si>
  <si>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</si>
  <si>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</si>
  <si>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</si>
  <si>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</si>
  <si>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</si>
  <si>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</si>
  <si>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</si>
  <si>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</si>
  <si>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</si>
  <si>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</si>
  <si>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</si>
  <si>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</si>
  <si>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</si>
  <si>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</si>
  <si>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</si>
  <si>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</si>
  <si>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</si>
  <si>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</si>
  <si>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</si>
  <si>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</si>
  <si>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</si>
  <si>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</si>
  <si>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</si>
  <si>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</si>
  <si>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</si>
  <si>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</si>
  <si>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</si>
  <si>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</si>
  <si>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</si>
  <si>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</si>
  <si>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</si>
  <si>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</si>
  <si>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</si>
  <si>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</si>
  <si>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</si>
  <si>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</si>
  <si>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</si>
  <si>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</si>
  <si>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</si>
  <si>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</si>
  <si>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</si>
  <si>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</si>
  <si>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</si>
  <si>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</si>
  <si>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</si>
  <si>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</si>
  <si>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</si>
  <si>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</si>
  <si>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</si>
  <si>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</si>
  <si>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</si>
  <si>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</si>
  <si>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</si>
  <si>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</si>
  <si>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</si>
  <si>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</si>
  <si>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</si>
  <si>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</si>
  <si>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</si>
  <si>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</si>
  <si>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</si>
  <si>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</si>
  <si>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</si>
  <si>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</si>
  <si>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</si>
  <si>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</si>
  <si>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</si>
  <si>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</si>
  <si>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</si>
  <si>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</si>
  <si>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</si>
  <si>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</si>
  <si>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</si>
  <si>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</si>
  <si>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</si>
  <si>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</si>
  <si>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</si>
  <si>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</si>
  <si>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</si>
  <si>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</si>
  <si>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</si>
  <si>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</si>
  <si>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</si>
  <si>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</si>
  <si>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</si>
  <si>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</si>
  <si>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</si>
  <si>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</si>
  <si>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</si>
  <si>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</si>
  <si>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</si>
  <si>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</si>
  <si>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</si>
  <si>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</si>
  <si>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</si>
  <si>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</si>
  <si>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</si>
  <si>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</si>
  <si>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</si>
  <si>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</si>
  <si>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</si>
  <si>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</si>
  <si>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</si>
  <si>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</si>
  <si>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</si>
  <si>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</si>
  <si>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</si>
  <si>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</si>
  <si>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</si>
  <si>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</si>
  <si>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</si>
  <si>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</si>
  <si>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</si>
  <si>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</si>
  <si>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</si>
  <si>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</si>
  <si>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</si>
  <si>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</si>
  <si>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</si>
  <si>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</si>
  <si>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</si>
  <si>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</si>
  <si>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</si>
  <si>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</si>
  <si>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</si>
  <si>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</si>
  <si>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</si>
  <si>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</si>
  <si>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</si>
  <si>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</si>
  <si>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</si>
  <si>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</si>
  <si>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</si>
  <si>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</si>
  <si>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</si>
  <si>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</si>
  <si>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</si>
  <si>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</si>
  <si>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</si>
  <si>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</si>
  <si>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</si>
  <si>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</si>
  <si>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</si>
  <si>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</si>
  <si>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</si>
  <si>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</si>
  <si>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</si>
  <si>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</si>
  <si>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</si>
  <si>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</si>
  <si>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</si>
  <si>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</si>
  <si>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</si>
  <si>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</si>
  <si>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</si>
  <si>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</si>
  <si>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</si>
  <si>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</si>
  <si>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</si>
  <si>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</si>
  <si>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</si>
  <si>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</si>
  <si>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</si>
  <si>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</si>
  <si>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</si>
  <si>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</si>
  <si>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</si>
  <si>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</si>
  <si>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</si>
  <si>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</si>
  <si>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</si>
  <si>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</si>
  <si>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</si>
  <si>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</si>
  <si>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</si>
  <si>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</si>
  <si>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</si>
  <si>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</si>
  <si>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</si>
  <si>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</si>
  <si>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</si>
  <si>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</si>
  <si>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</si>
  <si>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</si>
  <si>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</si>
  <si>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</si>
  <si>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</si>
  <si>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</si>
  <si>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</si>
  <si>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</si>
  <si>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</si>
  <si>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</si>
  <si>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</si>
  <si>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</si>
  <si>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</si>
  <si>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</si>
  <si>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</si>
  <si>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</si>
  <si>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</si>
  <si>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</si>
  <si>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</si>
  <si>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</si>
  <si>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</si>
  <si>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</si>
  <si>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</si>
  <si>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</si>
  <si>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</si>
  <si>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</si>
  <si>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</si>
  <si>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</si>
  <si>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</si>
  <si>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</si>
  <si>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</si>
  <si>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</si>
  <si>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</si>
  <si>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</si>
  <si>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</si>
  <si>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</si>
  <si>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</si>
  <si>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</si>
  <si>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</si>
  <si>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</si>
  <si>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</si>
  <si>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</si>
  <si>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</si>
  <si>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</si>
  <si>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</si>
  <si>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</si>
  <si>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</si>
  <si>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</si>
  <si>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</si>
  <si>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</si>
  <si>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</si>
  <si>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</si>
  <si>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</si>
  <si>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</si>
  <si>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</si>
  <si>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</si>
  <si>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</si>
  <si>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</si>
  <si>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</si>
  <si>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</si>
  <si>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</si>
  <si>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</si>
  <si>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</si>
  <si>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</si>
  <si>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</si>
  <si>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</si>
  <si>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</si>
  <si>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</si>
  <si>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</si>
  <si>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</si>
  <si>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</si>
  <si>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</si>
  <si>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</si>
  <si>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</si>
  <si>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</si>
  <si>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</si>
  <si>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</si>
  <si>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</si>
  <si>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</si>
  <si>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</si>
  <si>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</si>
  <si>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</si>
  <si>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</si>
  <si>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</si>
  <si>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</si>
  <si>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</si>
  <si>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</si>
  <si>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</si>
  <si>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</si>
  <si>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</si>
  <si>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</si>
  <si>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</si>
  <si>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</si>
  <si>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</si>
  <si>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</si>
  <si>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</si>
  <si>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</si>
  <si>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</si>
  <si>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</si>
  <si>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</si>
  <si>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</si>
  <si>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</si>
  <si>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</si>
  <si>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</si>
  <si>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</si>
  <si>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</si>
  <si>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</si>
  <si>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</si>
  <si>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</si>
  <si>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</si>
  <si>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</si>
  <si>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</si>
  <si>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</si>
  <si>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</si>
  <si>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</si>
  <si>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</si>
  <si>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</si>
  <si>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</si>
  <si>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</si>
  <si>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</si>
  <si>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</si>
  <si>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</si>
  <si>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</si>
  <si>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</si>
  <si>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</si>
  <si>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</si>
  <si>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</si>
  <si>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</si>
  <si>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</si>
  <si>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</si>
  <si>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</si>
  <si>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</si>
  <si>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</si>
  <si>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</si>
  <si>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</si>
  <si>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</si>
  <si>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</si>
  <si>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</si>
  <si>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</si>
  <si>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</si>
  <si>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</si>
  <si>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</si>
  <si>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</si>
  <si>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</si>
  <si>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</si>
  <si>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</si>
  <si>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</si>
  <si>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</si>
  <si>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</si>
  <si>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</si>
  <si>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</si>
  <si>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</si>
  <si>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</si>
  <si>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</si>
  <si>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</si>
  <si>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</si>
  <si>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</si>
  <si>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</si>
  <si>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</si>
  <si>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</si>
  <si>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</si>
  <si>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</si>
  <si>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</si>
  <si>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</si>
  <si>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</si>
  <si>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</si>
  <si>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</si>
  <si>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</si>
  <si>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</si>
  <si>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</si>
  <si>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</si>
  <si>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</si>
  <si>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</si>
  <si>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</si>
  <si>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</si>
  <si>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</si>
  <si>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</si>
  <si>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</si>
  <si>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</si>
  <si>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</si>
  <si>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</si>
  <si>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</si>
  <si>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</si>
  <si>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</si>
  <si>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</si>
  <si>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</si>
  <si>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</si>
  <si>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</si>
  <si>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</si>
  <si>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</si>
  <si>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</si>
  <si>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</si>
  <si>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</si>
  <si>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</si>
  <si>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</si>
  <si>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</si>
  <si>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</si>
  <si>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</si>
  <si>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</si>
  <si>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</si>
  <si>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</si>
  <si>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</si>
  <si>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</si>
  <si>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</si>
  <si>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</si>
  <si>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</si>
  <si>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</si>
  <si>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</si>
  <si>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</si>
  <si>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</si>
  <si>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</si>
  <si>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</si>
  <si>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</si>
  <si>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</si>
  <si>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</si>
  <si>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</si>
  <si>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</si>
  <si>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</si>
  <si>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</si>
  <si>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</si>
  <si>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</si>
  <si>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</si>
  <si>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</si>
  <si>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</si>
  <si>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</si>
  <si>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</si>
  <si>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</si>
  <si>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</si>
  <si>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</si>
  <si>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</si>
  <si>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</si>
  <si>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</si>
  <si>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</si>
  <si>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</si>
  <si>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</si>
  <si>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</si>
  <si>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</si>
  <si>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</si>
  <si>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</si>
  <si>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</si>
  <si>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</si>
  <si>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</si>
  <si>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</si>
  <si>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</si>
  <si>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</si>
  <si>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</si>
  <si>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</si>
  <si>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</si>
  <si>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</si>
  <si>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</si>
  <si>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</si>
  <si>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</si>
  <si>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</si>
  <si>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</si>
  <si>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</si>
  <si>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</si>
  <si>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</si>
  <si>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</si>
  <si>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</si>
  <si>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</si>
  <si>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</si>
  <si>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</si>
  <si>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</si>
  <si>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</si>
  <si>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</si>
  <si>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</si>
  <si>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</si>
  <si>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</si>
  <si>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</si>
  <si>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</si>
  <si>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</si>
  <si>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</si>
  <si>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</si>
  <si>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</si>
  <si>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</si>
  <si>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</si>
  <si>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</si>
  <si>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</si>
  <si>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</si>
  <si>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</si>
  <si>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</si>
  <si>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</si>
  <si>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</si>
  <si>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</si>
  <si>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</si>
  <si>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</si>
  <si>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</si>
  <si>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</si>
  <si>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</si>
  <si>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</si>
  <si>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</si>
  <si>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</si>
  <si>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</si>
  <si>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</si>
  <si>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</si>
  <si>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</si>
  <si>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</si>
  <si>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</si>
  <si>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</si>
  <si>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</si>
  <si>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</si>
  <si>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</si>
  <si>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</si>
  <si>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</si>
  <si>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</si>
  <si>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</si>
  <si>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</si>
  <si>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</si>
  <si>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</si>
  <si>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</si>
  <si>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</si>
  <si>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</si>
  <si>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</si>
  <si>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</si>
  <si>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</si>
  <si>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</si>
  <si>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</si>
  <si>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</si>
  <si>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</si>
  <si>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</si>
  <si>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</si>
  <si>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</si>
  <si>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</si>
  <si>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</si>
  <si>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</si>
  <si>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</si>
  <si>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</si>
  <si>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</si>
  <si>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</si>
  <si>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</si>
  <si>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</si>
  <si>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</si>
  <si>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</si>
  <si>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</si>
  <si>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</si>
  <si>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</si>
  <si>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</si>
  <si>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</si>
  <si>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</si>
  <si>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</si>
  <si>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</si>
  <si>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</si>
  <si>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</si>
  <si>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</si>
  <si>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</si>
  <si>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</si>
  <si>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</si>
  <si>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</si>
  <si>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</si>
  <si>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</si>
  <si>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</si>
  <si>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</si>
  <si>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</si>
  <si>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</si>
  <si>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</si>
  <si>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</si>
  <si>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</si>
  <si>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</si>
  <si>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</si>
  <si>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</si>
  <si>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</si>
  <si>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</si>
  <si>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</si>
  <si>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</si>
  <si>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</si>
  <si>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</si>
  <si>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</si>
  <si>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</si>
  <si>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</si>
  <si>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</si>
  <si>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</si>
  <si>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</si>
  <si>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</si>
  <si>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</si>
  <si>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</si>
  <si>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</si>
  <si>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</si>
  <si>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</si>
  <si>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</si>
  <si>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</si>
  <si>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</si>
  <si>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</si>
  <si>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</si>
  <si>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</si>
  <si>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</si>
  <si>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</si>
  <si>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</si>
  <si>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</si>
  <si>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</si>
  <si>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</si>
  <si>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</si>
  <si>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</si>
  <si>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</si>
  <si>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</si>
  <si>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</si>
  <si>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</si>
  <si>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</si>
  <si>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</si>
  <si>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</si>
  <si>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</si>
  <si>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</si>
  <si>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</si>
  <si>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</si>
  <si>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</si>
  <si>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</si>
  <si>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</si>
  <si>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</si>
  <si>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</si>
  <si>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</si>
  <si>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</si>
  <si>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</si>
  <si>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</si>
  <si>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</si>
  <si>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</si>
  <si>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</si>
  <si>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</si>
  <si>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</si>
  <si>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</si>
  <si>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</si>
  <si>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</si>
  <si>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</si>
  <si>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</si>
  <si>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</si>
  <si>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</si>
  <si>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</si>
  <si>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</si>
  <si>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</si>
  <si>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</si>
  <si>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</si>
  <si>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</si>
  <si>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</si>
  <si>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</si>
  <si>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</si>
  <si>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</si>
  <si>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</si>
  <si>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</si>
  <si>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</si>
  <si>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</si>
  <si>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</si>
  <si>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</si>
  <si>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</si>
  <si>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</si>
  <si>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</si>
  <si>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</si>
  <si>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</si>
  <si>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</si>
  <si>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</si>
  <si>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</si>
  <si>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</si>
  <si>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</si>
  <si>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</si>
  <si>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</si>
  <si>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</si>
  <si>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</si>
  <si>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</si>
  <si>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</si>
  <si>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</si>
  <si>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</si>
  <si>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</si>
  <si>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</si>
  <si>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</si>
  <si>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</si>
  <si>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</si>
  <si>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</si>
  <si>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</si>
  <si>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</si>
  <si>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</si>
  <si>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</si>
  <si>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</si>
  <si>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</si>
  <si>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</si>
  <si>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</si>
  <si>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</si>
  <si>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</si>
  <si>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</si>
  <si>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</si>
  <si>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</si>
  <si>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</si>
  <si>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</si>
  <si>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</si>
  <si>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</si>
  <si>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</si>
  <si>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</si>
  <si>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</si>
  <si>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</si>
  <si>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</si>
  <si>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</si>
  <si>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</si>
  <si>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</si>
  <si>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</si>
  <si>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</si>
  <si>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</si>
  <si>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</si>
  <si>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</si>
  <si>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</si>
  <si>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</si>
  <si>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</si>
  <si>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</si>
  <si>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</si>
  <si>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</si>
  <si>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</si>
  <si>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</si>
  <si>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</si>
  <si>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</si>
  <si>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</si>
  <si>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</si>
  <si>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</si>
  <si>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</si>
  <si>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</si>
  <si>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</si>
  <si>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</si>
  <si>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</si>
  <si>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</si>
  <si>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</si>
  <si>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</si>
  <si>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</si>
  <si>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</si>
  <si>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</si>
  <si>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</si>
  <si>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</si>
  <si>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</si>
  <si>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</si>
  <si>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</si>
  <si>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</si>
  <si>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</si>
  <si>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</si>
  <si>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</si>
  <si>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</si>
  <si>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</si>
  <si>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</si>
  <si>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</si>
  <si>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</si>
  <si>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</si>
  <si>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</si>
  <si>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</si>
  <si>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</si>
  <si>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</si>
  <si>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</si>
  <si>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</si>
  <si>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</si>
  <si>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</si>
  <si>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</si>
  <si>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</si>
  <si>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</si>
  <si>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</si>
  <si>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</si>
  <si>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</si>
  <si>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</si>
  <si>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</si>
  <si>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</si>
  <si>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</si>
  <si>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</si>
  <si>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</si>
  <si>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</si>
  <si>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</si>
  <si>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</si>
  <si>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</si>
  <si>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</si>
  <si>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</si>
  <si>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</si>
  <si>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</si>
  <si>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</si>
  <si>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</si>
  <si>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</si>
  <si>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</si>
  <si>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</si>
  <si>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</si>
  <si>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</si>
  <si>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</si>
  <si>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</si>
  <si>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</si>
  <si>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</si>
  <si>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</si>
  <si>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</si>
  <si>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</si>
  <si>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</si>
  <si>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</si>
  <si>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</si>
  <si>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</si>
  <si>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</si>
  <si>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</si>
  <si>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</si>
  <si>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</si>
  <si>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</si>
  <si>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</si>
  <si>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</si>
  <si>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</si>
  <si>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</si>
  <si>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</si>
  <si>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</si>
  <si>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</si>
  <si>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</si>
  <si>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</si>
  <si>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</si>
  <si>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</si>
  <si>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</si>
  <si>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</si>
  <si>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</si>
  <si>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</si>
  <si>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</si>
  <si>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</si>
  <si>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</si>
  <si>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</si>
  <si>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</si>
  <si>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</si>
  <si>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</si>
  <si>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</si>
  <si>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</si>
  <si>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</si>
  <si>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</si>
  <si>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</si>
  <si>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</si>
  <si>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</si>
  <si>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</si>
  <si>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</si>
  <si>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</si>
  <si>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</si>
  <si>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</si>
  <si>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</si>
  <si>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</si>
  <si>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</si>
  <si>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</si>
  <si>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</si>
  <si>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</si>
  <si>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</si>
  <si>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</si>
  <si>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</si>
  <si>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</si>
  <si>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</si>
  <si>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</si>
  <si>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</si>
  <si>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</si>
  <si>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</si>
  <si>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</si>
  <si>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</si>
  <si>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</si>
  <si>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</si>
  <si>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</si>
  <si>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</si>
  <si>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</si>
  <si>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</si>
  <si>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</si>
  <si>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</si>
  <si>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</si>
  <si>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</si>
  <si>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</si>
  <si>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</si>
  <si>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</si>
  <si>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</si>
  <si>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</si>
  <si>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</si>
  <si>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</si>
  <si>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</si>
  <si>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</si>
  <si>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</si>
  <si>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</si>
  <si>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</si>
  <si>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</si>
  <si>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</si>
  <si>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</si>
  <si>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</si>
  <si>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</si>
  <si>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</si>
  <si>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</si>
  <si>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</si>
  <si>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</si>
  <si>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</si>
  <si>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</si>
  <si>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</si>
  <si>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</si>
  <si>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</si>
  <si>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</si>
  <si>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</si>
  <si>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</si>
  <si>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</si>
  <si>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</si>
  <si>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</si>
  <si>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</si>
  <si>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</si>
  <si>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</si>
  <si>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</si>
  <si>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</si>
  <si>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</si>
  <si>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</si>
  <si>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</si>
  <si>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</si>
  <si>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</si>
  <si>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</si>
  <si>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</si>
  <si>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</si>
  <si>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</si>
  <si>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</si>
  <si>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</si>
  <si>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</si>
  <si>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</si>
  <si>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</si>
  <si>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</si>
  <si>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</si>
  <si>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</si>
  <si>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</si>
  <si>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</si>
  <si>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</si>
  <si>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</si>
  <si>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</si>
  <si>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</si>
  <si>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</si>
  <si>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</si>
  <si>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</si>
  <si>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</si>
  <si>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</si>
  <si>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</si>
  <si>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</si>
  <si>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</si>
  <si>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</si>
  <si>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</si>
  <si>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</si>
  <si>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</si>
  <si>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</si>
  <si>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</si>
  <si>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</si>
  <si>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</si>
  <si>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</si>
  <si>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</si>
  <si>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</si>
  <si>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</si>
  <si>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</si>
  <si>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</si>
  <si>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</si>
  <si>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</si>
  <si>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</si>
  <si>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</si>
  <si>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</si>
  <si>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</si>
  <si>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</si>
  <si>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</si>
  <si>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</si>
  <si>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</si>
  <si>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</si>
  <si>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</si>
  <si>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</si>
  <si>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</si>
  <si>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</si>
  <si>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</si>
  <si>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</si>
  <si>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</si>
  <si>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</si>
  <si>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</si>
  <si>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</si>
  <si>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</si>
  <si>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</si>
  <si>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</si>
  <si>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</si>
  <si>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</si>
  <si>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</si>
  <si>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</si>
  <si>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</si>
  <si>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</si>
  <si>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</si>
  <si>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</si>
  <si>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</si>
  <si>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</si>
  <si>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</si>
  <si>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</si>
  <si>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</si>
  <si>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</si>
  <si>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</si>
  <si>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</si>
  <si>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</si>
  <si>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</si>
  <si>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</si>
  <si>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</si>
  <si>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</si>
  <si>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</si>
  <si>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</si>
  <si>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</si>
  <si>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</si>
  <si>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</si>
  <si>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</si>
  <si>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</si>
  <si>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</si>
  <si>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</si>
  <si>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</si>
  <si>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</si>
  <si>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</si>
  <si>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</si>
  <si>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</si>
  <si>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</si>
  <si>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</si>
  <si>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</si>
  <si>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</si>
  <si>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</si>
  <si>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</si>
  <si>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</si>
  <si>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</si>
  <si>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</si>
  <si>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</si>
  <si>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</si>
  <si>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</si>
  <si>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</si>
  <si>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</si>
  <si>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</si>
  <si>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</si>
  <si>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</si>
  <si>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</si>
  <si>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</si>
  <si>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</si>
  <si>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</si>
  <si>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</si>
  <si>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</si>
  <si>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</si>
  <si>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</si>
  <si>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</si>
  <si>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</si>
  <si>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</si>
  <si>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</si>
  <si>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</si>
  <si>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</si>
  <si>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</si>
  <si>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</si>
  <si>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</si>
  <si>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</si>
  <si>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</si>
  <si>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</si>
  <si>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</si>
  <si>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</si>
  <si>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</si>
  <si>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</si>
  <si>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</si>
  <si>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</si>
  <si>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</si>
  <si>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</si>
  <si>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</si>
  <si>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</si>
  <si>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</si>
  <si>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</si>
  <si>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</si>
  <si>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</si>
  <si>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</si>
  <si>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</si>
  <si>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</si>
  <si>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</si>
  <si>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</si>
  <si>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</si>
  <si>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</si>
  <si>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</si>
  <si>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</si>
  <si>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</si>
  <si>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</si>
  <si>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</si>
  <si>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</si>
  <si>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</si>
  <si>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</si>
  <si>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</si>
  <si>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</si>
  <si>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</si>
  <si>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</si>
  <si>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</si>
  <si>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</si>
  <si>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</si>
  <si>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</si>
  <si>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</si>
  <si>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</si>
  <si>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</si>
  <si>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</si>
  <si>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</si>
  <si>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</si>
  <si>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</si>
  <si>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</si>
  <si>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</si>
  <si>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</si>
  <si>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</si>
  <si>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</si>
  <si>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</si>
  <si>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</si>
  <si>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</si>
  <si>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</si>
  <si>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</si>
  <si>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</si>
  <si>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</si>
  <si>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</si>
  <si>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</si>
  <si>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</si>
  <si>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</si>
  <si>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</si>
  <si>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</si>
  <si>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</si>
  <si>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</si>
  <si>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</si>
  <si>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</si>
  <si>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</si>
  <si>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</si>
  <si>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</si>
  <si>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</si>
  <si>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</si>
  <si>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</si>
  <si>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</si>
  <si>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</si>
  <si>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</si>
  <si>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</si>
  <si>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</si>
  <si>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</si>
  <si>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</si>
  <si>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</si>
  <si>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</si>
  <si>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</si>
  <si>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</si>
  <si>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</si>
  <si>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</si>
  <si>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</si>
  <si>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</si>
  <si>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</si>
  <si>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</si>
  <si>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</si>
  <si>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</si>
  <si>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</si>
  <si>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</si>
  <si>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</si>
  <si>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</si>
  <si>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</si>
  <si>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</si>
  <si>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</si>
  <si>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</si>
  <si>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</si>
  <si>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</si>
  <si>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</si>
  <si>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</si>
  <si>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</si>
  <si>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</si>
  <si>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</si>
  <si>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</si>
  <si>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</si>
  <si>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</si>
  <si>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</si>
  <si>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</si>
  <si>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</si>
  <si>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</si>
  <si>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</si>
  <si>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</si>
  <si>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</si>
  <si>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</si>
  <si>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</si>
  <si>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</si>
  <si>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</si>
  <si>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</si>
  <si>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</si>
  <si>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</si>
  <si>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</si>
  <si>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</si>
  <si>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</si>
  <si>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</si>
  <si>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</si>
  <si>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</si>
  <si>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</si>
  <si>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</si>
  <si>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</si>
  <si>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</si>
  <si>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</si>
  <si>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</si>
  <si>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</si>
  <si>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</si>
  <si>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</si>
  <si>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</si>
  <si>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</si>
  <si>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</si>
  <si>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</si>
  <si>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</si>
  <si>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</si>
  <si>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</si>
  <si>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</si>
  <si>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</si>
  <si>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</si>
  <si>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</si>
  <si>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</si>
  <si>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</si>
  <si>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</si>
  <si>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</si>
  <si>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</si>
  <si>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</si>
  <si>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</si>
  <si>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</si>
  <si>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</si>
  <si>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</si>
  <si>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</si>
  <si>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</si>
  <si>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</si>
  <si>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</si>
  <si>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</si>
  <si>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</si>
  <si>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</si>
  <si>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</si>
  <si>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</si>
  <si>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</si>
  <si>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</si>
  <si>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</si>
  <si>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</si>
  <si>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</si>
  <si>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</si>
  <si>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</si>
  <si>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</si>
  <si>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</si>
  <si>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</si>
  <si>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</si>
  <si>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</si>
  <si>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</si>
  <si>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</si>
  <si>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</si>
  <si>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</si>
  <si>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</si>
  <si>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</si>
  <si>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</si>
  <si>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</si>
  <si>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</si>
  <si>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</si>
  <si>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</si>
  <si>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</si>
  <si>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</si>
  <si>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</si>
  <si>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</si>
  <si>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</si>
  <si>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</si>
  <si>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</si>
  <si>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</si>
  <si>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</si>
  <si>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</si>
  <si>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</si>
  <si>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</si>
  <si>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</si>
  <si>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</si>
  <si>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</si>
  <si>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</si>
  <si>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</si>
  <si>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</si>
  <si>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</si>
  <si>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</si>
  <si>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</si>
  <si>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</si>
  <si>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</si>
  <si>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</si>
  <si>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</si>
  <si>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</si>
  <si>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</si>
  <si>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</si>
  <si>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</si>
  <si>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</si>
  <si>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</si>
  <si>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</si>
  <si>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</si>
  <si>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</si>
  <si>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</si>
  <si>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</si>
  <si>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</si>
  <si>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</si>
  <si>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</si>
  <si>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</si>
  <si>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</si>
  <si>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</si>
  <si>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</si>
  <si>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</si>
  <si>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</si>
  <si>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</si>
  <si>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</si>
  <si>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</si>
  <si>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</si>
  <si>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</si>
  <si>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</si>
  <si>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</si>
  <si>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</si>
  <si>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</si>
  <si>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</si>
  <si>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</si>
  <si>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</si>
  <si>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</si>
  <si>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</si>
  <si>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</si>
  <si>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</si>
  <si>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</si>
  <si>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</si>
  <si>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</si>
  <si>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</si>
  <si>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</si>
  <si>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</si>
  <si>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</si>
  <si>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</si>
  <si>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</si>
  <si>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</si>
  <si>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</si>
  <si>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</si>
  <si>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</si>
  <si>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</si>
  <si>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</si>
  <si>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</si>
  <si>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</si>
  <si>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</si>
  <si>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</si>
  <si>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</si>
  <si>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</si>
  <si>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</si>
  <si>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</si>
  <si>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</si>
  <si>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</si>
  <si>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</si>
  <si>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</si>
  <si>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</si>
  <si>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</si>
  <si>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</si>
  <si>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</si>
  <si>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</si>
  <si>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</si>
  <si>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</si>
  <si>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</si>
  <si>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</si>
  <si>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</si>
  <si>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</si>
  <si>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</si>
  <si>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</si>
  <si>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</si>
  <si>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</si>
  <si>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</si>
  <si>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</si>
  <si>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</si>
  <si>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</si>
  <si>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</si>
  <si>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</si>
  <si>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</si>
  <si>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</si>
  <si>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</si>
  <si>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</si>
  <si>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</si>
  <si>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</si>
  <si>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</si>
  <si>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</si>
  <si>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</si>
  <si>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</si>
  <si>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</si>
  <si>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</si>
  <si>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</si>
  <si>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</si>
  <si>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</si>
  <si>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</si>
  <si>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</si>
  <si>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</si>
  <si>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</si>
  <si>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</si>
  <si>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</si>
  <si>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</si>
  <si>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</si>
  <si>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</si>
  <si>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</si>
  <si>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</si>
  <si>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</si>
  <si>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</si>
  <si>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</si>
  <si>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</si>
  <si>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</si>
  <si>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</si>
  <si>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</si>
  <si>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</si>
  <si>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</si>
  <si>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</si>
  <si>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</si>
  <si>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</si>
  <si>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</si>
  <si>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</si>
  <si>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</si>
  <si>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</si>
  <si>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</si>
  <si>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</si>
  <si>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</si>
  <si>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</si>
  <si>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</si>
  <si>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</si>
  <si>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</si>
  <si>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</si>
  <si>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</si>
  <si>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</si>
  <si>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</si>
  <si>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</si>
  <si>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</si>
  <si>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</si>
  <si>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</si>
  <si>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</si>
  <si>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</si>
  <si>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</si>
  <si>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</si>
  <si>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</si>
  <si>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</si>
  <si>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</si>
  <si>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</si>
  <si>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</si>
  <si>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</si>
  <si>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</si>
  <si>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</si>
  <si>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</si>
  <si>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</si>
  <si>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</si>
  <si>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</si>
  <si>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</si>
  <si>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</si>
  <si>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</si>
  <si>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</si>
  <si>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</si>
  <si>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</si>
  <si>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</si>
  <si>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</si>
  <si>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</si>
  <si>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</si>
  <si>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</si>
  <si>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</si>
  <si>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</si>
  <si>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</si>
  <si>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</si>
  <si>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</si>
  <si>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</si>
  <si>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</si>
  <si>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</si>
  <si>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</si>
  <si>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</si>
  <si>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</si>
  <si>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</si>
  <si>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</si>
  <si>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</si>
  <si>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</si>
  <si>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</si>
  <si>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</si>
  <si>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</si>
  <si>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</si>
  <si>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</si>
  <si>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</si>
  <si>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</si>
  <si>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</si>
  <si>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</si>
  <si>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</si>
  <si>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</si>
  <si>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</si>
  <si>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</si>
  <si>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</si>
  <si>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</si>
  <si>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</si>
  <si>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</si>
  <si>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</si>
  <si>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</si>
  <si>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</si>
  <si>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</si>
  <si>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</si>
  <si>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</si>
  <si>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</si>
  <si>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</si>
  <si>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</si>
  <si>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</si>
  <si>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</si>
  <si>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</si>
  <si>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</si>
  <si>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</si>
  <si>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</si>
  <si>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</si>
  <si>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</si>
  <si>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</si>
  <si>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</si>
  <si>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</si>
  <si>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</si>
  <si>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</si>
  <si>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</si>
  <si>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</si>
  <si>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</si>
  <si>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</si>
  <si>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</si>
  <si>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</si>
  <si>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</si>
  <si>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</si>
  <si>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</si>
  <si>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</si>
  <si>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</si>
  <si>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</si>
  <si>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</si>
  <si>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</si>
  <si>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</si>
  <si>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</si>
  <si>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</si>
  <si>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</si>
  <si>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</si>
  <si>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</si>
  <si>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</si>
  <si>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</si>
  <si>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</si>
  <si>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</si>
  <si>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</si>
  <si>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</si>
  <si>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</si>
  <si>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</si>
  <si>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</si>
  <si>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</si>
  <si>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</si>
  <si>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</si>
  <si>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</si>
  <si>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</si>
  <si>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</si>
  <si>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</si>
  <si>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</si>
  <si>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</si>
  <si>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</si>
  <si>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</si>
  <si>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</si>
  <si>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</si>
  <si>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</si>
  <si>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</si>
  <si>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</si>
  <si>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</si>
  <si>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</si>
  <si>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</si>
  <si>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</si>
  <si>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</si>
  <si>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</si>
  <si>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</si>
  <si>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</si>
  <si>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</si>
  <si>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</si>
  <si>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</si>
  <si>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</si>
  <si>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</si>
  <si>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</si>
  <si>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</si>
  <si>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</si>
  <si>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</si>
  <si>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</si>
  <si>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</si>
  <si>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</si>
  <si>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</si>
  <si>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</si>
  <si>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</si>
  <si>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</si>
  <si>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</si>
  <si>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</si>
  <si>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</si>
  <si>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</si>
  <si>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</si>
  <si>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</si>
  <si>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</si>
  <si>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</si>
  <si>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</si>
  <si>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</si>
  <si>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</si>
  <si>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</si>
  <si>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</si>
  <si>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</si>
  <si>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</si>
  <si>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</si>
  <si>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</si>
  <si>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</si>
  <si>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</si>
  <si>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</si>
  <si>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</si>
  <si>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</si>
  <si>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</si>
  <si>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</si>
  <si>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</si>
  <si>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</si>
  <si>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</si>
  <si>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</si>
  <si>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</si>
  <si>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</si>
  <si>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</si>
  <si>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</si>
  <si>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</si>
  <si>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</si>
  <si>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</si>
  <si>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</si>
  <si>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</si>
  <si>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</si>
  <si>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</si>
  <si>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</si>
  <si>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</si>
  <si>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</si>
  <si>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</si>
  <si>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</si>
  <si>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</si>
  <si>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</si>
  <si>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</si>
  <si>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</si>
  <si>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</si>
  <si>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</si>
  <si>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</si>
  <si>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</si>
  <si>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</si>
  <si>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</si>
  <si>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</si>
  <si>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</si>
  <si>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</si>
  <si>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</si>
  <si>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</si>
  <si>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</si>
  <si>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</si>
  <si>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</si>
  <si>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</si>
  <si>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</si>
  <si>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</si>
  <si>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</si>
  <si>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</si>
  <si>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</si>
  <si>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</si>
  <si>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</si>
  <si>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</si>
  <si>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</si>
  <si>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</si>
  <si>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</si>
  <si>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</si>
  <si>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</si>
  <si>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</si>
  <si>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</si>
  <si>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</si>
  <si>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</si>
  <si>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</si>
  <si>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</si>
  <si>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</si>
  <si>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</si>
  <si>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</si>
  <si>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</si>
  <si>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</si>
  <si>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</si>
  <si>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</si>
  <si>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</si>
  <si>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</si>
  <si>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</si>
  <si>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</si>
  <si>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</si>
  <si>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</si>
  <si>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</si>
  <si>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</si>
  <si>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</si>
  <si>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</si>
  <si>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</si>
  <si>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</si>
  <si>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</si>
  <si>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</si>
  <si>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</si>
  <si>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</si>
  <si>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</si>
  <si>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</si>
  <si>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</si>
  <si>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</si>
  <si>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</si>
  <si>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</si>
  <si>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</si>
  <si>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</si>
  <si>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</si>
  <si>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</si>
  <si>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</si>
  <si>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</si>
  <si>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</si>
  <si>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</si>
  <si>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</si>
  <si>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</si>
  <si>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</si>
  <si>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</si>
  <si>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</si>
  <si>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</si>
  <si>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</si>
  <si>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</si>
  <si>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</si>
  <si>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</si>
  <si>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</si>
  <si>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</si>
  <si>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</si>
  <si>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</si>
  <si>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</si>
  <si>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</si>
  <si>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</si>
  <si>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</si>
  <si>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</si>
  <si>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</si>
  <si>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</si>
  <si>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</si>
  <si>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</si>
  <si>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</si>
  <si>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</si>
  <si>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</si>
  <si>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</si>
  <si>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</si>
  <si>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</si>
  <si>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</si>
  <si>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</si>
  <si>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</si>
  <si>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</si>
  <si>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</si>
  <si>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</si>
  <si>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</si>
  <si>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</si>
  <si>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</si>
  <si>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</si>
  <si>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</si>
  <si>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</si>
  <si>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</si>
  <si>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</si>
  <si>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</si>
  <si>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</si>
  <si>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</si>
  <si>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</si>
  <si>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</si>
  <si>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</si>
  <si>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</si>
  <si>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</si>
  <si>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</si>
  <si>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</si>
  <si>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</si>
  <si>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</si>
  <si>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</si>
  <si>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</si>
  <si>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</si>
  <si>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</si>
  <si>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</si>
  <si>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</si>
  <si>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</si>
  <si>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</si>
  <si>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</si>
  <si>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</si>
  <si>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</si>
  <si>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</si>
  <si>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</si>
  <si>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</si>
  <si>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</si>
  <si>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</si>
  <si>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</si>
  <si>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</si>
  <si>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</si>
  <si>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</si>
  <si>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</si>
  <si>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</si>
  <si>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</si>
  <si>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</si>
  <si>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</si>
  <si>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</si>
  <si>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</si>
  <si>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</si>
  <si>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</si>
  <si>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</si>
  <si>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</si>
  <si>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</si>
  <si>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</si>
  <si>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</si>
  <si>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</si>
  <si>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</si>
  <si>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</si>
  <si>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</si>
  <si>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</si>
  <si>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</si>
  <si>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</si>
  <si>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</si>
  <si>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</si>
  <si>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</si>
  <si>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</si>
  <si>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</si>
  <si>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</si>
  <si>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</si>
  <si>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</si>
  <si>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</si>
  <si>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</si>
  <si>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</si>
  <si>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</si>
  <si>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</si>
  <si>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</si>
  <si>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</si>
  <si>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</si>
  <si>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</si>
  <si>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</si>
  <si>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</si>
  <si>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</si>
  <si>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</si>
  <si>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</si>
  <si>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</si>
  <si>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</si>
  <si>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</si>
  <si>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</si>
  <si>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</si>
  <si>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</si>
  <si>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</si>
  <si>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</si>
  <si>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</si>
  <si>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</si>
  <si>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</si>
  <si>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</si>
  <si>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</si>
  <si>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</si>
  <si>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</si>
  <si>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</si>
  <si>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</si>
  <si>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</si>
  <si>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</si>
  <si>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</si>
  <si>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</si>
  <si>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</si>
  <si>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</si>
  <si>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</si>
  <si>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</si>
  <si>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</si>
  <si>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</si>
  <si>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</si>
  <si>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</si>
  <si>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</si>
  <si>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</si>
  <si>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</si>
  <si>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</si>
  <si>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</si>
  <si>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</si>
  <si>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</si>
  <si>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</si>
  <si>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</si>
  <si>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</si>
  <si>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</si>
  <si>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</si>
  <si>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</si>
  <si>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</si>
  <si>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</si>
  <si>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</si>
  <si>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</si>
  <si>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</si>
  <si>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</si>
  <si>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</si>
  <si>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</si>
  <si>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</si>
  <si>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</si>
  <si>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</si>
  <si>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</si>
  <si>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</si>
  <si>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</si>
  <si>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</si>
  <si>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</si>
  <si>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</si>
  <si>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</si>
  <si>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</si>
  <si>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</si>
  <si>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</si>
  <si>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</si>
  <si>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</si>
  <si>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</si>
  <si>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</si>
  <si>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</si>
  <si>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</si>
  <si>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</si>
  <si>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</si>
  <si>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</si>
  <si>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</si>
  <si>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</si>
  <si>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</si>
  <si>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</si>
  <si>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</si>
  <si>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</si>
  <si>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</si>
  <si>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</si>
  <si>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</si>
  <si>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</si>
  <si>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</si>
  <si>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</si>
  <si>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</si>
  <si>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</si>
  <si>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</si>
  <si>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</si>
  <si>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</si>
  <si>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</si>
  <si>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</si>
  <si>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</si>
  <si>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</si>
  <si>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</si>
  <si>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</si>
  <si>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</si>
  <si>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</si>
  <si>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</si>
  <si>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</si>
  <si>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</si>
  <si>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</si>
  <si>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</si>
  <si>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</si>
  <si>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</si>
  <si>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</si>
  <si>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</si>
  <si>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</si>
  <si>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</si>
  <si>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</si>
  <si>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</si>
  <si>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</si>
  <si>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</si>
  <si>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</si>
  <si>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</si>
  <si>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</si>
  <si>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</si>
  <si>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</si>
  <si>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</si>
  <si>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</si>
  <si>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</si>
  <si>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</si>
  <si>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</si>
  <si>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</si>
  <si>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</si>
  <si>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</si>
  <si>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</si>
  <si>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</si>
  <si>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</si>
  <si>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</si>
  <si>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</si>
  <si>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</si>
  <si>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</si>
  <si>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</si>
  <si>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</si>
  <si>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</si>
  <si>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</si>
  <si>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</si>
  <si>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</si>
  <si>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</si>
  <si>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</si>
  <si>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</si>
  <si>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</si>
  <si>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</si>
  <si>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</si>
  <si>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</si>
  <si>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</si>
  <si>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</si>
  <si>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</si>
  <si>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</si>
  <si>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</si>
  <si>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</si>
  <si>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</si>
  <si>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</si>
  <si>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</si>
  <si>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</si>
  <si>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</si>
  <si>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</si>
  <si>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</si>
  <si>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</si>
  <si>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</si>
  <si>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</si>
  <si>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</si>
  <si>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</si>
  <si>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</si>
  <si>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</si>
  <si>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</si>
  <si>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</si>
  <si>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</si>
  <si>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</si>
  <si>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</si>
  <si>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</si>
  <si>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</si>
  <si>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</si>
  <si>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</si>
  <si>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</si>
  <si>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</si>
  <si>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</si>
  <si>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</si>
  <si>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</si>
  <si>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</si>
  <si>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</si>
  <si>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</si>
  <si>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</si>
  <si>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</si>
  <si>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</si>
  <si>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</si>
  <si>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</si>
  <si>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</si>
  <si>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</si>
  <si>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</si>
  <si>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</si>
  <si>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</si>
  <si>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</si>
  <si>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</si>
  <si>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</si>
  <si>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</si>
  <si>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</si>
  <si>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</si>
  <si>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</si>
  <si>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</si>
  <si>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</si>
  <si>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</si>
  <si>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</si>
  <si>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</si>
  <si>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</si>
  <si>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</si>
  <si>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</si>
  <si>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</si>
  <si>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</si>
  <si>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</si>
  <si>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</si>
  <si>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</si>
  <si>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</si>
  <si>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</si>
  <si>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</si>
  <si>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</si>
  <si>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</si>
  <si>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</si>
  <si>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</si>
  <si>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</si>
  <si>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</si>
  <si>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</si>
  <si>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</si>
  <si>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</si>
  <si>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</si>
  <si>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</si>
  <si>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</si>
  <si>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</si>
  <si>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</si>
  <si>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</si>
  <si>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</si>
  <si>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</si>
  <si>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</si>
  <si>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</si>
  <si>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</si>
  <si>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</si>
  <si>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</si>
  <si>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</si>
  <si>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</si>
  <si>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</si>
  <si>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</si>
  <si>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</si>
  <si>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</si>
  <si>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</si>
  <si>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</si>
  <si>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</si>
  <si>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</si>
  <si>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</si>
  <si>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</si>
  <si>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</si>
  <si>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</si>
  <si>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</si>
  <si>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</si>
  <si>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</si>
  <si>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</si>
  <si>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</si>
  <si>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</si>
  <si>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</si>
  <si>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</si>
  <si>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</si>
  <si>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</si>
  <si>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</si>
  <si>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</si>
  <si>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</si>
  <si>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</si>
  <si>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</si>
  <si>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</si>
  <si>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</si>
  <si>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</si>
  <si>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</si>
  <si>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</si>
  <si>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</si>
  <si>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</si>
  <si>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</si>
  <si>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</si>
  <si>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</si>
  <si>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</si>
  <si>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</si>
  <si>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</si>
  <si>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</si>
  <si>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</si>
  <si>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</si>
  <si>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</si>
  <si>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</si>
  <si>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</si>
  <si>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</si>
  <si>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</si>
  <si>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</si>
  <si>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</si>
  <si>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</si>
  <si>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</si>
  <si>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</si>
  <si>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</si>
  <si>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</si>
  <si>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</si>
  <si>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</si>
  <si>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</si>
  <si>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</si>
  <si>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</si>
  <si>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</si>
  <si>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</si>
  <si>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</si>
  <si>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</si>
  <si>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</si>
  <si>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</si>
  <si>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</si>
  <si>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</si>
  <si>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</si>
  <si>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</si>
  <si>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</si>
  <si>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</si>
  <si>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</si>
  <si>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</si>
  <si>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</si>
  <si>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</si>
  <si>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</si>
  <si>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</si>
  <si>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</si>
  <si>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</si>
  <si>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</si>
  <si>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</si>
  <si>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</si>
  <si>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</si>
  <si>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</si>
  <si>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</si>
  <si>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</si>
  <si>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</si>
  <si>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</si>
  <si>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</si>
  <si>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</si>
  <si>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</si>
  <si>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</si>
  <si>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</si>
  <si>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</si>
  <si>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</si>
  <si>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</si>
  <si>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</si>
  <si>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</si>
  <si>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</si>
  <si>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</si>
  <si>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</si>
  <si>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</si>
  <si>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</si>
  <si>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</si>
  <si>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</si>
  <si>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</si>
  <si>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</si>
  <si>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</si>
  <si>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</si>
  <si>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</si>
  <si>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</si>
  <si>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</si>
  <si>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</si>
  <si>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</si>
  <si>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</si>
  <si>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</si>
  <si>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</si>
  <si>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</si>
  <si>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</si>
  <si>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</si>
  <si>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</si>
  <si>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</si>
  <si>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</si>
  <si>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</si>
  <si>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</si>
  <si>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</si>
  <si>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</si>
  <si>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</si>
  <si>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</si>
  <si>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</si>
  <si>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</si>
  <si>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</si>
  <si>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</si>
  <si>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</si>
  <si>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</si>
  <si>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</si>
  <si>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</si>
  <si>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</si>
  <si>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</si>
  <si>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</si>
  <si>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</si>
  <si>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</si>
  <si>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</si>
  <si>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</si>
  <si>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</si>
  <si>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</si>
  <si>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</si>
  <si>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</si>
  <si>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</si>
  <si>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</si>
  <si>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</si>
  <si>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</si>
  <si>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</si>
  <si>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</si>
  <si>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</si>
  <si>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</si>
  <si>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</si>
  <si>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</si>
  <si>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</si>
  <si>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</si>
  <si>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</si>
  <si>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</si>
  <si>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</si>
  <si>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</si>
  <si>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</si>
  <si>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</si>
  <si>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</si>
  <si>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</si>
  <si>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</si>
  <si>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</si>
  <si>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</si>
  <si>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</si>
  <si>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</si>
  <si>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</si>
  <si>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</si>
  <si>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</si>
  <si>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</si>
  <si>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</si>
  <si>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</si>
  <si>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</si>
  <si>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</si>
  <si>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</si>
  <si>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</si>
  <si>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</si>
  <si>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</si>
  <si>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</si>
  <si>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</si>
  <si>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</si>
  <si>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</si>
  <si>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</si>
  <si>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</si>
  <si>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</si>
  <si>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</si>
  <si>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</si>
  <si>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</si>
  <si>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</si>
  <si>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</si>
  <si>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</si>
  <si>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</si>
  <si>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</si>
  <si>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</si>
  <si>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</si>
  <si>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</si>
  <si>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</si>
  <si>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</si>
  <si>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</si>
  <si>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</si>
  <si>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</si>
  <si>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</si>
  <si>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</si>
  <si>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</si>
  <si>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</si>
  <si>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</si>
  <si>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</si>
  <si>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</si>
  <si>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</si>
  <si>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</si>
  <si>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</si>
  <si>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</si>
  <si>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</si>
  <si>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</si>
  <si>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</si>
  <si>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</si>
  <si>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</si>
  <si>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</si>
  <si>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</si>
  <si>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</si>
  <si>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</si>
  <si>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</si>
  <si>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</si>
  <si>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</si>
  <si>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</si>
  <si>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</si>
  <si>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</si>
  <si>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</si>
  <si>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</si>
  <si>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</si>
  <si>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</si>
  <si>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</si>
  <si>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</si>
  <si>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</si>
  <si>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</si>
  <si>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</si>
  <si>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</si>
  <si>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</si>
  <si>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</si>
  <si>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</si>
  <si>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</si>
  <si>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</si>
  <si>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</si>
  <si>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</si>
  <si>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</si>
  <si>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</si>
  <si>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</si>
  <si>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</si>
  <si>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</si>
  <si>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</si>
  <si>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</si>
  <si>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</si>
  <si>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</si>
  <si>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</si>
  <si>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</si>
  <si>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</si>
  <si>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</si>
  <si>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</si>
  <si>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</si>
  <si>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</si>
  <si>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</si>
  <si>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</si>
  <si>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</si>
  <si>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</si>
  <si>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</si>
  <si>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</si>
  <si>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</si>
  <si>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</si>
  <si>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</si>
  <si>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</si>
  <si>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</si>
  <si>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</si>
  <si>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</si>
  <si>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</si>
  <si>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</si>
  <si>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</si>
  <si>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</si>
  <si>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</si>
  <si>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</si>
  <si>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</si>
  <si>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</si>
  <si>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</si>
  <si>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</si>
  <si>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</si>
  <si>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</si>
  <si>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</si>
  <si>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</si>
  <si>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</si>
  <si>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</si>
  <si>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</si>
  <si>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</si>
  <si>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</si>
  <si>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</si>
  <si>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</si>
  <si>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</si>
  <si>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</si>
  <si>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</si>
  <si>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</si>
  <si>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</si>
  <si>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</si>
  <si>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</si>
  <si>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</si>
  <si>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</si>
  <si>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</si>
  <si>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</si>
  <si>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</si>
  <si>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</si>
  <si>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</si>
  <si>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</si>
  <si>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</si>
  <si>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</si>
  <si>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</si>
  <si>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</si>
  <si>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</si>
  <si>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</si>
  <si>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</si>
  <si>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</si>
  <si>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</si>
  <si>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</si>
  <si>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</si>
  <si>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</si>
  <si>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</si>
  <si>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</si>
  <si>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</si>
  <si>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</si>
  <si>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</si>
  <si>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</si>
  <si>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</si>
  <si>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</si>
  <si>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</si>
  <si>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</si>
  <si>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</si>
  <si>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</si>
  <si>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</si>
  <si>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</si>
  <si>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</si>
  <si>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</si>
  <si>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</si>
  <si>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</si>
  <si>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</si>
  <si>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</si>
  <si>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</si>
  <si>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</si>
  <si>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</si>
  <si>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</si>
  <si>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</si>
  <si>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</si>
  <si>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</si>
  <si>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</si>
  <si>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</si>
  <si>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</si>
  <si>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</si>
  <si>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</si>
  <si>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</si>
  <si>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</si>
  <si>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</si>
  <si>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</si>
  <si>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</si>
  <si>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</si>
  <si>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</si>
  <si>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</si>
  <si>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</si>
  <si>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</si>
  <si>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</si>
  <si>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</si>
  <si>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</si>
  <si>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</si>
  <si>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</si>
  <si>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</si>
  <si>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</si>
  <si>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</si>
  <si>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</si>
  <si>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</si>
  <si>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</si>
  <si>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</si>
  <si>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</si>
  <si>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</si>
  <si>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</si>
  <si>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</si>
  <si>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</si>
  <si>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</si>
  <si>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</si>
  <si>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</si>
  <si>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</si>
  <si>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</si>
  <si>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</si>
  <si>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</si>
  <si>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</si>
  <si>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</si>
  <si>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</si>
  <si>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</si>
  <si>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</si>
  <si>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</si>
  <si>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</si>
  <si>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</si>
  <si>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</si>
  <si>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</si>
  <si>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</si>
  <si>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</si>
  <si>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</si>
  <si>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</si>
  <si>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</si>
  <si>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</si>
  <si>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</si>
  <si>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</si>
  <si>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</si>
  <si>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</si>
  <si>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</si>
  <si>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</si>
  <si>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</si>
  <si>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</si>
  <si>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</si>
  <si>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</si>
  <si>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</si>
  <si>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</si>
  <si>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</si>
  <si>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</si>
  <si>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</si>
  <si>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</si>
  <si>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</si>
  <si>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</si>
  <si>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</si>
  <si>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</si>
  <si>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</si>
  <si>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</si>
  <si>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</si>
  <si>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</si>
  <si>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</si>
  <si>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</si>
  <si>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</si>
  <si>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</si>
  <si>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</si>
  <si>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</si>
  <si>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</si>
  <si>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</si>
  <si>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</si>
  <si>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</si>
  <si>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</si>
  <si>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</si>
  <si>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</si>
  <si>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</si>
  <si>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</si>
  <si>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</si>
  <si>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</si>
  <si>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</si>
  <si>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</si>
  <si>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</si>
  <si>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</si>
  <si>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</si>
  <si>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</si>
  <si>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</si>
  <si>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</si>
  <si>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</si>
  <si>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</si>
  <si>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</si>
  <si>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</si>
  <si>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</si>
  <si>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</si>
  <si>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</si>
  <si>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</si>
  <si>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</si>
  <si>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</si>
  <si>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</si>
  <si>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</si>
  <si>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</si>
  <si>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</si>
  <si>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</si>
  <si>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</si>
  <si>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</si>
  <si>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</si>
  <si>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</si>
  <si>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</si>
  <si>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</si>
  <si>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</si>
  <si>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</si>
  <si>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</si>
  <si>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</si>
  <si>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</si>
  <si>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</si>
  <si>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</si>
  <si>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</si>
  <si>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</si>
  <si>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</si>
  <si>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</si>
  <si>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</si>
  <si>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</si>
  <si>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</si>
  <si>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</si>
  <si>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</si>
  <si>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</si>
  <si>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</si>
  <si>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</si>
  <si>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</si>
  <si>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</si>
  <si>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</si>
  <si>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</si>
  <si>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</si>
  <si>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</si>
  <si>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</si>
  <si>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</si>
  <si>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</si>
  <si>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</si>
  <si>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</si>
  <si>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</si>
  <si>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</si>
  <si>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</si>
  <si>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</si>
  <si>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</si>
  <si>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</si>
  <si>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</si>
  <si>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</si>
  <si>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</si>
  <si>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</si>
  <si>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</si>
  <si>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</si>
  <si>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</si>
  <si>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</si>
  <si>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</si>
  <si>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</si>
  <si>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</si>
  <si>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</si>
  <si>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</si>
  <si>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</si>
  <si>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</si>
  <si>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</si>
  <si>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</si>
  <si>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</si>
  <si>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</si>
  <si>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</si>
  <si>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</si>
  <si>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</si>
  <si>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</si>
  <si>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</si>
  <si>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</si>
  <si>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</si>
  <si>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</si>
  <si>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</si>
  <si>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</si>
  <si>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</si>
  <si>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</si>
  <si>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</si>
  <si>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</si>
  <si>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</si>
  <si>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</si>
  <si>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</si>
  <si>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</si>
  <si>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</si>
  <si>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</si>
  <si>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</si>
  <si>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</si>
  <si>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</si>
  <si>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</si>
  <si>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</si>
  <si>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</si>
  <si>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</si>
  <si>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</si>
  <si>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</si>
  <si>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</si>
  <si>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</si>
  <si>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</si>
  <si>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</si>
  <si>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</si>
  <si>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</si>
  <si>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</si>
  <si>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</si>
  <si>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</si>
  <si>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</si>
  <si>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</si>
  <si>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</si>
  <si>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</si>
  <si>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</si>
  <si>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</si>
  <si>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</si>
  <si>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</si>
  <si>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</si>
  <si>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</si>
  <si>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</si>
  <si>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</si>
  <si>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</si>
  <si>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</si>
  <si>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</si>
  <si>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</si>
  <si>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</si>
  <si>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</si>
  <si>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</si>
  <si>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</si>
  <si>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</si>
  <si>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</si>
  <si>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</si>
  <si>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</si>
  <si>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</si>
  <si>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</si>
  <si>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</si>
  <si>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</si>
  <si>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</si>
  <si>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</si>
  <si>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</si>
  <si>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</si>
  <si>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</si>
  <si>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</si>
  <si>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</si>
  <si>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</si>
  <si>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</si>
  <si>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</si>
  <si>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</si>
  <si>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</si>
  <si>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</si>
  <si>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</si>
  <si>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</si>
  <si>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</si>
  <si>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</si>
  <si>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</si>
  <si>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</si>
  <si>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</si>
  <si>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</si>
  <si>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</si>
  <si>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</si>
  <si>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</si>
  <si>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</si>
  <si>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</si>
  <si>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</si>
  <si>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</si>
  <si>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</si>
  <si>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</si>
  <si>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</si>
  <si>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</si>
  <si>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</si>
  <si>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</si>
  <si>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</si>
  <si>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</si>
  <si>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</si>
  <si>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</si>
  <si>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</si>
  <si>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</si>
  <si>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</si>
  <si>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</si>
  <si>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</si>
  <si>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</si>
  <si>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</si>
  <si>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</si>
  <si>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</si>
  <si>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</si>
  <si>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</si>
  <si>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</si>
  <si>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</si>
  <si>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</si>
  <si>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</si>
  <si>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</si>
  <si>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</si>
  <si>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</si>
  <si>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</si>
  <si>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</si>
  <si>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</si>
  <si>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</si>
  <si>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</si>
  <si>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</si>
  <si>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</si>
  <si>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</si>
  <si>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</si>
  <si>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</si>
  <si>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</si>
  <si>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</si>
  <si>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</si>
  <si>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</si>
  <si>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</si>
  <si>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</si>
  <si>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</si>
  <si>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</si>
  <si>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</si>
  <si>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</si>
  <si>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</si>
  <si>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</si>
  <si>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</si>
  <si>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</si>
  <si>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</si>
  <si>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</si>
  <si>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</si>
  <si>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</si>
  <si>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</si>
  <si>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</si>
  <si>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</si>
  <si>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</si>
  <si>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</si>
  <si>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</si>
  <si>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</si>
  <si>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</si>
  <si>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</si>
  <si>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</si>
  <si>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</si>
  <si>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</si>
  <si>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</si>
  <si>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</si>
  <si>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</si>
  <si>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</si>
  <si>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</si>
  <si>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</si>
  <si>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</si>
  <si>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</si>
  <si>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</si>
  <si>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</si>
  <si>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</si>
  <si>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</si>
  <si>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</si>
  <si>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</si>
  <si>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</si>
  <si>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</si>
  <si>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</si>
  <si>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</si>
  <si>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</si>
  <si>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</si>
  <si>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</si>
  <si>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</si>
  <si>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</si>
  <si>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</si>
  <si>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</si>
  <si>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</si>
  <si>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</si>
  <si>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</si>
  <si>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</si>
  <si>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</si>
  <si>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</si>
  <si>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</si>
  <si>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</si>
  <si>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</si>
  <si>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</si>
  <si>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</si>
  <si>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</si>
  <si>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</si>
  <si>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</si>
  <si>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</si>
  <si>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</si>
  <si>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</si>
  <si>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</si>
  <si>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</si>
  <si>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</si>
  <si>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</si>
  <si>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</si>
  <si>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</si>
  <si>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</si>
  <si>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</si>
  <si>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</si>
  <si>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</si>
  <si>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</si>
  <si>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</si>
  <si>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</si>
  <si>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</si>
  <si>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</si>
  <si>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</si>
  <si>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</si>
  <si>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</si>
  <si>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</si>
  <si>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</si>
  <si>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</si>
  <si>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</si>
  <si>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</si>
  <si>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</si>
  <si>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</si>
  <si>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</si>
  <si>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</si>
  <si>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</si>
  <si>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</si>
  <si>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</si>
  <si>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</si>
  <si>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</si>
  <si>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</si>
  <si>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</si>
  <si>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</si>
  <si>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</si>
  <si>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</si>
  <si>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</si>
  <si>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</si>
  <si>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</si>
  <si>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</si>
  <si>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</si>
  <si>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</si>
  <si>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</si>
  <si>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</si>
  <si>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</si>
  <si>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</si>
  <si>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</si>
  <si>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</si>
  <si>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</si>
  <si>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</si>
  <si>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</si>
  <si>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</si>
  <si>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</si>
  <si>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</si>
  <si>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</si>
  <si>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</si>
  <si>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</si>
  <si>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</si>
  <si>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</si>
  <si>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</si>
  <si>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</si>
  <si>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</si>
  <si>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</si>
  <si>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</si>
  <si>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</si>
  <si>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</si>
  <si>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</si>
  <si>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</si>
  <si>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</si>
  <si>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</si>
  <si>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</si>
  <si>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</si>
  <si>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</si>
  <si>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</si>
  <si>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</si>
  <si>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</si>
  <si>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</si>
  <si>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</si>
  <si>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</si>
  <si>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</si>
  <si>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</si>
  <si>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</si>
  <si>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</si>
  <si>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</si>
  <si>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</si>
  <si>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</si>
  <si>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</si>
  <si>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</si>
  <si>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</si>
  <si>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</si>
  <si>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</si>
  <si>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</si>
  <si>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</si>
  <si>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</si>
  <si>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</si>
  <si>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</si>
  <si>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</si>
  <si>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</si>
  <si>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</si>
  <si>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</si>
  <si>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</si>
  <si>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</si>
  <si>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</si>
  <si>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</si>
  <si>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</si>
  <si>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</si>
  <si>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</si>
  <si>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</si>
  <si>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</si>
  <si>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</si>
  <si>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</si>
  <si>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</si>
  <si>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</si>
  <si>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</si>
  <si>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</si>
  <si>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</si>
  <si>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</si>
  <si>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</si>
  <si>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</si>
  <si>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</si>
  <si>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</si>
  <si>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</si>
  <si>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</si>
  <si>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</si>
  <si>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</si>
  <si>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</si>
  <si>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</si>
  <si>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</si>
  <si>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</si>
  <si>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</si>
  <si>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</si>
  <si>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</si>
  <si>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</si>
  <si>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</si>
  <si>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</si>
  <si>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</si>
  <si>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</si>
  <si>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</si>
  <si>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</si>
  <si>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</si>
  <si>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</si>
  <si>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</si>
  <si>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</si>
  <si>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</si>
  <si>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</si>
  <si>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</si>
  <si>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</si>
  <si>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</si>
  <si>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</si>
  <si>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</si>
  <si>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</si>
  <si>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</si>
  <si>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</si>
  <si>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</si>
  <si>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</si>
  <si>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</si>
  <si>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</si>
  <si>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</si>
  <si>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</si>
  <si>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</si>
  <si>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</si>
  <si>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</si>
  <si>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</si>
  <si>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</si>
  <si>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</si>
  <si>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</si>
  <si>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</si>
  <si>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</si>
  <si>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</si>
  <si>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</si>
  <si>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</si>
  <si>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</si>
  <si>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</si>
  <si>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</si>
  <si>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</si>
  <si>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</si>
  <si>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</si>
  <si>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</si>
  <si>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</si>
  <si>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</si>
  <si>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</si>
  <si>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</si>
  <si>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</si>
  <si>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</si>
  <si>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</si>
  <si>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</si>
  <si>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</si>
  <si>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</si>
  <si>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</si>
  <si>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</si>
  <si>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</si>
  <si>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</si>
  <si>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</si>
  <si>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</si>
  <si>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</si>
  <si>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</si>
  <si>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</si>
  <si>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</si>
  <si>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</si>
  <si>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</si>
  <si>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</si>
  <si>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</si>
  <si>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</si>
  <si>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</si>
  <si>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</si>
  <si>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</si>
  <si>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</si>
  <si>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</si>
  <si>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</si>
  <si>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</si>
  <si>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</si>
  <si>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</si>
  <si>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</si>
  <si>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</si>
  <si>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</si>
  <si>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</si>
  <si>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</si>
  <si>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</si>
  <si>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</si>
  <si>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</si>
  <si>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</si>
  <si>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</si>
  <si>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</si>
  <si>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</si>
  <si>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</si>
  <si>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</si>
  <si>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</si>
  <si>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</si>
  <si>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</si>
  <si>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</si>
  <si>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</si>
  <si>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</si>
  <si>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</si>
  <si>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</si>
  <si>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</si>
  <si>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</si>
  <si>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</si>
  <si>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</si>
  <si>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</si>
  <si>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</si>
  <si>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</si>
  <si>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</si>
  <si>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</si>
  <si>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</si>
  <si>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</si>
  <si>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</si>
  <si>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</si>
  <si>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</si>
  <si>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</si>
  <si>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</si>
  <si>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</si>
  <si>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</si>
  <si>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</si>
  <si>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</si>
  <si>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</si>
  <si>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</si>
  <si>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</si>
  <si>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</si>
  <si>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</si>
  <si>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</si>
  <si>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</si>
  <si>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</si>
  <si>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</si>
  <si>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</si>
  <si>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</si>
  <si>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</si>
  <si>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</si>
  <si>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</si>
  <si>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</si>
  <si>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</si>
  <si>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</si>
  <si>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</si>
  <si>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</si>
  <si>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</si>
  <si>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</si>
  <si>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</si>
  <si>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</si>
  <si>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</si>
  <si>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</si>
  <si>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</si>
  <si>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</si>
  <si>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</si>
  <si>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</si>
  <si>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</si>
  <si>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</si>
  <si>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</si>
  <si>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</si>
  <si>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</si>
  <si>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</si>
  <si>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</si>
  <si>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</si>
  <si>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</si>
  <si>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</si>
  <si>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</si>
  <si>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</si>
  <si>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</si>
  <si>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</si>
  <si>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</si>
  <si>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</si>
  <si>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</si>
  <si>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</si>
  <si>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</si>
  <si>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</si>
  <si>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</si>
  <si>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</si>
  <si>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</si>
  <si>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</si>
  <si>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</si>
  <si>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</si>
  <si>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</si>
  <si>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</si>
  <si>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</si>
  <si>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</si>
  <si>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</si>
  <si>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</si>
  <si>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</si>
  <si>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</si>
  <si>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</si>
  <si>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</si>
  <si>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</si>
  <si>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</si>
  <si>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</si>
  <si>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</si>
  <si>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</si>
  <si>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</si>
  <si>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</si>
  <si>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</si>
  <si>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</si>
  <si>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</si>
  <si>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</si>
  <si>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</si>
  <si>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</si>
  <si>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</si>
  <si>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</si>
  <si>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</si>
  <si>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</si>
  <si>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</si>
  <si>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</si>
  <si>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</si>
  <si>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</si>
  <si>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</si>
  <si>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</si>
  <si>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</si>
  <si>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</si>
  <si>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</si>
  <si>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</si>
  <si>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</si>
  <si>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</si>
  <si>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</si>
  <si>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</si>
  <si>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</si>
  <si>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</si>
  <si>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</si>
  <si>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</si>
  <si>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</si>
  <si>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</si>
  <si>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</si>
  <si>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</si>
  <si>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</si>
  <si>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</si>
  <si>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</si>
  <si>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</si>
  <si>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</si>
  <si>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</si>
  <si>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</si>
  <si>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</si>
  <si>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</si>
  <si>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</si>
  <si>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</si>
  <si>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</si>
  <si>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</si>
  <si>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</si>
  <si>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</si>
  <si>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</si>
  <si>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</si>
  <si>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</si>
  <si>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</si>
  <si>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</si>
  <si>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</si>
  <si>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</si>
  <si>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</si>
  <si>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</si>
  <si>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</si>
  <si>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</si>
  <si>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</si>
  <si>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</si>
  <si>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</si>
  <si>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</si>
  <si>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</si>
  <si>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</si>
  <si>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</si>
  <si>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</si>
  <si>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</si>
  <si>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</si>
  <si>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</si>
  <si>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</si>
  <si>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</si>
  <si>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</si>
  <si>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</si>
  <si>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</si>
  <si>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</si>
  <si>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</si>
  <si>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</si>
  <si>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</si>
  <si>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</si>
  <si>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</si>
  <si>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</si>
  <si>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</si>
  <si>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</si>
  <si>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</si>
  <si>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</si>
  <si>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</si>
  <si>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</si>
  <si>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</si>
  <si>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</si>
  <si>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</si>
  <si>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</si>
  <si>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</si>
  <si>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</si>
  <si>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</si>
  <si>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</si>
  <si>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</si>
  <si>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</si>
  <si>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</si>
  <si>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</si>
  <si>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</si>
  <si>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</si>
  <si>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</si>
  <si>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</si>
  <si>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</si>
  <si>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</si>
  <si>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</si>
  <si>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</si>
  <si>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</si>
  <si>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</si>
  <si>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</si>
  <si>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</si>
  <si>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</si>
  <si>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</si>
  <si>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</si>
  <si>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</si>
  <si>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</si>
  <si>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</si>
  <si>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</si>
  <si>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</si>
  <si>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</si>
  <si>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</si>
  <si>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</si>
  <si>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</si>
  <si>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</si>
  <si>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</si>
  <si>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</si>
  <si>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</si>
  <si>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</si>
  <si>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</si>
  <si>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</si>
  <si>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</si>
  <si>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</si>
  <si>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</si>
  <si>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</si>
  <si>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</si>
  <si>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</si>
  <si>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</si>
  <si>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</si>
  <si>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</si>
  <si>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</si>
  <si>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</si>
  <si>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</si>
  <si>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</si>
  <si>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</si>
  <si>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</si>
  <si>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</si>
  <si>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</si>
  <si>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</si>
  <si>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</si>
  <si>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</si>
  <si>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</si>
  <si>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</si>
  <si>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</si>
  <si>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</si>
  <si>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</si>
  <si>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</si>
  <si>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</si>
  <si>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</si>
  <si>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</si>
  <si>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</si>
  <si>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</si>
  <si>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</si>
  <si>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</si>
  <si>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</si>
  <si>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</si>
  <si>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</si>
  <si>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</si>
  <si>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</si>
  <si>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</si>
  <si>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</si>
  <si>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</si>
  <si>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</si>
  <si>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</si>
  <si>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</si>
  <si>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</si>
  <si>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</si>
  <si>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</si>
  <si>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</si>
  <si>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</si>
  <si>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</si>
  <si>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</si>
  <si>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</si>
  <si>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</si>
  <si>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</si>
  <si>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</si>
  <si>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</si>
  <si>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</si>
  <si>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</si>
  <si>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</si>
  <si>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</si>
  <si>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</si>
  <si>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</si>
  <si>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</si>
  <si>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</si>
  <si>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</si>
  <si>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</si>
  <si>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</si>
  <si>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</si>
  <si>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</si>
  <si>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</si>
  <si>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</si>
  <si>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</si>
  <si>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</si>
  <si>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</si>
  <si>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</si>
  <si>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</si>
  <si>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</si>
  <si>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</si>
  <si>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</si>
  <si>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</si>
  <si>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</si>
  <si>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</si>
  <si>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</si>
  <si>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</si>
  <si>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</si>
  <si>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</si>
  <si>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</si>
  <si>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</si>
  <si>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</si>
  <si>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</si>
  <si>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</si>
  <si>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</si>
  <si>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</si>
  <si>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</si>
  <si>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</si>
  <si>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</si>
  <si>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</si>
  <si>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</si>
  <si>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</si>
  <si>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</si>
  <si>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</si>
  <si>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</si>
  <si>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</si>
  <si>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</si>
  <si>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</si>
  <si>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</si>
  <si>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</si>
  <si>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</si>
  <si>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</si>
  <si>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</si>
  <si>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</si>
  <si>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</si>
  <si>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</si>
  <si>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</si>
  <si>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</si>
  <si>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</si>
  <si>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</si>
  <si>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</si>
  <si>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</si>
  <si>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</si>
  <si>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</si>
  <si>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</si>
  <si>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</si>
  <si>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</si>
  <si>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</si>
  <si>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</si>
  <si>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</si>
  <si>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</si>
  <si>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</si>
  <si>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</si>
  <si>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</si>
  <si>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</si>
  <si>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</si>
  <si>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</si>
  <si>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</si>
  <si>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</si>
  <si>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</si>
  <si>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</si>
  <si>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</si>
  <si>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</si>
  <si>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</si>
  <si>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</si>
  <si>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</si>
  <si>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</si>
  <si>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</si>
  <si>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</si>
  <si>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</si>
  <si>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</si>
  <si>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</si>
  <si>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</si>
  <si>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</si>
  <si>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</si>
  <si>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</si>
  <si>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</si>
  <si>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</si>
  <si>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</si>
  <si>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</si>
  <si>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</si>
  <si>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</si>
  <si>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</si>
  <si>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</si>
  <si>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</si>
  <si>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</si>
  <si>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</si>
  <si>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</si>
  <si>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</si>
  <si>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</si>
  <si>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</si>
  <si>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</si>
  <si>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</si>
  <si>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</si>
  <si>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</si>
  <si>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</si>
  <si>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</si>
  <si>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</si>
  <si>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</si>
  <si>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</si>
  <si>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</si>
  <si>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</si>
  <si>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</si>
  <si>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</si>
  <si>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</si>
  <si>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</si>
  <si>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</si>
  <si>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</si>
  <si>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</si>
  <si>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</si>
  <si>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</si>
  <si>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</si>
  <si>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</si>
  <si>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</si>
  <si>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</si>
  <si>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</si>
  <si>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</si>
  <si>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</si>
  <si>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</si>
  <si>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</si>
  <si>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</si>
  <si>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</si>
  <si>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</si>
  <si>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</si>
  <si>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</si>
  <si>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</si>
  <si>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</si>
  <si>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</si>
  <si>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</si>
  <si>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</si>
  <si>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</si>
  <si>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</si>
  <si>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</si>
  <si>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</si>
  <si>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</si>
  <si>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</si>
  <si>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</si>
  <si>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</si>
  <si>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</si>
  <si>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</si>
  <si>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</si>
  <si>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</si>
  <si>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</si>
  <si>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</si>
  <si>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</si>
  <si>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</si>
  <si>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</si>
  <si>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</si>
  <si>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</si>
  <si>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</si>
  <si>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</si>
  <si>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</si>
  <si>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</si>
  <si>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</si>
  <si>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</si>
  <si>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</si>
  <si>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</si>
  <si>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</si>
  <si>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</si>
  <si>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</si>
  <si>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</si>
  <si>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</si>
  <si>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</si>
  <si>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</si>
  <si>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</si>
  <si>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</si>
  <si>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</si>
  <si>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</si>
  <si>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</si>
  <si>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</si>
  <si>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</si>
  <si>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</si>
  <si>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</si>
  <si>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</si>
  <si>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</si>
  <si>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</si>
  <si>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</si>
  <si>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</si>
  <si>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</si>
  <si>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</si>
  <si>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</si>
  <si>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</si>
  <si>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</si>
  <si>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</si>
  <si>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</si>
  <si>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</si>
  <si>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</si>
  <si>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</si>
  <si>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</si>
  <si>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</si>
  <si>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</si>
  <si>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</si>
  <si>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</si>
  <si>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</si>
  <si>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</si>
  <si>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</si>
  <si>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</si>
  <si>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</si>
  <si>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</si>
  <si>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</si>
  <si>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</si>
  <si>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</si>
  <si>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</si>
  <si>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</si>
  <si>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</si>
  <si>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</si>
  <si>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</si>
  <si>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</si>
  <si>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</si>
  <si>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</si>
  <si>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</si>
  <si>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</si>
  <si>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</si>
  <si>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</si>
  <si>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</si>
  <si>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</si>
  <si>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</si>
  <si>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</si>
  <si>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</si>
  <si>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</si>
  <si>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</si>
  <si>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</si>
  <si>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</si>
  <si>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</si>
  <si>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</si>
  <si>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</si>
  <si>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</si>
  <si>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</si>
  <si>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</si>
  <si>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</si>
  <si>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</si>
  <si>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</si>
  <si>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</si>
  <si>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</si>
  <si>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</si>
  <si>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</si>
  <si>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</si>
  <si>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</si>
  <si>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</si>
  <si>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</si>
  <si>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</si>
  <si>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</si>
  <si>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</si>
  <si>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</si>
  <si>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</si>
  <si>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</si>
  <si>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</si>
  <si>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</si>
  <si>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</si>
  <si>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</si>
  <si>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</si>
  <si>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</si>
  <si>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</si>
  <si>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</si>
  <si>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</si>
  <si>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</si>
  <si>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</si>
  <si>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</si>
  <si>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</si>
  <si>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</si>
  <si>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</si>
  <si>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</si>
  <si>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</si>
  <si>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</si>
  <si>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</si>
  <si>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</si>
  <si>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</si>
  <si>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</si>
  <si>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</si>
  <si>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</si>
  <si>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</si>
  <si>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</si>
  <si>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</si>
  <si>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</si>
  <si>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</si>
  <si>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</si>
  <si>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</si>
  <si>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</si>
  <si>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</si>
  <si>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</si>
  <si>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</si>
  <si>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</si>
  <si>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</si>
  <si>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</si>
  <si>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</si>
  <si>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</si>
  <si>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</si>
  <si>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</si>
  <si>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</si>
  <si>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</si>
  <si>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</si>
  <si>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</si>
  <si>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</si>
  <si>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</si>
  <si>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</si>
  <si>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</si>
  <si>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</si>
  <si>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</si>
  <si>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</si>
  <si>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</si>
  <si>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</si>
  <si>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</si>
  <si>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</si>
  <si>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</si>
  <si>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</si>
  <si>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</si>
  <si>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</si>
  <si>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</si>
  <si>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</si>
  <si>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</si>
  <si>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</si>
  <si>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</si>
  <si>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</si>
  <si>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</si>
  <si>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</si>
  <si>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</si>
  <si>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</si>
  <si>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</si>
  <si>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</si>
  <si>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</si>
  <si>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</si>
  <si>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</si>
  <si>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</si>
  <si>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</si>
  <si>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</si>
  <si>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</si>
  <si>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</si>
  <si>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</si>
  <si>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</si>
  <si>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</si>
  <si>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</si>
  <si>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</si>
  <si>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</si>
  <si>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</si>
  <si>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</si>
  <si>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</si>
  <si>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</si>
  <si>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</si>
  <si>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</si>
  <si>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</si>
  <si>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</si>
  <si>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</si>
  <si>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</si>
  <si>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</si>
  <si>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</si>
  <si>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</si>
  <si>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</si>
  <si>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</si>
  <si>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</si>
  <si>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</si>
  <si>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</si>
  <si>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</si>
  <si>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</si>
  <si>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</si>
  <si>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</si>
  <si>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</si>
  <si>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</si>
  <si>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</si>
  <si>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</si>
  <si>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</si>
  <si>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</si>
  <si>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</si>
  <si>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</si>
  <si>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</si>
  <si>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</si>
  <si>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</si>
  <si>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</si>
  <si>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</si>
  <si>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</si>
  <si>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</si>
  <si>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</si>
  <si>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</si>
  <si>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</si>
  <si>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</si>
  <si>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</si>
  <si>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</si>
  <si>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</si>
  <si>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</si>
  <si>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</si>
  <si>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</si>
  <si>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</si>
  <si>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</si>
  <si>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</si>
  <si>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</si>
  <si>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</si>
  <si>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</si>
  <si>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</si>
  <si>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</si>
  <si>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</si>
  <si>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</si>
  <si>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</si>
  <si>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</si>
  <si>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</si>
  <si>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</si>
  <si>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</si>
  <si>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</si>
  <si>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</si>
  <si>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</si>
  <si>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</si>
  <si>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</si>
  <si>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</si>
  <si>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</si>
  <si>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</si>
  <si>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</si>
  <si>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</si>
  <si>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</si>
  <si>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</si>
  <si>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</si>
  <si>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</si>
  <si>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</si>
  <si>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</si>
  <si>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</si>
  <si>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</si>
  <si>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</si>
  <si>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</si>
  <si>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</si>
  <si>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</si>
  <si>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</si>
  <si>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</si>
  <si>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</si>
  <si>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</si>
  <si>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</si>
  <si>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</si>
  <si>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</si>
  <si>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</si>
  <si>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</si>
  <si>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</si>
  <si>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</si>
  <si>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</si>
  <si>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</si>
  <si>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</si>
  <si>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</si>
  <si>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</si>
  <si>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</si>
  <si>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</si>
  <si>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</si>
  <si>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</si>
  <si>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</si>
  <si>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</si>
  <si>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</si>
  <si>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</si>
  <si>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</si>
  <si>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</si>
  <si>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</si>
  <si>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</si>
  <si>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</si>
  <si>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</si>
  <si>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</si>
  <si>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</si>
  <si>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</si>
  <si>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</si>
  <si>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</si>
  <si>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</si>
  <si>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</si>
  <si>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</si>
  <si>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</si>
  <si>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</si>
  <si>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</si>
  <si>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</si>
  <si>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</si>
  <si>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</si>
  <si>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</si>
  <si>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</si>
  <si>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</si>
  <si>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</si>
  <si>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</si>
  <si>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</si>
  <si>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</si>
  <si>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</si>
  <si>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</si>
  <si>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</si>
  <si>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</si>
  <si>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</si>
  <si>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</si>
  <si>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</si>
  <si>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</si>
  <si>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</si>
  <si>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</si>
  <si>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</si>
  <si>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</si>
  <si>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</si>
  <si>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</si>
  <si>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</si>
  <si>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</si>
  <si>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</si>
  <si>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</si>
  <si>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</si>
  <si>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</si>
  <si>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</si>
  <si>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</si>
  <si>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</si>
  <si>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</si>
  <si>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</si>
  <si>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</si>
  <si>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</si>
  <si>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</si>
  <si>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</si>
  <si>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</si>
  <si>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</si>
  <si>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</si>
  <si>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</si>
  <si>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</si>
  <si>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</si>
  <si>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</si>
  <si>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</si>
  <si>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</si>
  <si>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</si>
  <si>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</si>
  <si>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</si>
  <si>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</si>
  <si>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</si>
  <si>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</si>
  <si>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</si>
  <si>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</si>
  <si>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</si>
  <si>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</si>
  <si>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</si>
  <si>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</si>
  <si>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</si>
  <si>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</si>
  <si>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</si>
  <si>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</si>
  <si>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</si>
  <si>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</si>
  <si>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</si>
  <si>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</si>
  <si>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</si>
  <si>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</si>
  <si>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</si>
  <si>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</si>
  <si>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</si>
  <si>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</si>
  <si>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</si>
  <si>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</si>
  <si>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</si>
  <si>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</si>
  <si>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</si>
  <si>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</si>
  <si>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</si>
  <si>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</si>
  <si>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</si>
  <si>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</si>
  <si>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</si>
  <si>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</si>
  <si>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</si>
  <si>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</si>
  <si>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</si>
  <si>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</si>
  <si>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</si>
  <si>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</si>
  <si>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</si>
  <si>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</si>
  <si>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</si>
  <si>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</si>
  <si>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</si>
  <si>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</si>
  <si>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</si>
  <si>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</si>
  <si>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</si>
  <si>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</si>
  <si>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</si>
  <si>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</si>
  <si>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</si>
  <si>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</si>
  <si>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</si>
  <si>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</si>
  <si>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</si>
  <si>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</si>
  <si>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</si>
  <si>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</si>
  <si>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</si>
  <si>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</si>
  <si>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</si>
  <si>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</si>
  <si>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</si>
  <si>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</si>
  <si>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</si>
  <si>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</si>
  <si>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</si>
  <si>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</si>
  <si>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</si>
  <si>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</si>
  <si>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</si>
  <si>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</si>
  <si>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</si>
  <si>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</si>
  <si>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</si>
  <si>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</si>
  <si>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</si>
  <si>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</si>
  <si>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</si>
  <si>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</si>
  <si>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</si>
  <si>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</si>
  <si>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</si>
  <si>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</si>
  <si>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</si>
  <si>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</si>
  <si>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</si>
  <si>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</si>
  <si>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</si>
  <si>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</si>
  <si>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</si>
  <si>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</si>
  <si>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</si>
  <si>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</si>
  <si>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</si>
  <si>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</si>
  <si>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</si>
  <si>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</si>
  <si>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</si>
  <si>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</si>
  <si>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</si>
  <si>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</si>
  <si>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</si>
  <si>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</si>
  <si>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</si>
  <si>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</si>
  <si>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</si>
  <si>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</si>
  <si>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</si>
  <si>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</si>
  <si>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</si>
  <si>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</si>
  <si>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</si>
  <si>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</si>
  <si>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</si>
  <si>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</si>
  <si>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</si>
  <si>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</si>
  <si>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</si>
  <si>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</si>
  <si>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</si>
  <si>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</si>
  <si>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</si>
  <si>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</si>
  <si>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</si>
  <si>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</si>
  <si>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</si>
  <si>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</si>
  <si>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</si>
  <si>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</si>
  <si>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</si>
  <si>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</si>
  <si>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</si>
  <si>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</si>
  <si>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</si>
  <si>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</si>
  <si>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</si>
  <si>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</si>
  <si>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</si>
  <si>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</si>
  <si>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</si>
  <si>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</si>
  <si>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</si>
  <si>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</si>
  <si>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</si>
  <si>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</si>
  <si>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</si>
  <si>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</si>
  <si>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</si>
  <si>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</si>
  <si>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</si>
  <si>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</si>
  <si>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</si>
  <si>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</si>
  <si>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</si>
  <si>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</si>
  <si>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</si>
  <si>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</si>
  <si>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</si>
  <si>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</si>
  <si>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</si>
  <si>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</si>
  <si>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</si>
  <si>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</si>
  <si>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</si>
  <si>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</si>
  <si>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</si>
  <si>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</si>
  <si>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</si>
  <si>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</si>
  <si>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</si>
  <si>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</si>
  <si>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</si>
  <si>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</si>
  <si>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</si>
  <si>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</si>
  <si>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</si>
  <si>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</si>
  <si>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</si>
  <si>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</si>
  <si>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</si>
  <si>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</si>
  <si>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</si>
  <si>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</si>
  <si>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</si>
  <si>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</si>
  <si>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</si>
  <si>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</si>
  <si>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</si>
  <si>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</si>
  <si>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</si>
  <si>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</si>
  <si>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</si>
  <si>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</si>
  <si>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</si>
  <si>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</si>
  <si>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</si>
  <si>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</si>
  <si>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</si>
  <si>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</si>
  <si>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</si>
  <si>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</si>
  <si>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</si>
  <si>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</si>
  <si>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</si>
  <si>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</si>
  <si>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</si>
  <si>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</si>
  <si>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</si>
  <si>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</si>
  <si>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</si>
  <si>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</si>
  <si>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</si>
  <si>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</si>
  <si>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</si>
  <si>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</si>
  <si>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</si>
  <si>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</si>
  <si>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</si>
  <si>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</si>
  <si>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</si>
  <si>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</si>
  <si>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</si>
  <si>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</si>
  <si>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</si>
  <si>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</si>
  <si>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</si>
  <si>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</si>
  <si>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</si>
  <si>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</si>
  <si>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</si>
  <si>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</si>
  <si>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</si>
  <si>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</si>
  <si>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</si>
  <si>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</si>
  <si>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</si>
  <si>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</si>
  <si>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</si>
  <si>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</si>
  <si>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</si>
  <si>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</si>
  <si>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</si>
  <si>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</si>
  <si>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</si>
  <si>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</si>
  <si>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</si>
  <si>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</si>
  <si>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</si>
  <si>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</si>
  <si>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</si>
  <si>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</si>
  <si>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</si>
  <si>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</si>
  <si>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</si>
  <si>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</si>
  <si>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</si>
  <si>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</si>
  <si>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</si>
  <si>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</si>
  <si>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</si>
  <si>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</si>
  <si>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</si>
  <si>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</si>
  <si>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</si>
  <si>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</si>
  <si>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</si>
  <si>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</si>
  <si>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</si>
  <si>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</si>
  <si>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</si>
  <si>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</si>
  <si>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</si>
  <si>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</si>
  <si>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</si>
  <si>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</si>
  <si>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</si>
  <si>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</si>
  <si>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</si>
  <si>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</si>
  <si>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</si>
  <si>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</si>
  <si>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</si>
  <si>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</si>
  <si>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</si>
  <si>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</si>
  <si>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</si>
  <si>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</si>
  <si>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</si>
  <si>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</si>
  <si>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</si>
  <si>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</si>
  <si>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</si>
  <si>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</si>
  <si>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</si>
  <si>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</si>
  <si>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</si>
  <si>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</si>
  <si>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</si>
  <si>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</si>
  <si>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</si>
  <si>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</si>
  <si>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</si>
  <si>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</si>
  <si>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</si>
  <si>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</si>
  <si>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</si>
  <si>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</si>
  <si>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</si>
  <si>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</si>
  <si>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</si>
  <si>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</si>
  <si>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</si>
  <si>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</si>
  <si>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</si>
  <si>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</si>
  <si>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</si>
  <si>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</si>
  <si>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</si>
  <si>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</si>
  <si>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</si>
  <si>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</si>
  <si>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</si>
  <si>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</si>
  <si>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</si>
  <si>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</si>
  <si>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</si>
  <si>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</si>
  <si>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</si>
  <si>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</si>
  <si>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</si>
  <si>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</si>
  <si>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</si>
  <si>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</si>
  <si>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</si>
  <si>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</si>
  <si>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</si>
  <si>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</si>
  <si>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</si>
  <si>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</si>
  <si>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</si>
  <si>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</si>
  <si>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</si>
  <si>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</si>
  <si>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</si>
  <si>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</si>
  <si>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</si>
  <si>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</si>
  <si>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</si>
  <si>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</si>
  <si>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</si>
  <si>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</si>
  <si>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</si>
  <si>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</si>
  <si>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</si>
  <si>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</si>
  <si>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</si>
  <si>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</si>
  <si>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</si>
  <si>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</si>
  <si>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</si>
  <si>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</si>
  <si>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</si>
  <si>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</si>
  <si>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</si>
  <si>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</si>
  <si>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</si>
  <si>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</si>
  <si>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</si>
  <si>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</si>
  <si>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</si>
  <si>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</si>
  <si>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</si>
  <si>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</si>
  <si>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</si>
  <si>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</si>
  <si>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</si>
  <si>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</si>
  <si>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</si>
  <si>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</si>
  <si>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</si>
  <si>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</si>
  <si>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</si>
  <si>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</si>
  <si>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</si>
  <si>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</si>
  <si>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</si>
  <si>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</si>
  <si>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</si>
  <si>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</si>
  <si>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</si>
  <si>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</si>
  <si>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</si>
  <si>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</si>
  <si>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</si>
  <si>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</si>
  <si>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</si>
  <si>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</si>
  <si>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</si>
  <si>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</si>
  <si>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</si>
  <si>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</si>
  <si>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</si>
  <si>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</si>
  <si>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</si>
  <si>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</si>
  <si>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</si>
  <si>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</si>
  <si>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</si>
  <si>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</si>
  <si>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</si>
  <si>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</si>
  <si>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</si>
  <si>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</si>
  <si>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</si>
  <si>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</si>
  <si>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</si>
  <si>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</si>
  <si>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</si>
  <si>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</si>
  <si>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</si>
  <si>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</si>
  <si>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</si>
  <si>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</si>
  <si>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</si>
  <si>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</si>
  <si>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</si>
  <si>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</si>
  <si>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</si>
  <si>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</si>
  <si>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</si>
  <si>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</si>
  <si>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</si>
  <si>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</si>
  <si>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</si>
  <si>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</si>
  <si>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</si>
  <si>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</si>
  <si>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</si>
  <si>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</si>
  <si>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</si>
  <si>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</si>
  <si>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</si>
  <si>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</si>
  <si>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</si>
  <si>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</si>
  <si>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</si>
  <si>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</si>
  <si>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</si>
  <si>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</si>
  <si>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</si>
  <si>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</si>
  <si>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</si>
  <si>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</si>
  <si>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</si>
  <si>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</si>
  <si>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</si>
  <si>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</si>
  <si>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</si>
  <si>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</si>
  <si>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</si>
  <si>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</si>
  <si>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</si>
  <si>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</si>
  <si>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</si>
  <si>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</si>
  <si>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</si>
  <si>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</si>
  <si>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</si>
  <si>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</si>
  <si>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</si>
  <si>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</si>
  <si>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</si>
  <si>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</si>
  <si>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</si>
  <si>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</si>
  <si>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</si>
  <si>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</si>
  <si>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</si>
  <si>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</si>
  <si>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</si>
  <si>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</si>
  <si>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</si>
  <si>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</si>
  <si>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</si>
  <si>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</si>
  <si>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</si>
  <si>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</si>
  <si>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</si>
  <si>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</si>
  <si>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</si>
  <si>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</si>
  <si>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</si>
  <si>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</si>
  <si>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</si>
  <si>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</si>
  <si>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</si>
  <si>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</si>
  <si>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</si>
  <si>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</si>
  <si>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</si>
  <si>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</si>
  <si>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</si>
  <si>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</si>
  <si>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</si>
  <si>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</si>
  <si>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</si>
  <si>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</si>
  <si>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</si>
  <si>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</si>
  <si>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</si>
  <si>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</si>
  <si>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</si>
  <si>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</si>
  <si>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</si>
  <si>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</si>
  <si>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</si>
  <si>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</si>
  <si>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</si>
  <si>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</si>
  <si>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</si>
  <si>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</si>
  <si>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</si>
  <si>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</si>
  <si>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</si>
  <si>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</si>
  <si>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</si>
  <si>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</si>
  <si>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</si>
  <si>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</si>
  <si>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</si>
  <si>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</si>
  <si>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</si>
  <si>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</si>
  <si>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</si>
  <si>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</si>
  <si>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</si>
  <si>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</si>
  <si>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</si>
  <si>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</si>
  <si>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</si>
  <si>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</si>
  <si>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</si>
  <si>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</si>
  <si>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</si>
  <si>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</si>
  <si>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</si>
  <si>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</si>
  <si>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</si>
  <si>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</si>
  <si>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</si>
  <si>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</si>
  <si>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</si>
  <si>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</si>
  <si>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</si>
  <si>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</si>
  <si>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</si>
  <si>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</si>
  <si>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</si>
  <si>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</si>
  <si>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</si>
  <si>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</si>
  <si>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</si>
  <si>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</si>
  <si>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</si>
  <si>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</si>
  <si>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</si>
  <si>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</si>
  <si>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</si>
  <si>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</si>
  <si>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</si>
  <si>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</si>
  <si>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</si>
  <si>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</si>
  <si>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</si>
  <si>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</si>
  <si>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</si>
  <si>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</si>
  <si>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</si>
  <si>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</si>
  <si>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</si>
  <si>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</si>
  <si>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</si>
  <si>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</si>
  <si>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</si>
  <si>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</si>
  <si>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</si>
  <si>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</si>
  <si>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</si>
  <si>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</si>
  <si>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</si>
  <si>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</si>
  <si>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</si>
  <si>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</si>
  <si>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</si>
  <si>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</si>
  <si>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</si>
  <si>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</si>
  <si>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</si>
  <si>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</si>
  <si>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</si>
  <si>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</si>
  <si>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</si>
  <si>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</si>
  <si>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</si>
  <si>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</si>
  <si>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</si>
  <si>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</si>
  <si>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</si>
  <si>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</si>
  <si>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</si>
  <si>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</si>
  <si>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</si>
  <si>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</si>
  <si>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</si>
  <si>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</si>
  <si>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</si>
  <si>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</si>
  <si>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</si>
  <si>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</si>
  <si>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</si>
  <si>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</si>
  <si>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</si>
  <si>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</si>
  <si>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</si>
  <si>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</si>
  <si>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</si>
  <si>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</si>
  <si>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</si>
  <si>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</si>
  <si>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</si>
  <si>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</si>
  <si>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</si>
  <si>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</si>
  <si>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</si>
  <si>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</si>
  <si>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</si>
  <si>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</si>
  <si>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</si>
  <si>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</si>
  <si>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</si>
  <si>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</si>
  <si>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</si>
  <si>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</si>
  <si>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</si>
  <si>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</si>
  <si>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</si>
  <si>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</si>
  <si>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</si>
  <si>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</si>
  <si>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</si>
  <si>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</si>
  <si>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</si>
  <si>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</si>
  <si>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</si>
  <si>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</si>
  <si>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</si>
  <si>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</si>
  <si>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</si>
  <si>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</si>
  <si>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</si>
  <si>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</si>
  <si>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</si>
  <si>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</si>
  <si>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</si>
  <si>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</si>
  <si>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</si>
  <si>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</si>
  <si>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</si>
  <si>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</si>
  <si>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</si>
  <si>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</si>
  <si>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</si>
  <si>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</si>
  <si>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</si>
  <si>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</si>
  <si>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</si>
  <si>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</si>
  <si>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</si>
  <si>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</si>
  <si>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</si>
  <si>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</si>
  <si>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</si>
  <si>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</si>
  <si>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</si>
  <si>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</si>
  <si>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</si>
  <si>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</si>
  <si>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</si>
  <si>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</si>
  <si>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</si>
  <si>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</si>
  <si>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</si>
  <si>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</si>
  <si>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</si>
  <si>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</si>
  <si>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</si>
  <si>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</si>
  <si>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</si>
  <si>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</si>
  <si>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</si>
  <si>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</si>
  <si>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</si>
  <si>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</si>
  <si>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</si>
  <si>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</si>
  <si>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</si>
  <si>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</si>
  <si>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</si>
  <si>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</si>
  <si>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</si>
  <si>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</si>
  <si>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</si>
  <si>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</si>
  <si>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</si>
  <si>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</si>
  <si>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</si>
  <si>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</si>
  <si>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</si>
  <si>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</si>
  <si>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</si>
  <si>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</si>
  <si>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</si>
  <si>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</si>
  <si>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</si>
  <si>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</si>
  <si>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</si>
  <si>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</si>
  <si>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</si>
  <si>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</si>
  <si>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</si>
  <si>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</si>
  <si>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</si>
  <si>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</si>
  <si>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</si>
  <si>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</si>
  <si>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</si>
  <si>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</si>
  <si>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</si>
  <si>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</si>
  <si>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</si>
  <si>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</si>
  <si>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</si>
  <si>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</si>
  <si>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</si>
  <si>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</si>
  <si>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</si>
  <si>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</si>
  <si>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</si>
  <si>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</si>
  <si>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</si>
  <si>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</si>
  <si>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</si>
  <si>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</si>
  <si>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</si>
  <si>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</si>
  <si>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</si>
  <si>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</si>
  <si>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</si>
  <si>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</si>
  <si>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</si>
  <si>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</si>
  <si>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</si>
  <si>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</si>
  <si>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</si>
  <si>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</si>
  <si>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</si>
  <si>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</si>
  <si>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</si>
  <si>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</si>
  <si>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</si>
  <si>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</si>
  <si>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</si>
  <si>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</si>
  <si>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</si>
  <si>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</si>
  <si>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</si>
  <si>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</si>
  <si>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</si>
  <si>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</si>
  <si>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</si>
  <si>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</si>
  <si>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</si>
  <si>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</si>
  <si>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</si>
  <si>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</si>
  <si>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</si>
  <si>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</si>
  <si>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</si>
  <si>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</si>
  <si>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</si>
  <si>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</si>
  <si>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</si>
  <si>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</si>
  <si>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</si>
  <si>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</si>
  <si>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</si>
  <si>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</si>
  <si>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</si>
  <si>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</si>
  <si>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</si>
  <si>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</si>
  <si>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</si>
  <si>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</si>
  <si>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</si>
  <si>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</si>
  <si>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</si>
  <si>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</si>
  <si>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</si>
  <si>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</si>
  <si>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</si>
  <si>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</si>
  <si>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</si>
  <si>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</si>
  <si>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</si>
  <si>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</si>
  <si>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</si>
  <si>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</si>
  <si>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</si>
  <si>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</si>
  <si>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</si>
  <si>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</si>
  <si>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</si>
  <si>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</si>
  <si>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</si>
  <si>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</si>
  <si>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</si>
  <si>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</si>
  <si>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</si>
  <si>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</si>
  <si>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</si>
  <si>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</si>
  <si>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</si>
  <si>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</si>
  <si>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</si>
  <si>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</si>
  <si>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</si>
  <si>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</si>
  <si>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</si>
  <si>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</si>
  <si>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</si>
  <si>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</si>
  <si>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</si>
  <si>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</si>
  <si>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</si>
  <si>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</si>
  <si>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</si>
  <si>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</si>
  <si>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</si>
  <si>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</si>
  <si>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</si>
  <si>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</si>
  <si>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</si>
  <si>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</si>
  <si>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</si>
  <si>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</si>
  <si>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</si>
  <si>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</si>
  <si>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</si>
  <si>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</si>
  <si>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</si>
  <si>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</si>
  <si>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</si>
  <si>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</si>
  <si>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</si>
  <si>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</si>
  <si>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</si>
  <si>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</si>
  <si>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</si>
  <si>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</si>
  <si>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</si>
  <si>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</si>
  <si>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</si>
  <si>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</si>
  <si>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</si>
  <si>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</si>
  <si>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</si>
  <si>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</si>
  <si>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</si>
  <si>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</si>
  <si>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</si>
  <si>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</si>
  <si>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</si>
  <si>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</si>
  <si>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</si>
  <si>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</si>
  <si>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</si>
  <si>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</si>
  <si>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</si>
  <si>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</si>
  <si>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</si>
  <si>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</si>
  <si>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</si>
  <si>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</si>
  <si>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</si>
  <si>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</si>
  <si>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</si>
  <si>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</si>
  <si>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</si>
  <si>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</si>
  <si>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</si>
  <si>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</si>
  <si>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</si>
  <si>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</si>
  <si>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</si>
  <si>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</si>
  <si>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</si>
  <si>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</si>
  <si>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</si>
  <si>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</si>
  <si>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</si>
  <si>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</si>
  <si>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</si>
  <si>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</si>
  <si>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</si>
  <si>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</si>
  <si>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</si>
  <si>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</si>
  <si>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</si>
  <si>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</si>
  <si>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</si>
  <si>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</si>
  <si>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</si>
  <si>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</si>
  <si>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</si>
  <si>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</si>
  <si>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</si>
  <si>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</si>
  <si>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</si>
  <si>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</si>
  <si>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</si>
  <si>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</si>
  <si>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</si>
  <si>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</si>
  <si>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</si>
  <si>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</si>
  <si>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</si>
  <si>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</si>
  <si>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</si>
  <si>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</si>
  <si>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</si>
  <si>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</si>
  <si>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</si>
  <si>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</si>
  <si>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</si>
  <si>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</si>
  <si>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</si>
  <si>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</si>
  <si>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</si>
  <si>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</si>
  <si>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</si>
  <si>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</si>
  <si>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</si>
  <si>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</si>
  <si>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</si>
  <si>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</si>
  <si>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</si>
  <si>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</si>
  <si>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</si>
  <si>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</si>
  <si>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</si>
  <si>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</si>
  <si>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</si>
  <si>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</si>
  <si>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</si>
  <si>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</si>
  <si>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</si>
  <si>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</si>
  <si>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</si>
  <si>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</si>
  <si>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</si>
  <si>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</si>
  <si>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</si>
  <si>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</si>
  <si>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</si>
  <si>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</si>
  <si>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</si>
  <si>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</si>
  <si>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</si>
  <si>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</si>
  <si>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</si>
  <si>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</si>
  <si>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</si>
  <si>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</si>
  <si>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</si>
  <si>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</si>
  <si>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</si>
  <si>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</si>
  <si>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</si>
  <si>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</si>
  <si>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</si>
  <si>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</si>
  <si>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</si>
  <si>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</si>
  <si>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</si>
  <si>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</si>
  <si>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</si>
  <si>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</si>
  <si>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</si>
  <si>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</si>
  <si>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</si>
  <si>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</si>
  <si>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</si>
  <si>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</si>
  <si>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</si>
  <si>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</si>
  <si>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</si>
  <si>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</si>
  <si>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</si>
  <si>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</si>
  <si>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</si>
  <si>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</si>
  <si>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</si>
  <si>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</si>
  <si>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</si>
  <si>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</si>
  <si>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</si>
  <si>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</si>
  <si>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</si>
  <si>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</si>
  <si>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</si>
  <si>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</si>
  <si>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</si>
  <si>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</si>
  <si>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</si>
  <si>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</si>
  <si>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</si>
  <si>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</si>
  <si>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</si>
  <si>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</si>
  <si>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</si>
  <si>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</si>
  <si>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</si>
  <si>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</si>
  <si>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</si>
  <si>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</si>
  <si>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</si>
  <si>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</si>
  <si>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</si>
  <si>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</si>
  <si>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</si>
  <si>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</si>
  <si>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</si>
  <si>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</si>
  <si>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</si>
  <si>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</si>
  <si>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</si>
  <si>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</si>
  <si>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</si>
  <si>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</si>
  <si>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</si>
  <si>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</si>
  <si>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</si>
  <si>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</si>
  <si>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</si>
  <si>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</si>
  <si>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</si>
  <si>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</si>
  <si>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</si>
  <si>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</si>
  <si>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</si>
  <si>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</si>
  <si>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</si>
  <si>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</si>
  <si>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</si>
  <si>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</si>
  <si>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</si>
  <si>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</si>
  <si>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</si>
  <si>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</si>
  <si>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</si>
  <si>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</si>
  <si>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</si>
  <si>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</si>
  <si>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</si>
  <si>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</si>
  <si>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</si>
  <si>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</si>
  <si>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</si>
  <si>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</si>
  <si>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</si>
  <si>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</si>
  <si>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</si>
  <si>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</si>
  <si>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</si>
  <si>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</si>
  <si>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</si>
  <si>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</si>
  <si>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</si>
  <si>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</si>
  <si>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</si>
  <si>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</si>
  <si>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</si>
  <si>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</si>
  <si>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</si>
  <si>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</si>
  <si>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</si>
  <si>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</si>
  <si>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</si>
  <si>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</si>
  <si>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</si>
  <si>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</si>
  <si>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</si>
  <si>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</si>
  <si>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</si>
  <si>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</si>
  <si>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</si>
  <si>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</si>
  <si>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</si>
  <si>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</si>
  <si>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</si>
  <si>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</si>
  <si>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</si>
  <si>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</si>
  <si>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</si>
  <si>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</si>
  <si>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</si>
  <si>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</si>
  <si>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</si>
  <si>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</si>
  <si>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</si>
  <si>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</si>
  <si>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</si>
  <si>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</si>
  <si>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</si>
  <si>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</si>
  <si>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</si>
  <si>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</si>
  <si>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</si>
  <si>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</si>
  <si>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</si>
  <si>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</si>
  <si>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</si>
  <si>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</si>
  <si>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</si>
  <si>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</si>
  <si>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</si>
  <si>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</si>
  <si>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</si>
  <si>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</si>
  <si>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</si>
  <si>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</si>
  <si>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</si>
  <si>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</si>
  <si>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</si>
  <si>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</si>
  <si>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</si>
  <si>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</si>
  <si>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</si>
  <si>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</si>
  <si>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</si>
  <si>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</si>
  <si>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</si>
  <si>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</si>
  <si>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</si>
  <si>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</si>
  <si>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</si>
  <si>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</si>
  <si>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</si>
  <si>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</si>
  <si>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</si>
  <si>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</si>
  <si>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</si>
  <si>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</si>
  <si>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</si>
  <si>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</si>
  <si>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</si>
  <si>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</si>
  <si>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</si>
  <si>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</si>
  <si>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</si>
  <si>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</si>
  <si>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</si>
  <si>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</si>
  <si>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</si>
  <si>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</si>
  <si>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</si>
  <si>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</si>
  <si>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</si>
  <si>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</si>
  <si>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</si>
  <si>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</si>
  <si>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</si>
  <si>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</si>
  <si>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</si>
  <si>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</si>
  <si>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</si>
  <si>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</si>
  <si>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</si>
  <si>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</si>
  <si>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</si>
  <si>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</si>
  <si>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</si>
  <si>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</si>
  <si>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</si>
  <si>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</si>
  <si>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</si>
  <si>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</si>
  <si>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</si>
  <si>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</si>
  <si>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</si>
  <si>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</si>
  <si>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</si>
  <si>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</si>
  <si>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</si>
  <si>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</si>
  <si>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</si>
  <si>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</si>
  <si>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</si>
  <si>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</si>
  <si>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</si>
  <si>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</si>
  <si>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</si>
  <si>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</si>
  <si>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</si>
  <si>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</si>
  <si>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</si>
  <si>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</si>
  <si>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</si>
  <si>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</si>
  <si>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</si>
  <si>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</si>
  <si>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</si>
  <si>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</si>
  <si>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</si>
  <si>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</si>
  <si>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</si>
  <si>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</si>
  <si>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</si>
  <si>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</si>
  <si>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</si>
  <si>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</si>
  <si>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</si>
  <si>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</si>
  <si>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</si>
  <si>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</si>
  <si>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</si>
  <si>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</si>
  <si>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</si>
  <si>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</si>
  <si>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</si>
  <si>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</si>
  <si>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</si>
  <si>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</si>
  <si>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</si>
  <si>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</si>
  <si>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</si>
  <si>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</si>
  <si>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</si>
  <si>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</si>
  <si>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</si>
  <si>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</si>
  <si>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</si>
  <si>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</si>
  <si>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</si>
  <si>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</si>
  <si>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</si>
  <si>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</si>
  <si>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</si>
  <si>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</si>
  <si>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</si>
  <si>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</si>
  <si>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</si>
  <si>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</si>
  <si>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</si>
  <si>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</si>
  <si>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</si>
  <si>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</si>
  <si>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</si>
  <si>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</si>
  <si>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</si>
  <si>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</si>
  <si>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</si>
  <si>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</si>
  <si>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</si>
  <si>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</si>
  <si>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</si>
  <si>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</si>
  <si>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</si>
  <si>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</si>
  <si>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</si>
  <si>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</si>
  <si>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</si>
  <si>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</si>
  <si>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</si>
  <si>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</si>
  <si>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</si>
  <si>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</si>
  <si>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</si>
  <si>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</si>
  <si>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</si>
  <si>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</si>
  <si>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</si>
  <si>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</si>
  <si>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</si>
  <si>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</si>
  <si>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</si>
  <si>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</si>
  <si>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</si>
  <si>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</si>
  <si>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</si>
  <si>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</si>
  <si>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</si>
  <si>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</si>
  <si>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</si>
  <si>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</si>
  <si>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</si>
  <si>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</si>
  <si>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</si>
  <si>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</si>
  <si>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</si>
  <si>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</si>
  <si>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</si>
  <si>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</si>
  <si>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</si>
  <si>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</si>
  <si>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</si>
  <si>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</si>
  <si>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</si>
  <si>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</si>
  <si>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</si>
  <si>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</si>
  <si>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</si>
  <si>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</si>
  <si>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</si>
  <si>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</si>
  <si>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</si>
  <si>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</si>
  <si>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</si>
  <si>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</si>
  <si>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</si>
  <si>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</si>
  <si>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</si>
  <si>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</si>
  <si>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</si>
  <si>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</si>
  <si>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</si>
  <si>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</si>
  <si>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</si>
  <si>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</si>
  <si>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</si>
  <si>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</si>
  <si>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</si>
  <si>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</si>
  <si>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</si>
  <si>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</si>
  <si>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</si>
  <si>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</si>
  <si>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</si>
  <si>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</si>
  <si>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</si>
  <si>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</si>
  <si>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</si>
  <si>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</si>
  <si>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</si>
  <si>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</si>
  <si>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</si>
  <si>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</si>
  <si>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</si>
  <si>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</si>
  <si>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</si>
  <si>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</si>
  <si>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</si>
  <si>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</si>
  <si>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</si>
  <si>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</si>
  <si>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</si>
  <si>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</si>
  <si>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</si>
  <si>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</si>
  <si>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</si>
  <si>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</si>
  <si>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</si>
  <si>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</si>
  <si>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</si>
  <si>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</si>
  <si>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</si>
  <si>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</si>
  <si>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</si>
  <si>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</si>
  <si>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</si>
  <si>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</si>
  <si>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</si>
  <si>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</si>
  <si>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</si>
  <si>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</si>
  <si>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</si>
  <si>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</si>
  <si>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</si>
  <si>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</si>
  <si>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</si>
  <si>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</si>
  <si>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</si>
  <si>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</si>
  <si>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</si>
  <si>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</si>
  <si>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</si>
  <si>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</si>
  <si>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</si>
  <si>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</si>
  <si>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</si>
  <si>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</si>
  <si>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</si>
  <si>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</si>
  <si>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</si>
  <si>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</si>
  <si>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</si>
  <si>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</si>
  <si>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</si>
  <si>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</si>
  <si>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</si>
  <si>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</si>
  <si>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</si>
  <si>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</si>
  <si>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</si>
  <si>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</si>
  <si>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</si>
  <si>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</si>
  <si>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</si>
  <si>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</si>
  <si>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</si>
  <si>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</si>
  <si>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</si>
  <si>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</si>
  <si>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</si>
  <si>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</si>
  <si>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</si>
  <si>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</si>
  <si>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</si>
  <si>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</si>
  <si>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</si>
  <si>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</si>
  <si>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</si>
  <si>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</si>
  <si>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</si>
  <si>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</si>
  <si>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</si>
  <si>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</si>
  <si>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</si>
  <si>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</si>
  <si>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</si>
  <si>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</si>
  <si>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</si>
  <si>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</si>
  <si>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</si>
  <si>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</si>
  <si>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</si>
  <si>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</si>
  <si>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</si>
  <si>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</si>
  <si>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</si>
  <si>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</si>
  <si>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</si>
  <si>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</si>
  <si>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</si>
  <si>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</si>
  <si>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</si>
  <si>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</si>
  <si>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</si>
  <si>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</si>
  <si>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</si>
  <si>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</si>
  <si>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</si>
  <si>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</si>
  <si>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</si>
  <si>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</si>
  <si>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</si>
  <si>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</si>
  <si>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</si>
  <si>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</si>
  <si>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</si>
  <si>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</si>
  <si>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</si>
  <si>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</si>
  <si>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</si>
  <si>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</si>
  <si>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</si>
  <si>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</si>
  <si>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</si>
  <si>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</si>
  <si>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</si>
  <si>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</si>
  <si>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</si>
  <si>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</si>
  <si>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</si>
  <si>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</si>
  <si>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</si>
  <si>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</si>
  <si>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</si>
  <si>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</si>
  <si>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</si>
  <si>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</si>
  <si>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</si>
  <si>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</si>
  <si>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</si>
  <si>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</si>
  <si>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</si>
  <si>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</si>
  <si>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</si>
  <si>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</si>
  <si>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</si>
  <si>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</si>
  <si>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</si>
  <si>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</si>
  <si>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</si>
  <si>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</si>
  <si>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</si>
  <si>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</si>
  <si>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</si>
  <si>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</si>
  <si>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</si>
  <si>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</si>
  <si>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</si>
  <si>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</si>
  <si>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</si>
  <si>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</si>
  <si>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</si>
  <si>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</si>
  <si>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</si>
  <si>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</si>
  <si>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</si>
  <si>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</si>
  <si>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</si>
  <si>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</si>
  <si>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</si>
  <si>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</si>
  <si>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</si>
  <si>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</si>
  <si>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</si>
  <si>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</si>
  <si>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</si>
  <si>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</si>
  <si>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</si>
  <si>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</si>
  <si>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</si>
  <si>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</si>
  <si>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</si>
  <si>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</si>
  <si>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</si>
  <si>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</si>
  <si>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</si>
  <si>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</si>
  <si>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</si>
  <si>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</si>
  <si>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</si>
  <si>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</si>
  <si>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</si>
  <si>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</si>
  <si>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</si>
  <si>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</si>
  <si>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</si>
  <si>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</si>
  <si>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</si>
  <si>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</si>
  <si>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</si>
  <si>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</si>
  <si>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</si>
  <si>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</si>
  <si>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</si>
  <si>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</si>
  <si>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</si>
  <si>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</si>
  <si>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</si>
  <si>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</si>
  <si>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</si>
  <si>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</si>
  <si>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</si>
  <si>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</si>
  <si>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</si>
  <si>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</si>
  <si>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</si>
  <si>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</si>
  <si>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</si>
  <si>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</si>
  <si>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</si>
  <si>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</si>
  <si>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</si>
  <si>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</si>
  <si>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</si>
  <si>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</si>
  <si>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</si>
  <si>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</si>
  <si>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</si>
  <si>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</si>
  <si>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</si>
  <si>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</si>
  <si>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</si>
  <si>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</si>
  <si>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</si>
  <si>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</si>
  <si>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</si>
  <si>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</si>
  <si>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</si>
  <si>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</si>
  <si>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</si>
  <si>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</si>
  <si>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</si>
  <si>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</si>
  <si>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</si>
  <si>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</si>
  <si>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</si>
  <si>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</si>
  <si>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</si>
  <si>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</si>
  <si>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</si>
  <si>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</si>
  <si>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</si>
  <si>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</si>
  <si>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</si>
  <si>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</si>
  <si>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</si>
  <si>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</si>
  <si>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</si>
  <si>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</si>
  <si>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</si>
  <si>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</si>
  <si>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</si>
  <si>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</si>
  <si>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</si>
  <si>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</si>
  <si>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</si>
  <si>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</si>
  <si>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</si>
  <si>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</si>
  <si>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</si>
  <si>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</si>
  <si>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</si>
  <si>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</si>
  <si>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</si>
  <si>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</si>
  <si>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</si>
  <si>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</si>
  <si>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</si>
  <si>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</si>
  <si>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</si>
  <si>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</si>
  <si>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</si>
  <si>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</si>
  <si>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</si>
  <si>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</si>
  <si>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</si>
  <si>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</si>
  <si>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</si>
  <si>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</si>
  <si>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</si>
  <si>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</si>
  <si>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</si>
  <si>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</si>
  <si>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</si>
  <si>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</si>
  <si>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</si>
  <si>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</si>
  <si>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</si>
  <si>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</si>
  <si>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</si>
  <si>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</si>
  <si>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</si>
  <si>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</si>
  <si>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</si>
  <si>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</si>
  <si>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</si>
  <si>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</si>
  <si>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</si>
  <si>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</si>
  <si>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</si>
  <si>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</si>
  <si>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</si>
  <si>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</si>
  <si>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</si>
  <si>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</si>
  <si>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</si>
  <si>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</si>
  <si>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</si>
  <si>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</si>
  <si>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</si>
  <si>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</si>
  <si>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</si>
  <si>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</si>
  <si>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</si>
  <si>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</si>
  <si>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</si>
  <si>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</si>
  <si>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</si>
  <si>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</si>
  <si>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</si>
  <si>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</si>
  <si>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</si>
  <si>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</si>
  <si>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</si>
  <si>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</si>
  <si>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</si>
  <si>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</si>
  <si>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</si>
  <si>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</si>
  <si>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</si>
  <si>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</si>
  <si>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</si>
  <si>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</si>
  <si>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</si>
  <si>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</si>
  <si>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</si>
  <si>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</si>
  <si>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</si>
  <si>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</si>
  <si>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</si>
  <si>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</si>
  <si>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</si>
  <si>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</si>
  <si>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</si>
  <si>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</si>
  <si>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</si>
  <si>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</si>
  <si>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</si>
  <si>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</si>
  <si>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</si>
  <si>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</si>
  <si>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</si>
  <si>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</si>
  <si>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</si>
  <si>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</si>
  <si>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</si>
  <si>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</si>
  <si>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</si>
  <si>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</si>
  <si>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</si>
  <si>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</si>
  <si>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</si>
  <si>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</si>
  <si>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</si>
  <si>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</si>
  <si>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</si>
  <si>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</si>
  <si>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</si>
  <si>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</si>
  <si>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</si>
  <si>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</si>
  <si>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</si>
  <si>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</si>
  <si>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</si>
  <si>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</si>
  <si>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</si>
  <si>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</si>
  <si>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</si>
  <si>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</si>
  <si>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</si>
  <si>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</si>
  <si>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</si>
  <si>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</si>
  <si>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</si>
  <si>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</si>
  <si>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</si>
  <si>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</si>
  <si>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</si>
  <si>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</si>
  <si>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</si>
  <si>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</si>
  <si>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</si>
  <si>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</si>
  <si>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</si>
  <si>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</si>
  <si>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</si>
  <si>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</si>
  <si>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</si>
  <si>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</si>
  <si>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</si>
  <si>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</si>
  <si>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</si>
  <si>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</si>
  <si>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</si>
  <si>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</si>
  <si>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</si>
  <si>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</si>
  <si>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</si>
  <si>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</si>
  <si>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</si>
  <si>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</si>
  <si>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</si>
  <si>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</si>
  <si>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</si>
  <si>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</si>
  <si>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</si>
  <si>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</si>
  <si>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</si>
  <si>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</si>
  <si>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</si>
  <si>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</si>
  <si>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</si>
  <si>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</si>
  <si>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</si>
  <si>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</si>
  <si>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</si>
  <si>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</si>
  <si>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</si>
  <si>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</si>
  <si>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</si>
  <si>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</si>
  <si>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</si>
  <si>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</si>
  <si>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</si>
  <si>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</si>
  <si>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</si>
  <si>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</si>
  <si>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</si>
  <si>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</si>
  <si>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</si>
  <si>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</si>
  <si>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</si>
  <si>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</si>
  <si>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</si>
  <si>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</si>
  <si>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</si>
  <si>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</si>
  <si>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</si>
  <si>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</si>
  <si>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</si>
  <si>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</si>
  <si>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</si>
  <si>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</si>
  <si>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</si>
  <si>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</si>
  <si>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</si>
  <si>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</si>
  <si>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</si>
  <si>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</si>
  <si>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</si>
  <si>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</si>
  <si>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</si>
  <si>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</si>
  <si>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</si>
  <si>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</si>
  <si>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</si>
  <si>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</si>
  <si>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</si>
  <si>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</si>
  <si>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</si>
  <si>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</si>
  <si>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</si>
  <si>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</si>
  <si>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</si>
  <si>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</si>
  <si>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</si>
  <si>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</si>
  <si>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</si>
  <si>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</si>
  <si>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</si>
  <si>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</si>
  <si>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</si>
  <si>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</si>
  <si>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</si>
  <si>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</si>
  <si>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</si>
  <si>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</si>
  <si>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</si>
  <si>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</si>
  <si>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</si>
  <si>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</si>
  <si>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</si>
  <si>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</si>
  <si>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</si>
  <si>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</si>
  <si>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</si>
  <si>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</si>
  <si>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</si>
  <si>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</si>
  <si>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</si>
  <si>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</si>
  <si>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</si>
  <si>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</si>
  <si>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</si>
  <si>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</si>
  <si>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</si>
  <si>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</si>
  <si>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</si>
  <si>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</si>
  <si>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</si>
  <si>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</si>
  <si>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</si>
  <si>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</si>
  <si>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</si>
  <si>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</si>
  <si>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</si>
  <si>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</si>
  <si>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</si>
  <si>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</si>
  <si>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</si>
  <si>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</si>
  <si>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</si>
  <si>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</si>
  <si>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</si>
  <si>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</si>
  <si>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</si>
  <si>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</si>
  <si>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</si>
  <si>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</si>
  <si>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</si>
  <si>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</si>
  <si>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</si>
  <si>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</si>
  <si>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</si>
  <si>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</si>
  <si>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</si>
  <si>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</si>
  <si>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</si>
  <si>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</si>
  <si>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</si>
  <si>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</si>
  <si>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</si>
  <si>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</si>
  <si>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</si>
  <si>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</si>
  <si>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</si>
  <si>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</si>
  <si>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</si>
  <si>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</si>
  <si>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</si>
  <si>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</si>
  <si>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</si>
  <si>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</si>
  <si>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</si>
  <si>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</si>
  <si>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</si>
  <si>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</si>
  <si>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</si>
  <si>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</si>
  <si>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</si>
  <si>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</si>
  <si>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</si>
  <si>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</si>
  <si>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</si>
  <si>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</si>
  <si>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</si>
  <si>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</si>
  <si>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</si>
  <si>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</si>
  <si>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</si>
  <si>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</si>
  <si>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</si>
  <si>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</si>
  <si>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</si>
  <si>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</si>
  <si>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</si>
  <si>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</si>
  <si>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</si>
  <si>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</si>
  <si>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</si>
  <si>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</si>
  <si>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</si>
  <si>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</si>
  <si>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</si>
  <si>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</si>
  <si>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</si>
  <si>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</si>
  <si>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</si>
  <si>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</si>
  <si>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</si>
  <si>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</si>
  <si>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</si>
  <si>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</si>
  <si>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</si>
  <si>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</si>
  <si>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</si>
  <si>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</si>
  <si>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</si>
  <si>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</si>
  <si>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</si>
  <si>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</si>
  <si>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</si>
  <si>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</si>
  <si>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</si>
  <si>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</si>
  <si>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</si>
  <si>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</si>
  <si>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</si>
  <si>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</si>
  <si>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</si>
  <si>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</si>
  <si>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</si>
  <si>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</si>
  <si>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</si>
  <si>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</si>
  <si>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</si>
  <si>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</si>
  <si>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</si>
  <si>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</si>
  <si>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</si>
  <si>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</si>
  <si>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</si>
  <si>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</si>
  <si>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</si>
  <si>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</si>
  <si>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</si>
  <si>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</si>
  <si>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</si>
  <si>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</si>
  <si>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</si>
  <si>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</si>
  <si>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</si>
  <si>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</si>
  <si>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</si>
  <si>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</si>
  <si>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</si>
  <si>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</si>
  <si>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</si>
  <si>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</si>
  <si>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</si>
  <si>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</si>
  <si>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</si>
  <si>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</si>
  <si>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</si>
  <si>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</si>
  <si>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</si>
  <si>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</si>
  <si>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</si>
  <si>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</si>
  <si>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</si>
  <si>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</si>
  <si>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</si>
  <si>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</si>
  <si>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</si>
  <si>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</si>
  <si>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</si>
  <si>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</si>
  <si>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</si>
  <si>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</si>
  <si>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</si>
  <si>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</si>
  <si>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</si>
  <si>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</si>
  <si>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</si>
  <si>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</si>
  <si>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</si>
  <si>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</si>
  <si>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</si>
  <si>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</si>
  <si>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</si>
  <si>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</si>
  <si>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</si>
  <si>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</si>
  <si>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</si>
  <si>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</si>
  <si>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</si>
  <si>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</si>
  <si>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</si>
  <si>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</si>
  <si>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</si>
  <si>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</si>
  <si>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</si>
  <si>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</si>
  <si>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</si>
  <si>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</si>
  <si>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</si>
  <si>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</si>
  <si>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</si>
  <si>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</si>
  <si>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</si>
  <si>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</si>
  <si>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</si>
  <si>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</si>
  <si>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</si>
  <si>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</si>
  <si>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</si>
  <si>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</si>
  <si>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</si>
  <si>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</si>
  <si>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</si>
  <si>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</si>
  <si>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</si>
  <si>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</si>
  <si>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</si>
  <si>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</si>
  <si>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</si>
  <si>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</si>
  <si>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</si>
  <si>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</si>
  <si>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</si>
  <si>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</si>
  <si>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</si>
  <si>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</si>
  <si>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</si>
  <si>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</si>
  <si>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</si>
  <si>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</si>
  <si>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</si>
  <si>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</si>
  <si>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</si>
  <si>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</si>
  <si>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</si>
  <si>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</si>
  <si>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</si>
  <si>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</si>
  <si>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</si>
  <si>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</si>
  <si>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</si>
  <si>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</si>
  <si>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</si>
  <si>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</si>
  <si>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</si>
  <si>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</si>
  <si>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</si>
  <si>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</si>
  <si>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</si>
  <si>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</si>
  <si>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</si>
  <si>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</si>
  <si>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</si>
  <si>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</si>
  <si>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</si>
  <si>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</si>
  <si>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</si>
  <si>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</si>
  <si>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</si>
  <si>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</si>
  <si>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</si>
  <si>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</si>
  <si>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</si>
  <si>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</si>
  <si>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</si>
  <si>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</si>
  <si>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</si>
  <si>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</si>
  <si>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</si>
  <si>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</si>
  <si>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</si>
  <si>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</si>
  <si>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</si>
  <si>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</si>
  <si>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</si>
  <si>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</si>
  <si>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</si>
  <si>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</si>
  <si>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</si>
  <si>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</si>
  <si>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</si>
  <si>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</si>
  <si>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</si>
  <si>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</si>
  <si>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</si>
  <si>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</si>
  <si>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</si>
  <si>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</si>
  <si>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</si>
  <si>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</si>
  <si>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</si>
  <si>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</si>
  <si>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</si>
  <si>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</si>
  <si>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</si>
  <si>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</si>
  <si>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</si>
  <si>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</si>
  <si>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</si>
  <si>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</si>
  <si>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</si>
  <si>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</si>
  <si>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</si>
  <si>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</si>
  <si>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</si>
  <si>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</si>
  <si>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</si>
  <si>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</si>
  <si>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</si>
  <si>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</si>
  <si>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</si>
  <si>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</si>
  <si>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</si>
  <si>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</si>
  <si>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</si>
  <si>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</si>
  <si>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</si>
  <si>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</si>
  <si>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</si>
  <si>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</si>
  <si>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</si>
  <si>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</si>
  <si>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</si>
  <si>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</si>
  <si>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</si>
  <si>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</si>
  <si>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</si>
  <si>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</si>
  <si>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</si>
  <si>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</si>
  <si>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</si>
  <si>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</si>
  <si>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</si>
  <si>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</si>
  <si>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</si>
  <si>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</si>
  <si>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</si>
  <si>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</si>
  <si>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</si>
  <si>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</si>
  <si>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</si>
  <si>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</si>
  <si>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</si>
  <si>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</si>
  <si>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</si>
  <si>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</si>
  <si>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</si>
  <si>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</si>
  <si>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</si>
  <si>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</si>
  <si>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</si>
  <si>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</si>
  <si>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</si>
  <si>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</si>
  <si>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</si>
  <si>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</si>
  <si>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</si>
  <si>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</si>
  <si>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</si>
  <si>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</si>
  <si>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</si>
  <si>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</si>
  <si>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</si>
  <si>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</si>
  <si>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</si>
  <si>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</si>
  <si>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</si>
  <si>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</si>
  <si>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</si>
  <si>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</si>
  <si>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</si>
  <si>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</si>
  <si>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</si>
  <si>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</si>
  <si>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</si>
  <si>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</si>
  <si>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</si>
  <si>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</si>
  <si>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</si>
  <si>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</si>
  <si>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</si>
  <si>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</si>
  <si>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</si>
  <si>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</si>
  <si>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</si>
  <si>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</si>
  <si>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</si>
  <si>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</si>
  <si>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</si>
  <si>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</si>
  <si>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</si>
  <si>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</si>
  <si>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</si>
  <si>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</si>
  <si>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</si>
  <si>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</si>
  <si>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</si>
  <si>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</si>
  <si>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</si>
  <si>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</si>
  <si>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</si>
  <si>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</si>
  <si>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</si>
  <si>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</si>
  <si>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</si>
  <si>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</si>
  <si>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</si>
  <si>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</si>
  <si>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</si>
  <si>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</si>
  <si>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</si>
  <si>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</si>
  <si>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</si>
  <si>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</si>
  <si>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</si>
  <si>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</si>
  <si>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</si>
  <si>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</si>
  <si>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</si>
  <si>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</si>
  <si>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</si>
  <si>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</si>
  <si>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</si>
  <si>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</si>
  <si>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</si>
  <si>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</si>
  <si>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</si>
  <si>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</si>
  <si>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</si>
  <si>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</si>
  <si>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</si>
  <si>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</si>
  <si>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</si>
  <si>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</si>
  <si>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</si>
  <si>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</si>
  <si>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</si>
  <si>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</si>
  <si>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</si>
  <si>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</si>
  <si>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</si>
  <si>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</si>
  <si>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</si>
  <si>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</si>
  <si>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</si>
  <si>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</si>
  <si>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</si>
  <si>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</si>
  <si>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</si>
  <si>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</si>
  <si>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</si>
  <si>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</si>
  <si>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</si>
  <si>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</si>
  <si>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</si>
  <si>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</si>
  <si>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</si>
  <si>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</si>
  <si>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</si>
  <si>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</si>
  <si>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</si>
  <si>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</si>
  <si>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</si>
  <si>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</si>
  <si>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</si>
  <si>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</si>
  <si>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</si>
  <si>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</si>
  <si>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</si>
  <si>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</si>
  <si>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</si>
  <si>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</si>
  <si>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</si>
  <si>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</si>
  <si>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</si>
  <si>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</si>
  <si>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</si>
  <si>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</si>
  <si>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</si>
  <si>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</si>
  <si>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</si>
  <si>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</si>
  <si>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</si>
  <si>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</si>
  <si>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</si>
  <si>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</si>
  <si>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</si>
  <si>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</si>
  <si>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</si>
  <si>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</si>
  <si>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</si>
  <si>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</si>
  <si>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</si>
  <si>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</si>
  <si>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</si>
  <si>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</si>
  <si>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</si>
  <si>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</si>
  <si>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</si>
  <si>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</si>
  <si>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</si>
  <si>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</si>
  <si>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</si>
  <si>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</si>
  <si>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</si>
  <si>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</si>
  <si>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</si>
  <si>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</si>
  <si>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</si>
  <si>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</si>
  <si>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</si>
  <si>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</si>
  <si>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</si>
  <si>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</si>
  <si>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</si>
  <si>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</si>
  <si>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</si>
  <si>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</si>
  <si>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</si>
  <si>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</si>
  <si>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</si>
  <si>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</si>
  <si>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</si>
  <si>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</si>
  <si>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</si>
  <si>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</si>
  <si>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</si>
  <si>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</si>
  <si>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</si>
  <si>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</si>
  <si>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</si>
  <si>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</si>
  <si>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</si>
  <si>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</si>
  <si>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</si>
  <si>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</si>
  <si>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</si>
  <si>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</si>
  <si>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</si>
  <si>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</si>
  <si>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</si>
  <si>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</si>
  <si>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</si>
  <si>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</si>
  <si>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</si>
  <si>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</si>
  <si>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</si>
  <si>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</si>
  <si>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</si>
  <si>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</si>
  <si>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</si>
  <si>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</si>
  <si>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</si>
  <si>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</si>
  <si>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</si>
  <si>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</si>
  <si>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</si>
  <si>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</si>
  <si>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</si>
  <si>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</si>
  <si>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</si>
  <si>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</si>
  <si>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</si>
  <si>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</si>
  <si>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</si>
  <si>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</si>
  <si>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</si>
  <si>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</si>
  <si>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</si>
  <si>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</si>
  <si>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</si>
  <si>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</si>
  <si>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</si>
  <si>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</si>
  <si>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</si>
  <si>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</si>
  <si>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</si>
  <si>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</si>
  <si>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</si>
  <si>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</si>
  <si>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</si>
  <si>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</si>
  <si>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</si>
  <si>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</si>
  <si>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</si>
  <si>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</si>
  <si>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</si>
  <si>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</si>
  <si>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</si>
  <si>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</si>
  <si>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</si>
  <si>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</si>
  <si>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</si>
  <si>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</si>
  <si>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</si>
  <si>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</si>
  <si>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</si>
  <si>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</si>
  <si>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</si>
  <si>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</si>
  <si>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</si>
  <si>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</si>
  <si>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</si>
  <si>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</si>
  <si>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</si>
  <si>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</si>
  <si>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</si>
  <si>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</si>
  <si>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</si>
  <si>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</si>
  <si>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</si>
  <si>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</si>
  <si>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</si>
  <si>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</si>
  <si>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</si>
  <si>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</si>
  <si>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</si>
  <si>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</si>
  <si>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</si>
  <si>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</si>
  <si>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</si>
  <si>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</si>
  <si>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</si>
  <si>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</si>
  <si>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</si>
  <si>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</si>
  <si>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</si>
  <si>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</si>
  <si>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</si>
  <si>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</si>
  <si>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</si>
  <si>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</si>
  <si>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</si>
  <si>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</si>
  <si>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</si>
  <si>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</si>
  <si>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</si>
  <si>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</si>
  <si>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</si>
  <si>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</si>
  <si>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</si>
  <si>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</si>
  <si>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</si>
  <si>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</si>
  <si>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</si>
  <si>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</si>
  <si>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</si>
  <si>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</si>
  <si>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</si>
  <si>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</si>
  <si>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</si>
  <si>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</si>
  <si>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</si>
  <si>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</si>
  <si>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</si>
  <si>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</si>
  <si>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</si>
  <si>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</si>
  <si>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</si>
  <si>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</si>
  <si>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</si>
  <si>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</si>
  <si>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</si>
  <si>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</si>
  <si>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</si>
  <si>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</si>
  <si>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</si>
  <si>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</si>
  <si>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</si>
  <si>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</si>
  <si>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</si>
  <si>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</si>
  <si>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</si>
  <si>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</si>
  <si>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</si>
  <si>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</si>
  <si>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</si>
  <si>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</si>
  <si>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</si>
  <si>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</si>
  <si>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</si>
  <si>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</si>
  <si>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</si>
  <si>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</si>
  <si>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</si>
  <si>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</si>
  <si>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</si>
  <si>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</si>
  <si>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</si>
  <si>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</si>
  <si>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</si>
  <si>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</si>
  <si>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</si>
  <si>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</si>
  <si>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</si>
  <si>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</si>
  <si>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</si>
  <si>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</si>
  <si>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</si>
  <si>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</si>
  <si>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</si>
  <si>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</si>
  <si>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</si>
  <si>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</si>
  <si>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</si>
  <si>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</si>
  <si>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</si>
  <si>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</si>
  <si>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</si>
  <si>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</si>
  <si>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</si>
  <si>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</si>
  <si>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</si>
  <si>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</si>
  <si>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</si>
  <si>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</si>
  <si>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</si>
  <si>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</si>
  <si>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</si>
  <si>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</si>
  <si>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</si>
  <si>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</si>
  <si>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</si>
  <si>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</si>
  <si>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</si>
  <si>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</si>
  <si>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</si>
  <si>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</si>
  <si>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</si>
  <si>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</si>
  <si>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</si>
  <si>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</si>
  <si>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</si>
  <si>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</si>
  <si>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</si>
  <si>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</si>
  <si>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</si>
  <si>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</si>
  <si>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</si>
  <si>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</si>
  <si>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</si>
  <si>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</si>
  <si>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</si>
  <si>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</si>
  <si>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</si>
  <si>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</si>
  <si>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</si>
  <si>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</si>
  <si>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</si>
  <si>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</si>
  <si>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</si>
  <si>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</si>
  <si>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</si>
  <si>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</si>
  <si>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</si>
  <si>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</si>
  <si>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</si>
  <si>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</si>
  <si>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</si>
  <si>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</si>
  <si>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</si>
  <si>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</si>
  <si>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</si>
  <si>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</si>
  <si>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</si>
  <si>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</si>
  <si>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</si>
  <si>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</si>
  <si>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</si>
  <si>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</si>
  <si>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</si>
  <si>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</si>
  <si>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</si>
  <si>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</si>
  <si>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</si>
  <si>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</si>
  <si>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</si>
  <si>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</si>
  <si>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</si>
  <si>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</si>
  <si>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</si>
  <si>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</si>
  <si>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</si>
  <si>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</si>
  <si>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</si>
  <si>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</si>
  <si>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</si>
  <si>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</si>
  <si>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</si>
  <si>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</si>
  <si>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</si>
  <si>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</si>
  <si>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</si>
  <si>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</si>
  <si>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</si>
  <si>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</si>
  <si>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</si>
  <si>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</si>
  <si>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</si>
  <si>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</si>
  <si>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</si>
  <si>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</si>
  <si>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</si>
  <si>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</si>
  <si>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</si>
  <si>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</si>
  <si>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</si>
  <si>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</si>
  <si>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</si>
  <si>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</si>
  <si>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</si>
  <si>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</si>
  <si>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</si>
  <si>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</si>
  <si>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</si>
  <si>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</si>
  <si>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</si>
  <si>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</si>
  <si>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</si>
  <si>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</si>
  <si>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</si>
  <si>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</si>
  <si>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</si>
  <si>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</si>
  <si>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</si>
  <si>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</si>
  <si>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</si>
  <si>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</si>
  <si>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</si>
  <si>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</si>
  <si>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</si>
  <si>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</si>
  <si>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</si>
  <si>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</si>
  <si>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</si>
  <si>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</si>
  <si>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</si>
  <si>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</si>
  <si>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</si>
  <si>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</si>
  <si>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</si>
  <si>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</si>
  <si>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</si>
  <si>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</si>
  <si>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</si>
  <si>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</si>
  <si>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</si>
  <si>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</si>
  <si>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</si>
  <si>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</si>
  <si>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</si>
  <si>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</si>
  <si>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</si>
  <si>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</si>
  <si>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</si>
  <si>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</si>
  <si>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</si>
  <si>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</si>
  <si>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</si>
  <si>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</si>
  <si>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</si>
  <si>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</si>
  <si>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</si>
  <si>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</si>
  <si>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</si>
  <si>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</si>
  <si>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</si>
  <si>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</si>
  <si>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</si>
  <si>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</si>
  <si>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</si>
  <si>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</si>
  <si>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</si>
  <si>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</si>
  <si>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</si>
  <si>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</si>
  <si>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</si>
  <si>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</si>
  <si>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</si>
  <si>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</si>
  <si>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</si>
  <si>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</si>
  <si>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</si>
  <si>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</si>
  <si>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</si>
  <si>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</si>
  <si>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</si>
  <si>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</si>
  <si>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</si>
  <si>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</si>
  <si>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</si>
  <si>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</si>
  <si>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</si>
  <si>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</si>
  <si>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</si>
  <si>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</si>
  <si>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</si>
  <si>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</si>
  <si>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</si>
  <si>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</si>
  <si>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</si>
  <si>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</si>
  <si>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</si>
  <si>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</si>
  <si>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</si>
  <si>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</si>
  <si>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</si>
  <si>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</si>
  <si>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</si>
  <si>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</si>
  <si>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</si>
  <si>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</si>
  <si>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</si>
  <si>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</si>
  <si>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</si>
  <si>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</si>
  <si>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</si>
  <si>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</si>
  <si>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</si>
  <si>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</si>
  <si>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</si>
  <si>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</si>
  <si>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</si>
  <si>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</si>
  <si>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</si>
  <si>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</si>
  <si>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</si>
  <si>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</si>
  <si>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</si>
  <si>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</si>
  <si>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</si>
  <si>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</si>
  <si>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</si>
  <si>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</si>
  <si>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</si>
  <si>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</si>
  <si>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</si>
  <si>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</si>
  <si>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</si>
  <si>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</si>
  <si>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</si>
  <si>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</si>
  <si>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</si>
  <si>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</si>
  <si>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</si>
  <si>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</si>
  <si>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</si>
  <si>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</si>
  <si>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</si>
  <si>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</si>
  <si>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</si>
  <si>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</si>
  <si>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</si>
  <si>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</si>
  <si>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</si>
  <si>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</si>
  <si>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</si>
  <si>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</si>
  <si>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</si>
  <si>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</si>
  <si>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</si>
  <si>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</si>
  <si>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</si>
  <si>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</si>
  <si>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</si>
  <si>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</si>
  <si>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</si>
  <si>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</si>
  <si>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</si>
  <si>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</si>
  <si>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</si>
  <si>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</si>
  <si>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</si>
  <si>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</si>
  <si>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</si>
  <si>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</si>
  <si>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</si>
  <si>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</si>
  <si>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</si>
  <si>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</si>
  <si>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</si>
  <si>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</si>
  <si>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</si>
  <si>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</si>
  <si>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</si>
  <si>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</si>
  <si>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</si>
  <si>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</si>
  <si>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</si>
  <si>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</si>
  <si>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</si>
  <si>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</si>
  <si>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</si>
  <si>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</si>
  <si>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</si>
  <si>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</si>
  <si>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</si>
  <si>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</si>
  <si>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</si>
  <si>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</si>
  <si>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</si>
  <si>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</si>
  <si>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</si>
  <si>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</si>
  <si>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</si>
  <si>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</si>
  <si>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</si>
  <si>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</si>
  <si>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</si>
  <si>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</si>
  <si>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</si>
  <si>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</si>
  <si>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</si>
  <si>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</si>
  <si>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</si>
  <si>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</si>
  <si>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</si>
  <si>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</si>
  <si>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</si>
  <si>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</si>
  <si>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</si>
  <si>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</si>
  <si>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</si>
  <si>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</si>
  <si>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</si>
  <si>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</si>
  <si>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</si>
  <si>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</si>
  <si>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</si>
  <si>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</si>
  <si>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</si>
  <si>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</si>
  <si>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</si>
  <si>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</si>
  <si>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</si>
  <si>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</si>
  <si>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</si>
  <si>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</si>
  <si>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</si>
  <si>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</si>
  <si>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</si>
  <si>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</si>
  <si>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</si>
  <si>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</si>
  <si>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</si>
  <si>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</si>
  <si>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</si>
  <si>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</si>
  <si>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</si>
  <si>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</si>
  <si>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</si>
  <si>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</si>
  <si>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</si>
  <si>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</si>
  <si>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</si>
  <si>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</si>
  <si>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</si>
  <si>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</si>
  <si>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</si>
  <si>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</si>
  <si>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</si>
  <si>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</si>
  <si>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</si>
  <si>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</si>
  <si>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</si>
  <si>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</si>
  <si>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</si>
  <si>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</si>
  <si>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</si>
  <si>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</si>
  <si>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</si>
  <si>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</si>
  <si>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</si>
  <si>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</si>
  <si>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</si>
  <si>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</si>
  <si>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</si>
  <si>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</si>
  <si>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</si>
  <si>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</si>
  <si>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</si>
  <si>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</si>
  <si>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</si>
  <si>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</si>
  <si>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</si>
  <si>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</si>
  <si>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</si>
  <si>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</si>
  <si>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</si>
  <si>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</si>
  <si>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</si>
  <si>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</si>
  <si>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</si>
  <si>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</si>
  <si>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</si>
  <si>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</si>
  <si>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</si>
  <si>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</si>
  <si>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</si>
  <si>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</si>
  <si>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</si>
  <si>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</si>
  <si>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</si>
  <si>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</si>
  <si>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</si>
  <si>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</si>
  <si>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</si>
  <si>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</si>
  <si>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</si>
  <si>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</si>
  <si>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</si>
  <si>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</si>
  <si>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</si>
  <si>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</si>
  <si>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</si>
  <si>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</si>
  <si>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</si>
  <si>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</si>
  <si>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</si>
  <si>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</si>
  <si>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</si>
  <si>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</si>
  <si>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</si>
  <si>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</si>
  <si>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</si>
  <si>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</si>
  <si>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</si>
  <si>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</si>
  <si>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</si>
  <si>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</si>
  <si>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</si>
  <si>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</si>
  <si>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</si>
  <si>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</si>
  <si>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</si>
  <si>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</si>
  <si>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</si>
  <si>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</si>
  <si>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</si>
  <si>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</si>
  <si>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</si>
  <si>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</si>
  <si>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</si>
  <si>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</si>
  <si>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</si>
  <si>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</si>
  <si>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</si>
  <si>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</si>
  <si>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</si>
  <si>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</si>
  <si>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</si>
  <si>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</si>
  <si>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</si>
  <si>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</si>
  <si>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</si>
  <si>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</si>
  <si>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</si>
  <si>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</si>
  <si>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</si>
  <si>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</si>
  <si>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</si>
  <si>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</si>
  <si>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</si>
  <si>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</si>
  <si>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</si>
  <si>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</si>
  <si>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</si>
  <si>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</si>
  <si>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</si>
  <si>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</si>
  <si>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</si>
  <si>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</si>
  <si>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</si>
  <si>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</si>
  <si>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</si>
  <si>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</si>
  <si>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</si>
  <si>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</si>
  <si>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</si>
  <si>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</si>
  <si>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</si>
  <si>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</si>
  <si>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</si>
  <si>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</si>
  <si>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</si>
  <si>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</si>
  <si>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</si>
  <si>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</si>
  <si>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</si>
  <si>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</si>
  <si>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</si>
  <si>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</si>
  <si>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</si>
  <si>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</si>
  <si>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</si>
  <si>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</si>
  <si>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</si>
  <si>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</si>
  <si>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</si>
  <si>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</si>
  <si>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</si>
  <si>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</si>
  <si>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</si>
  <si>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</si>
  <si>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</si>
  <si>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</si>
  <si>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</si>
  <si>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</si>
  <si>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</si>
  <si>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</si>
  <si>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</si>
  <si>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</si>
  <si>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</si>
  <si>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</si>
  <si>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</si>
  <si>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</si>
  <si>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</si>
  <si>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</si>
  <si>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</si>
  <si>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</si>
  <si>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</si>
  <si>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</si>
  <si>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</si>
  <si>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</si>
  <si>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</si>
  <si>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</si>
  <si>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</si>
  <si>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</si>
  <si>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</si>
  <si>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</si>
  <si>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</si>
  <si>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</si>
  <si>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</si>
  <si>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</si>
  <si>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</si>
  <si>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</si>
  <si>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</si>
  <si>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</si>
  <si>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</si>
  <si>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</si>
  <si>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</si>
  <si>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</si>
  <si>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</si>
  <si>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</si>
  <si>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</si>
  <si>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</si>
  <si>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</si>
  <si>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</si>
  <si>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</si>
  <si>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</si>
  <si>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</si>
  <si>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</si>
  <si>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</si>
  <si>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</si>
  <si>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</si>
  <si>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</si>
  <si>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</si>
  <si>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</si>
  <si>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</si>
  <si>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</si>
  <si>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</si>
  <si>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</si>
  <si>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</si>
  <si>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</si>
  <si>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</si>
  <si>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</si>
  <si>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</si>
  <si>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</si>
  <si>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</si>
  <si>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</si>
  <si>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</si>
  <si>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</si>
  <si>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</si>
  <si>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</si>
  <si>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</si>
  <si>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</si>
  <si>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</si>
  <si>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</si>
  <si>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</si>
  <si>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</si>
  <si>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</si>
  <si>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</si>
  <si>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</si>
  <si>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</si>
  <si>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</si>
  <si>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</si>
  <si>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</si>
  <si>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</si>
  <si>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</si>
  <si>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</si>
  <si>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</si>
  <si>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</si>
  <si>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</si>
  <si>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</si>
  <si>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</si>
  <si>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</si>
  <si>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</si>
  <si>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</si>
  <si>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</si>
  <si>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</si>
  <si>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</si>
  <si>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</si>
  <si>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</si>
  <si>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</si>
  <si>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</si>
  <si>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</si>
  <si>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</si>
  <si>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</si>
  <si>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</si>
  <si>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</si>
  <si>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</si>
  <si>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</si>
  <si>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</si>
  <si>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</si>
  <si>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</si>
  <si>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</si>
  <si>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</si>
  <si>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</si>
  <si>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</si>
  <si>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</si>
  <si>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</si>
  <si>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</si>
  <si>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</si>
  <si>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</si>
  <si>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</si>
  <si>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</si>
  <si>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</si>
  <si>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</si>
  <si>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</si>
  <si>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</si>
  <si>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</si>
  <si>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</si>
  <si>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</si>
  <si>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</si>
  <si>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</si>
  <si>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</si>
  <si>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</si>
  <si>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</si>
  <si>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</si>
  <si>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</si>
  <si>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</si>
  <si>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</si>
  <si>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</si>
  <si>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</si>
  <si>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</si>
  <si>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</si>
  <si>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</si>
  <si>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</si>
  <si>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</si>
  <si>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</si>
  <si>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</si>
  <si>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</si>
  <si>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</si>
  <si>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</si>
  <si>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</si>
  <si>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</si>
  <si>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</si>
  <si>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</si>
  <si>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</si>
  <si>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</si>
  <si>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</si>
  <si>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</si>
  <si>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</si>
  <si>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</si>
  <si>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</si>
  <si>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</si>
  <si>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</si>
  <si>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</si>
  <si>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</si>
  <si>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</si>
  <si>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</si>
  <si>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</si>
  <si>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</si>
  <si>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</si>
  <si>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</si>
  <si>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</si>
  <si>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</si>
  <si>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</si>
  <si>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</si>
  <si>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</si>
  <si>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</si>
  <si>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</si>
  <si>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</si>
  <si>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</si>
  <si>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</si>
  <si>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</si>
  <si>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</si>
  <si>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</si>
  <si>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</si>
  <si>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</si>
  <si>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</si>
  <si>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</si>
  <si>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</si>
  <si>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</si>
  <si>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</si>
  <si>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</si>
  <si>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</si>
  <si>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</si>
  <si>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</si>
  <si>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</si>
  <si>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</si>
  <si>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</si>
  <si>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</si>
  <si>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</si>
  <si>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</si>
  <si>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</si>
  <si>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</si>
  <si>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</si>
  <si>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</si>
  <si>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</si>
  <si>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</si>
  <si>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</si>
  <si>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</si>
  <si>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</si>
  <si>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</si>
  <si>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</si>
  <si>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</si>
  <si>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</si>
  <si>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</si>
  <si>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</si>
  <si>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</si>
  <si>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</si>
  <si>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</si>
  <si>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</si>
  <si>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</si>
  <si>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</si>
  <si>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</si>
  <si>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</si>
  <si>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</si>
  <si>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</si>
  <si>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</si>
  <si>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</si>
  <si>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</si>
  <si>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</si>
  <si>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</si>
  <si>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</si>
  <si>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</si>
  <si>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</si>
  <si>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</si>
  <si>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</si>
  <si>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</si>
  <si>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</si>
  <si>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</si>
  <si>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</si>
  <si>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</si>
  <si>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</si>
  <si>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</si>
  <si>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</si>
  <si>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</si>
  <si>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</si>
  <si>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</si>
  <si>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</si>
  <si>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</si>
  <si>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</si>
  <si>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</si>
  <si>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</si>
  <si>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</si>
  <si>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</si>
  <si>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</si>
  <si>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</si>
  <si>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</si>
  <si>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</si>
  <si>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</si>
  <si>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</si>
  <si>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</si>
  <si>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</si>
  <si>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</si>
  <si>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</si>
  <si>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</si>
  <si>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</si>
  <si>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</si>
  <si>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</si>
  <si>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</si>
  <si>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</si>
  <si>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</si>
  <si>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</si>
  <si>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</si>
  <si>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</si>
  <si>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</si>
  <si>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</si>
  <si>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</si>
  <si>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</si>
  <si>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</si>
  <si>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</si>
  <si>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</si>
  <si>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</si>
  <si>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</si>
  <si>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</si>
  <si>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</si>
  <si>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</si>
  <si>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</si>
  <si>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</si>
  <si>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</si>
  <si>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</si>
  <si>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</si>
  <si>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</si>
  <si>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</si>
  <si>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</si>
  <si>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</si>
  <si>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</si>
  <si>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</si>
  <si>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</si>
  <si>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</si>
  <si>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</si>
  <si>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</si>
  <si>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</si>
  <si>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</si>
  <si>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</si>
  <si>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</si>
  <si>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</si>
  <si>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</si>
  <si>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</si>
  <si>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</si>
  <si>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</si>
  <si>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</si>
  <si>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</si>
  <si>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</si>
  <si>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</si>
  <si>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</si>
  <si>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</si>
  <si>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</si>
  <si>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</si>
  <si>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</si>
  <si>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</si>
  <si>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</si>
  <si>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</si>
  <si>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</si>
  <si>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</si>
  <si>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</si>
  <si>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</si>
  <si>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</si>
  <si>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</si>
  <si>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</si>
  <si>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</si>
  <si>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</si>
  <si>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</si>
  <si>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</si>
  <si>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</si>
  <si>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</si>
  <si>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</si>
  <si>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</si>
  <si>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</si>
  <si>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</si>
  <si>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</si>
  <si>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</si>
  <si>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</si>
  <si>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</si>
  <si>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</si>
  <si>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</si>
  <si>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</si>
  <si>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</si>
  <si>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</si>
  <si>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</si>
  <si>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</si>
  <si>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</si>
  <si>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</si>
  <si>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</si>
  <si>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</si>
  <si>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</si>
  <si>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</si>
  <si>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</si>
  <si>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</si>
  <si>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</si>
  <si>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</si>
  <si>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</si>
  <si>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</si>
  <si>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</si>
  <si>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</si>
  <si>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</si>
  <si>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</si>
  <si>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</si>
  <si>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</si>
  <si>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</si>
  <si>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</si>
  <si>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</si>
  <si>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</si>
  <si>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</si>
  <si>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</si>
  <si>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</si>
  <si>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</si>
  <si>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</si>
  <si>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</si>
  <si>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</si>
  <si>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</si>
  <si>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</si>
  <si>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</si>
  <si>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</si>
  <si>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</si>
  <si>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</si>
  <si>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</si>
  <si>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</si>
  <si>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</si>
  <si>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</si>
  <si>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</si>
  <si>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</si>
  <si>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</si>
  <si>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</si>
  <si>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</si>
  <si>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</si>
  <si>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</si>
  <si>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</si>
  <si>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</si>
  <si>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</si>
  <si>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</si>
  <si>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</si>
  <si>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</si>
  <si>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</si>
  <si>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</si>
  <si>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</si>
  <si>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</si>
  <si>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</si>
  <si>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</si>
  <si>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</si>
  <si>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</si>
  <si>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</si>
  <si>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</si>
  <si>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</si>
  <si>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</si>
  <si>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</si>
  <si>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</si>
  <si>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</si>
  <si>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</si>
  <si>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</si>
  <si>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</si>
  <si>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</si>
  <si>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</si>
  <si>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</si>
  <si>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</si>
  <si>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</si>
  <si>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</si>
  <si>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</si>
  <si>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</si>
  <si>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</si>
  <si>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</si>
  <si>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</si>
  <si>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</si>
  <si>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</si>
  <si>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</si>
  <si>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</si>
  <si>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</si>
  <si>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</si>
  <si>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</si>
  <si>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</si>
  <si>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</si>
  <si>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</si>
  <si>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</si>
  <si>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</si>
  <si>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</si>
  <si>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</si>
  <si>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</si>
  <si>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</si>
  <si>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</si>
  <si>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</si>
  <si>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</si>
  <si>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</si>
  <si>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</si>
  <si>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</si>
  <si>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</si>
  <si>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</si>
  <si>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</si>
  <si>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</si>
  <si>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</si>
  <si>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</si>
  <si>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</si>
  <si>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</si>
  <si>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</si>
  <si>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</si>
  <si>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</si>
  <si>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</si>
  <si>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</si>
  <si>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</si>
  <si>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</si>
  <si>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</si>
  <si>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</si>
  <si>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</si>
  <si>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</si>
  <si>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</si>
  <si>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</si>
  <si>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</si>
  <si>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</si>
  <si>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</si>
  <si>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</si>
  <si>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</si>
  <si>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</si>
  <si>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</si>
  <si>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</si>
  <si>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</si>
  <si>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</si>
  <si>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</si>
  <si>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</si>
  <si>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</si>
  <si>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</si>
  <si>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</si>
  <si>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</si>
  <si>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</si>
  <si>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</si>
  <si>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</si>
  <si>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</si>
  <si>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</si>
  <si>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</si>
  <si>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</si>
  <si>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</si>
  <si>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</si>
  <si>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</si>
  <si>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</si>
  <si>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</si>
  <si>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</si>
  <si>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</si>
  <si>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</si>
  <si>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</si>
  <si>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</si>
  <si>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</si>
  <si>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</si>
  <si>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</si>
  <si>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</si>
  <si>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</si>
  <si>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</si>
  <si>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</si>
  <si>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</si>
  <si>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</si>
  <si>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</si>
  <si>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</si>
  <si>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</si>
  <si>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</si>
  <si>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</si>
  <si>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</si>
  <si>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</si>
  <si>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</si>
  <si>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</si>
  <si>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</si>
  <si>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</si>
  <si>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</si>
  <si>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</si>
  <si>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</si>
  <si>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</si>
  <si>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</si>
  <si>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</si>
  <si>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</si>
  <si>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</si>
  <si>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</si>
  <si>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</si>
  <si>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</si>
  <si>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</si>
  <si>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</si>
  <si>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</si>
  <si>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</si>
  <si>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</si>
  <si>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</si>
  <si>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</si>
  <si>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</si>
  <si>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</si>
  <si>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</si>
  <si>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</si>
  <si>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</si>
  <si>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</si>
  <si>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</si>
  <si>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</si>
  <si>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</si>
  <si>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</si>
  <si>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</si>
  <si>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</si>
  <si>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</si>
  <si>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</si>
  <si>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</si>
  <si>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</si>
  <si>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</si>
  <si>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</si>
  <si>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</si>
  <si>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</si>
  <si>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</si>
  <si>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</si>
  <si>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</si>
  <si>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</si>
  <si>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</si>
  <si>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</si>
  <si>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</si>
  <si>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</si>
  <si>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</si>
  <si>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</si>
  <si>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</si>
  <si>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</si>
  <si>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</si>
  <si>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</si>
  <si>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</si>
  <si>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</si>
  <si>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</si>
  <si>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</si>
  <si>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</si>
  <si>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</si>
  <si>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</si>
  <si>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</si>
  <si>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</si>
  <si>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</si>
  <si>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</si>
  <si>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</si>
  <si>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</si>
  <si>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</si>
  <si>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</si>
  <si>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</si>
  <si>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</si>
  <si>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</si>
  <si>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</si>
  <si>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</si>
  <si>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</si>
  <si>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</si>
  <si>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</si>
  <si>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</si>
  <si>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</si>
  <si>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</si>
  <si>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</si>
  <si>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</si>
  <si>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</si>
  <si>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</si>
  <si>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</si>
  <si>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</si>
  <si>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</si>
  <si>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</si>
  <si>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</si>
  <si>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</si>
  <si>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</si>
  <si>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</si>
  <si>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</si>
  <si>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</si>
  <si>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</si>
  <si>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</si>
  <si>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</si>
  <si>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</si>
  <si>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</si>
  <si>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</si>
  <si>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</si>
  <si>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</si>
  <si>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</si>
  <si>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</si>
  <si>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</si>
  <si>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</si>
  <si>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</si>
  <si>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</si>
  <si>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</si>
  <si>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</si>
  <si>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</si>
  <si>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</si>
  <si>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</si>
  <si>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</si>
  <si>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</si>
  <si>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</si>
  <si>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</si>
  <si>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</si>
  <si>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</si>
  <si>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</si>
  <si>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</si>
  <si>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</si>
  <si>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</si>
  <si>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</si>
  <si>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</si>
  <si>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</si>
  <si>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</si>
  <si>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</si>
  <si>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</si>
  <si>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</si>
  <si>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</si>
  <si>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</si>
  <si>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</si>
  <si>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</si>
  <si>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</si>
  <si>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</si>
  <si>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</si>
  <si>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</si>
  <si>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</si>
  <si>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</si>
  <si>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</si>
  <si>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</si>
  <si>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</si>
  <si>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</si>
  <si>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</si>
  <si>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</si>
  <si>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</si>
  <si>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</si>
  <si>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</si>
  <si>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</si>
  <si>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</si>
  <si>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</si>
  <si>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</si>
  <si>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</si>
  <si>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</si>
  <si>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</si>
  <si>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</si>
  <si>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</si>
  <si>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</si>
  <si>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</si>
  <si>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</si>
  <si>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</si>
  <si>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</si>
  <si>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</si>
  <si>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</si>
  <si>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</si>
  <si>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</si>
  <si>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</si>
  <si>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</si>
  <si>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</si>
  <si>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</si>
  <si>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</si>
  <si>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</si>
  <si>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</si>
  <si>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</si>
  <si>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</si>
  <si>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</si>
  <si>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</si>
  <si>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</si>
  <si>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</si>
  <si>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</si>
  <si>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</si>
  <si>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</si>
  <si>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</si>
  <si>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</si>
  <si>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</si>
  <si>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</si>
  <si>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</si>
  <si>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</si>
  <si>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</si>
  <si>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</si>
  <si>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</si>
  <si>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</si>
  <si>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</si>
  <si>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</si>
  <si>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</si>
  <si>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</si>
  <si>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</si>
  <si>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</si>
  <si>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</si>
  <si>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</si>
  <si>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</si>
  <si>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</si>
  <si>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</si>
  <si>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</si>
  <si>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</si>
  <si>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</si>
  <si>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</si>
  <si>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</si>
  <si>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</si>
  <si>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</si>
  <si>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</si>
  <si>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</si>
  <si>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</si>
  <si>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</si>
  <si>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</si>
  <si>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</si>
  <si>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</si>
  <si>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</si>
  <si>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</si>
  <si>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</si>
  <si>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</si>
  <si>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</si>
  <si>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</si>
  <si>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</si>
  <si>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</si>
  <si>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</si>
  <si>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</si>
  <si>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</si>
  <si>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</si>
  <si>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</si>
  <si>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</si>
  <si>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</si>
  <si>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</si>
  <si>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</si>
  <si>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</si>
  <si>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</si>
  <si>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</si>
  <si>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</si>
  <si>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</si>
  <si>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</si>
  <si>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</si>
  <si>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</si>
  <si>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</si>
  <si>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</si>
  <si>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</si>
  <si>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</si>
  <si>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</si>
  <si>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</si>
  <si>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</si>
  <si>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</si>
  <si>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</si>
  <si>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</si>
  <si>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</si>
  <si>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</si>
  <si>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</si>
  <si>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</si>
  <si>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</si>
  <si>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</si>
  <si>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</si>
  <si>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</si>
  <si>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</si>
  <si>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</si>
  <si>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</si>
  <si>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</si>
  <si>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</si>
  <si>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</si>
  <si>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</si>
  <si>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</si>
  <si>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</si>
  <si>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</si>
  <si>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</si>
  <si>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</si>
  <si>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</si>
  <si>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</si>
  <si>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</si>
  <si>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</si>
  <si>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</si>
  <si>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</si>
  <si>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</si>
  <si>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</si>
  <si>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</si>
  <si>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</si>
  <si>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</si>
  <si>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</si>
  <si>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</si>
  <si>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</si>
  <si>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</si>
  <si>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</si>
  <si>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</si>
  <si>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</si>
  <si>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</si>
  <si>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</si>
  <si>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</si>
  <si>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</si>
  <si>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</si>
  <si>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</si>
  <si>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</si>
  <si>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</si>
  <si>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</si>
  <si>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</si>
  <si>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</si>
  <si>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</si>
  <si>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</si>
  <si>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</si>
  <si>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</si>
  <si>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</si>
  <si>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</si>
  <si>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</si>
  <si>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</si>
  <si>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</si>
  <si>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</si>
  <si>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</si>
  <si>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</si>
  <si>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</si>
  <si>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</si>
  <si>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</si>
  <si>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</si>
  <si>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</si>
  <si>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</si>
  <si>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</si>
  <si>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</si>
  <si>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</si>
  <si>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</si>
  <si>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</si>
  <si>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</si>
  <si>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</si>
  <si>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</si>
  <si>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</si>
  <si>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</si>
  <si>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</si>
  <si>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</si>
  <si>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</si>
  <si>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</si>
  <si>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</si>
  <si>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</si>
  <si>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</si>
  <si>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</si>
  <si>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</si>
  <si>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</si>
  <si>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</si>
  <si>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</si>
  <si>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</si>
  <si>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</si>
  <si>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</si>
  <si>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</si>
  <si>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</si>
  <si>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</si>
  <si>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</si>
  <si>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</si>
  <si>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</si>
  <si>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</si>
  <si>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</si>
  <si>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</si>
  <si>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</si>
  <si>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</si>
  <si>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</si>
  <si>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</si>
  <si>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</si>
  <si>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</si>
  <si>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</si>
  <si>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</si>
  <si>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</si>
  <si>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</si>
  <si>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</si>
  <si>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</si>
  <si>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</si>
  <si>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</si>
  <si>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</si>
  <si>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</si>
  <si>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</si>
  <si>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</si>
  <si>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</si>
  <si>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</si>
  <si>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</si>
  <si>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</si>
  <si>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</si>
  <si>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</si>
  <si>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</si>
  <si>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</si>
  <si>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</si>
  <si>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</si>
  <si>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</si>
  <si>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</si>
  <si>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</si>
  <si>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</si>
  <si>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</si>
  <si>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</si>
  <si>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</si>
  <si>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</si>
  <si>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</si>
  <si>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</si>
  <si>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</si>
  <si>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</si>
  <si>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</si>
  <si>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</si>
  <si>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</si>
  <si>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</si>
  <si>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</si>
  <si>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</si>
  <si>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</si>
  <si>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</si>
  <si>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</si>
  <si>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</si>
  <si>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</si>
  <si>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</si>
  <si>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</si>
  <si>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</si>
  <si>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</si>
  <si>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</si>
  <si>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</si>
  <si>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</si>
  <si>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</si>
  <si>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</si>
  <si>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</si>
  <si>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</si>
  <si>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</si>
  <si>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</si>
  <si>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</si>
  <si>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</si>
  <si>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</si>
  <si>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</si>
  <si>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</si>
  <si>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</si>
  <si>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</si>
  <si>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</si>
  <si>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</si>
  <si>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</si>
  <si>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</si>
  <si>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</si>
  <si>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</si>
  <si>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</si>
  <si>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</si>
  <si>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</si>
  <si>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</si>
  <si>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</si>
  <si>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</si>
  <si>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</si>
  <si>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</si>
  <si>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</si>
  <si>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</si>
  <si>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</si>
  <si>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</si>
  <si>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</si>
  <si>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</si>
  <si>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</si>
  <si>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</si>
  <si>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</si>
  <si>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</si>
  <si>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</si>
  <si>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</si>
  <si>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</si>
  <si>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</si>
  <si>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</si>
  <si>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</si>
  <si>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</si>
  <si>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</si>
  <si>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</si>
  <si>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</si>
  <si>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</si>
  <si>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</si>
  <si>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</si>
  <si>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</si>
  <si>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</si>
  <si>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</si>
  <si>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</si>
  <si>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</si>
  <si>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</si>
  <si>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</si>
  <si>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</si>
  <si>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</si>
  <si>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</si>
  <si>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</si>
  <si>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</si>
  <si>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</si>
  <si>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</si>
  <si>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</si>
  <si>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</si>
  <si>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</si>
  <si>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</si>
  <si>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</si>
  <si>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</si>
  <si>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</si>
  <si>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</si>
  <si>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</si>
  <si>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</si>
  <si>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</si>
  <si>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</si>
  <si>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</si>
  <si>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</si>
  <si>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</si>
  <si>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</si>
  <si>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</si>
  <si>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</si>
  <si>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</si>
  <si>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</si>
  <si>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</si>
  <si>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</si>
  <si>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</si>
  <si>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</si>
  <si>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</si>
  <si>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</si>
  <si>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</si>
  <si>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</si>
  <si>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</si>
  <si>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</si>
  <si>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</si>
  <si>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</si>
  <si>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</si>
  <si>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</si>
  <si>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</si>
  <si>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</si>
  <si>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</si>
  <si>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</si>
  <si>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</si>
  <si>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</si>
  <si>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</si>
  <si>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</si>
  <si>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</si>
  <si>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</si>
  <si>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</si>
  <si>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</si>
  <si>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</si>
  <si>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</si>
  <si>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</si>
  <si>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</si>
  <si>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</si>
  <si>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</si>
  <si>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</si>
  <si>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</si>
  <si>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</si>
  <si>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</si>
  <si>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</si>
  <si>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</si>
  <si>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</si>
  <si>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</si>
  <si>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</si>
  <si>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</si>
  <si>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</si>
  <si>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</si>
  <si>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</si>
  <si>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</si>
  <si>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</si>
  <si>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</si>
  <si>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</si>
  <si>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</si>
  <si>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</si>
  <si>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</si>
  <si>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</si>
  <si>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</si>
  <si>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</si>
  <si>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</si>
  <si>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</si>
  <si>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</si>
  <si>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</si>
  <si>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</si>
  <si>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</si>
  <si>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</si>
  <si>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</si>
  <si>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</si>
  <si>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</si>
  <si>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</si>
  <si>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</si>
  <si>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</si>
  <si>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</si>
  <si>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</si>
  <si>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</si>
  <si>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</si>
  <si>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</si>
  <si>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</si>
  <si>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</si>
  <si>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</si>
  <si>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</si>
  <si>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</si>
  <si>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</si>
  <si>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</si>
  <si>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</si>
  <si>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</si>
  <si>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</si>
  <si>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</si>
  <si>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</si>
  <si>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</si>
  <si>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</si>
  <si>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</si>
  <si>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</si>
  <si>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</si>
  <si>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</si>
  <si>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</si>
  <si>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</si>
  <si>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</si>
  <si>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</si>
  <si>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</si>
  <si>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</si>
  <si>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</si>
  <si>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</si>
  <si>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</si>
  <si>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</si>
  <si>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</si>
  <si>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</si>
  <si>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</si>
  <si>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</si>
  <si>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</si>
  <si>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</si>
  <si>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</si>
  <si>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</si>
  <si>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</si>
  <si>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</si>
  <si>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</si>
  <si>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</si>
  <si>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</si>
  <si>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</si>
  <si>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</si>
  <si>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</si>
  <si>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</si>
  <si>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</si>
  <si>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</si>
  <si>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</si>
  <si>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</si>
  <si>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</si>
  <si>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</si>
  <si>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</si>
  <si>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</si>
  <si>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</si>
  <si>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</si>
  <si>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</si>
  <si>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</si>
  <si>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</si>
  <si>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</si>
  <si>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</si>
  <si>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</si>
  <si>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</si>
  <si>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</si>
  <si>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</si>
  <si>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</si>
  <si>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</si>
  <si>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</si>
  <si>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</si>
  <si>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</si>
  <si>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</si>
  <si>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</si>
  <si>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</si>
  <si>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</si>
  <si>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</si>
  <si>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</si>
  <si>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</si>
  <si>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</si>
  <si>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</si>
  <si>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</si>
  <si>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</si>
  <si>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</si>
  <si>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</si>
  <si>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</si>
  <si>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</si>
  <si>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</si>
  <si>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</si>
  <si>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</si>
  <si>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</si>
  <si>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</si>
  <si>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</si>
  <si>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</si>
  <si>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</si>
  <si>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</si>
  <si>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</si>
  <si>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</si>
  <si>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</si>
  <si>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</si>
  <si>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</si>
  <si>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</si>
  <si>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</si>
  <si>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</si>
  <si>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</si>
  <si>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</si>
  <si>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</si>
  <si>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</si>
  <si>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</si>
  <si>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</si>
  <si>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</si>
  <si>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</si>
  <si>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</si>
  <si>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</si>
  <si>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</si>
  <si>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</si>
  <si>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</si>
  <si>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</si>
  <si>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</si>
  <si>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</si>
  <si>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</si>
  <si>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</si>
  <si>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</si>
  <si>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</si>
  <si>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</si>
  <si>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</si>
  <si>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</si>
  <si>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</si>
  <si>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</si>
  <si>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</si>
  <si>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</si>
  <si>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</si>
  <si>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</si>
  <si>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</si>
  <si>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</si>
  <si>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</si>
  <si>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</si>
  <si>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</si>
  <si>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</si>
  <si>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</si>
  <si>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</si>
  <si>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</si>
  <si>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</si>
  <si>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</si>
  <si>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</si>
  <si>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</si>
  <si>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</si>
  <si>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</si>
  <si>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</si>
  <si>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</si>
  <si>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</si>
  <si>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</si>
  <si>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</si>
  <si>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</si>
  <si>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</si>
  <si>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</si>
  <si>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</si>
  <si>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</si>
  <si>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</si>
  <si>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</si>
  <si>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</si>
  <si>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</si>
  <si>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</si>
  <si>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</si>
  <si>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</si>
  <si>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</si>
  <si>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</si>
  <si>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</si>
  <si>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</si>
  <si>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</si>
  <si>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</si>
  <si>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</si>
  <si>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</si>
  <si>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</si>
  <si>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</si>
  <si>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</si>
  <si>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</si>
  <si>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</si>
  <si>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</si>
  <si>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</si>
  <si>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</si>
  <si>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</si>
  <si>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</si>
  <si>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</si>
  <si>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</si>
  <si>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</si>
  <si>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</si>
  <si>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</si>
  <si>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</si>
  <si>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</si>
  <si>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</si>
  <si>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</si>
  <si>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</si>
  <si>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</si>
  <si>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</si>
  <si>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</si>
  <si>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</si>
  <si>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</si>
  <si>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</si>
  <si>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</si>
  <si>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</si>
  <si>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</si>
  <si>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</si>
  <si>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</si>
  <si>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</si>
  <si>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</si>
  <si>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</si>
  <si>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</si>
  <si>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</si>
  <si>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</si>
  <si>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</si>
  <si>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</si>
  <si>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</si>
  <si>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</si>
  <si>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</si>
  <si>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</si>
  <si>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</si>
  <si>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</si>
  <si>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</si>
  <si>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</si>
  <si>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</si>
  <si>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</si>
  <si>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</si>
  <si>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</si>
  <si>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</si>
  <si>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</si>
  <si>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</si>
  <si>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</si>
  <si>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</si>
  <si>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</si>
  <si>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</si>
  <si>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</si>
  <si>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</si>
  <si>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</si>
  <si>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</si>
  <si>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</si>
  <si>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</si>
  <si>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</si>
  <si>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</si>
  <si>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</si>
  <si>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</si>
  <si>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</si>
  <si>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</si>
  <si>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</si>
  <si>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</si>
  <si>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</si>
  <si>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</si>
  <si>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</si>
  <si>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</si>
  <si>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</si>
  <si>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</si>
  <si>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</si>
  <si>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</si>
  <si>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</si>
  <si>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</si>
  <si>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</si>
  <si>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</si>
  <si>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</si>
  <si>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</si>
  <si>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</si>
  <si>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</si>
  <si>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</si>
  <si>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</si>
  <si>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</si>
  <si>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</si>
  <si>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</si>
  <si>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</si>
  <si>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</si>
  <si>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</si>
  <si>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</si>
  <si>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</si>
  <si>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</si>
  <si>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</si>
  <si>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</si>
  <si>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</si>
  <si>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</si>
  <si>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</si>
  <si>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</si>
  <si>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</si>
  <si>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</si>
  <si>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</si>
  <si>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</si>
  <si>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</si>
  <si>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</si>
  <si>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</si>
  <si>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</si>
  <si>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</si>
  <si>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</si>
  <si>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</si>
  <si>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</si>
  <si>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</si>
  <si>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</si>
  <si>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</si>
  <si>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</si>
  <si>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</si>
  <si>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</si>
  <si>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</si>
  <si>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</si>
  <si>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</si>
  <si>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</si>
  <si>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</si>
  <si>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</si>
  <si>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</si>
  <si>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</si>
  <si>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</si>
  <si>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</si>
  <si>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</si>
  <si>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</si>
  <si>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</si>
  <si>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</si>
  <si>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</si>
  <si>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</si>
  <si>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</si>
  <si>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</si>
  <si>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</si>
  <si>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</si>
  <si>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</si>
  <si>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</si>
  <si>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</si>
  <si>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</si>
  <si>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</si>
  <si>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</si>
  <si>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</si>
  <si>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</si>
  <si>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</si>
  <si>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</si>
  <si>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</si>
  <si>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</si>
  <si>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</si>
  <si>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</si>
  <si>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</si>
  <si>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</si>
  <si>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</si>
  <si>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</si>
  <si>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</si>
  <si>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</si>
  <si>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</si>
  <si>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</si>
  <si>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</si>
  <si>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</si>
  <si>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</si>
  <si>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</si>
  <si>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</si>
  <si>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</si>
  <si>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</si>
  <si>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</si>
  <si>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</si>
  <si>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</si>
  <si>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</si>
  <si>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</si>
  <si>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</si>
  <si>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</si>
  <si>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</si>
  <si>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</si>
  <si>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</si>
  <si>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</si>
  <si>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</si>
  <si>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</si>
  <si>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</si>
  <si>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</si>
  <si>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</si>
  <si>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</si>
  <si>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</si>
  <si>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</si>
  <si>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</si>
  <si>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</si>
  <si>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</si>
  <si>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</si>
  <si>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</si>
  <si>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</si>
  <si>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</si>
  <si>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</si>
  <si>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</si>
  <si>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</si>
  <si>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</si>
  <si>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</si>
  <si>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</si>
  <si>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</si>
  <si>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</si>
  <si>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</si>
  <si>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</si>
  <si>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</si>
  <si>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</si>
  <si>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</si>
  <si>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</si>
  <si>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</si>
  <si>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</si>
  <si>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</si>
  <si>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</si>
  <si>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</si>
  <si>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</si>
  <si>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</si>
  <si>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</si>
  <si>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</si>
  <si>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</si>
  <si>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</si>
  <si>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</si>
  <si>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</si>
  <si>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</si>
  <si>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</si>
  <si>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</si>
  <si>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</si>
  <si>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</si>
  <si>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</si>
  <si>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</si>
  <si>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</si>
  <si>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</si>
  <si>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</si>
  <si>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</si>
  <si>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</si>
  <si>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</si>
  <si>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</si>
  <si>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</si>
  <si>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</si>
  <si>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</si>
  <si>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</si>
  <si>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</si>
  <si>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</si>
  <si>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</si>
  <si>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</si>
  <si>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</si>
  <si>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</si>
  <si>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</si>
  <si>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</si>
  <si>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</si>
  <si>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</si>
  <si>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</si>
  <si>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</si>
  <si>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</si>
  <si>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</si>
  <si>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</si>
  <si>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</si>
  <si>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</si>
  <si>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</si>
  <si>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</si>
  <si>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</si>
  <si>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</si>
  <si>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</si>
  <si>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</si>
  <si>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</si>
  <si>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</si>
  <si>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</si>
  <si>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</si>
  <si>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</si>
  <si>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</si>
  <si>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</si>
  <si>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</si>
  <si>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</si>
  <si>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</si>
  <si>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</si>
  <si>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</si>
  <si>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</si>
  <si>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</si>
  <si>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</si>
  <si>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</si>
  <si>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</si>
  <si>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</si>
  <si>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</si>
  <si>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</si>
  <si>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</si>
  <si>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</si>
  <si>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</si>
  <si>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</si>
  <si>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</si>
  <si>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</si>
  <si>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</si>
  <si>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</si>
  <si>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</si>
  <si>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</si>
  <si>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</si>
  <si>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</si>
  <si>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</si>
  <si>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</si>
  <si>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</si>
  <si>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</si>
  <si>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</si>
  <si>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</si>
  <si>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</si>
  <si>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</si>
  <si>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</si>
  <si>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</si>
  <si>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</si>
  <si>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</si>
  <si>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</si>
  <si>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</si>
  <si>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</si>
  <si>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</si>
  <si>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</si>
  <si>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</si>
  <si>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</si>
  <si>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</si>
  <si>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</si>
  <si>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</si>
  <si>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</si>
  <si>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</si>
  <si>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</si>
  <si>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</si>
  <si>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</si>
  <si>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</si>
  <si>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</si>
  <si>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</si>
  <si>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</si>
  <si>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</si>
  <si>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</si>
  <si>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</si>
  <si>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</si>
  <si>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</si>
  <si>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</si>
  <si>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</si>
  <si>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</si>
  <si>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</si>
  <si>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</si>
  <si>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</si>
  <si>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</si>
  <si>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</si>
  <si>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</si>
  <si>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</si>
  <si>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</si>
  <si>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</si>
  <si>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</si>
  <si>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</si>
  <si>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</si>
  <si>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</si>
  <si>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</si>
  <si>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</si>
  <si>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</si>
  <si>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</si>
  <si>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</si>
  <si>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</si>
  <si>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</si>
  <si>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</si>
  <si>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</si>
  <si>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</si>
  <si>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</si>
  <si>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</si>
  <si>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</si>
  <si>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</si>
  <si>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</si>
  <si>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</si>
  <si>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</si>
  <si>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</si>
  <si>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</si>
  <si>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</si>
  <si>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</si>
  <si>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</si>
  <si>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</si>
  <si>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</si>
  <si>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</si>
  <si>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</si>
  <si>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</si>
  <si>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</si>
  <si>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</si>
  <si>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</si>
  <si>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</si>
  <si>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</si>
  <si>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</si>
  <si>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</si>
  <si>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</si>
  <si>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</si>
  <si>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</si>
  <si>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</si>
  <si>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</si>
  <si>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</si>
  <si>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</si>
  <si>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</si>
  <si>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</si>
  <si>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</si>
  <si>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</si>
  <si>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</si>
  <si>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</si>
  <si>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</si>
  <si>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</si>
  <si>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</si>
  <si>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</si>
  <si>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</si>
  <si>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</si>
  <si>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</si>
  <si>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</si>
  <si>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</si>
  <si>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</si>
  <si>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</si>
  <si>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</si>
  <si>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</si>
  <si>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</si>
  <si>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</si>
  <si>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</si>
  <si>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</si>
  <si>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</si>
  <si>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</si>
  <si>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</si>
  <si>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</si>
  <si>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</si>
  <si>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</si>
  <si>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</si>
  <si>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</si>
  <si>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</si>
  <si>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</si>
  <si>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</si>
  <si>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</si>
  <si>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</si>
  <si>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</si>
  <si>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</si>
  <si>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</si>
  <si>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</si>
  <si>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</si>
  <si>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</si>
  <si>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</si>
  <si>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</si>
  <si>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</si>
  <si>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</si>
  <si>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</si>
  <si>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</si>
  <si>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</si>
  <si>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</si>
  <si>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</si>
  <si>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</si>
  <si>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</si>
  <si>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</si>
  <si>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</si>
  <si>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</si>
  <si>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</si>
  <si>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</si>
  <si>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</si>
  <si>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</si>
  <si>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</si>
  <si>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</si>
  <si>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</si>
  <si>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</si>
  <si>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</si>
  <si>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</si>
  <si>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</si>
  <si>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</si>
  <si>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</si>
  <si>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</si>
  <si>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</si>
  <si>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</si>
  <si>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</si>
  <si>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</si>
  <si>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</si>
  <si>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</si>
  <si>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</si>
  <si>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</si>
  <si>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</si>
  <si>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</si>
  <si>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</si>
  <si>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</si>
  <si>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</si>
  <si>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</si>
  <si>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</si>
  <si>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</si>
  <si>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</si>
  <si>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</si>
  <si>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</si>
  <si>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</si>
  <si>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</si>
  <si>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</si>
  <si>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</si>
  <si>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</si>
  <si>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</si>
  <si>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</si>
  <si>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</si>
  <si>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</si>
  <si>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</si>
  <si>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</si>
  <si>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</si>
  <si>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</si>
  <si>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</si>
  <si>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</si>
  <si>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</si>
  <si>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</si>
  <si>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</si>
  <si>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</si>
  <si>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</si>
  <si>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</si>
  <si>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</si>
  <si>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</si>
  <si>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</si>
  <si>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</si>
  <si>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</si>
  <si>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</si>
  <si>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</si>
  <si>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</si>
  <si>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</si>
  <si>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</si>
  <si>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</si>
  <si>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</si>
  <si>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</si>
  <si>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</si>
  <si>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</si>
  <si>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</si>
  <si>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</si>
  <si>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</si>
  <si>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</si>
  <si>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</si>
  <si>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</si>
  <si>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</si>
  <si>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</si>
  <si>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</si>
  <si>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</si>
  <si>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</si>
  <si>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</si>
  <si>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</si>
  <si>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</si>
  <si>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</si>
  <si>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</si>
  <si>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</si>
  <si>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</si>
  <si>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</si>
  <si>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</si>
  <si>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</si>
  <si>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</si>
  <si>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</si>
  <si>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</si>
  <si>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</si>
  <si>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</si>
  <si>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</si>
  <si>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</si>
  <si>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</si>
  <si>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</si>
  <si>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</si>
  <si>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</si>
  <si>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</si>
  <si>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</si>
  <si>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</si>
  <si>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</si>
  <si>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</si>
  <si>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</si>
  <si>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</si>
  <si>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</si>
  <si>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</si>
  <si>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</si>
  <si>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</si>
  <si>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</si>
  <si>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</si>
  <si>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</si>
  <si>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</si>
  <si>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</si>
  <si>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</si>
  <si>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</si>
  <si>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</si>
  <si>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</si>
  <si>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</si>
  <si>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</si>
  <si>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</si>
  <si>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</si>
  <si>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</si>
  <si>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</si>
  <si>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</si>
  <si>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</si>
  <si>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</si>
  <si>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</si>
  <si>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</si>
  <si>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</si>
  <si>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</si>
  <si>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</si>
  <si>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</si>
  <si>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</si>
  <si>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</si>
  <si>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</si>
  <si>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</si>
  <si>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</si>
  <si>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</si>
  <si>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</si>
  <si>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</si>
  <si>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</si>
  <si>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</si>
  <si>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</si>
  <si>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</si>
  <si>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</si>
  <si>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</si>
  <si>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</si>
  <si>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</si>
  <si>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</si>
  <si>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</si>
  <si>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</si>
  <si>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</si>
  <si>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</si>
  <si>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</si>
  <si>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</si>
  <si>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</si>
  <si>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</si>
  <si>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</si>
  <si>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</si>
  <si>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</si>
  <si>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</si>
  <si>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</si>
  <si>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</si>
  <si>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</si>
  <si>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</si>
  <si>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</si>
  <si>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</si>
  <si>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</si>
  <si>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</si>
  <si>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</si>
  <si>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</si>
  <si>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</si>
  <si>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</si>
  <si>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</si>
  <si>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</si>
  <si>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</si>
  <si>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</si>
  <si>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</si>
  <si>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</si>
  <si>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</si>
  <si>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</si>
  <si>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</si>
  <si>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</si>
  <si>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</si>
  <si>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</si>
  <si>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</si>
  <si>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</si>
  <si>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</si>
  <si>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</si>
  <si>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</si>
  <si>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</si>
  <si>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</si>
  <si>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</si>
  <si>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</si>
  <si>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</si>
  <si>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</si>
  <si>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</si>
  <si>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</si>
  <si>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</si>
  <si>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</si>
  <si>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</si>
  <si>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</si>
  <si>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</si>
  <si>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</si>
  <si>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</si>
  <si>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</si>
  <si>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</si>
  <si>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</si>
  <si>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</si>
  <si>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</si>
  <si>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</si>
  <si>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</si>
  <si>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</si>
  <si>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</si>
  <si>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</si>
  <si>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</si>
  <si>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</si>
  <si>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</si>
  <si>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</si>
  <si>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</si>
  <si>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</si>
  <si>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</si>
  <si>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</si>
  <si>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</si>
  <si>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</si>
  <si>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</si>
  <si>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</si>
  <si>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</si>
  <si>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</si>
  <si>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</si>
  <si>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</si>
  <si>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</si>
  <si>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</si>
  <si>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</si>
  <si>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</si>
  <si>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</si>
  <si>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</si>
  <si>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</si>
  <si>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</si>
  <si>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</si>
  <si>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</si>
  <si>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</si>
  <si>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</si>
  <si>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</si>
  <si>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</si>
  <si>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</si>
  <si>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</si>
  <si>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</si>
  <si>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</si>
  <si>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</si>
  <si>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</si>
  <si>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</si>
  <si>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</si>
  <si>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</si>
  <si>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</si>
  <si>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</si>
  <si>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</si>
  <si>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</si>
  <si>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</si>
  <si>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</si>
  <si>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</si>
  <si>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</si>
  <si>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</si>
  <si>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</si>
  <si>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</si>
  <si>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</si>
  <si>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</si>
  <si>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</si>
  <si>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</si>
  <si>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</si>
  <si>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</si>
  <si>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</si>
  <si>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</si>
  <si>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</si>
  <si>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</si>
  <si>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</si>
  <si>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</si>
  <si>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</si>
  <si>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</si>
  <si>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</si>
  <si>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</si>
  <si>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</si>
  <si>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</si>
  <si>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</si>
  <si>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</si>
  <si>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</si>
  <si>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</si>
  <si>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</si>
  <si>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</si>
  <si>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</si>
  <si>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</si>
  <si>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</si>
  <si>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</si>
  <si>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</si>
  <si>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</si>
  <si>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</si>
  <si>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</si>
  <si>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</si>
  <si>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</si>
  <si>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</si>
  <si>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</si>
  <si>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</si>
  <si>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</si>
  <si>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</si>
  <si>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</si>
  <si>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</si>
  <si>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</si>
  <si>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</si>
  <si>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</si>
  <si>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</si>
  <si>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</si>
  <si>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</si>
  <si>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</si>
  <si>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</si>
  <si>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</si>
  <si>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</si>
  <si>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</si>
  <si>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</si>
  <si>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</si>
  <si>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</si>
  <si>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</si>
  <si>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</si>
  <si>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</si>
  <si>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</si>
  <si>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</si>
  <si>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</si>
  <si>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</si>
  <si>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</si>
  <si>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</si>
  <si>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</si>
  <si>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</si>
  <si>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</si>
  <si>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</si>
  <si>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</si>
  <si>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</si>
  <si>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</si>
  <si>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</si>
  <si>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</si>
  <si>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</si>
  <si>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</si>
  <si>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</si>
  <si>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</si>
  <si>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</si>
  <si>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</si>
  <si>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</si>
  <si>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</si>
  <si>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</si>
  <si>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</si>
  <si>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</si>
  <si>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</si>
  <si>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</si>
  <si>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</si>
  <si>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</si>
  <si>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</si>
  <si>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</si>
  <si>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</si>
  <si>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</si>
  <si>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</si>
  <si>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</si>
  <si>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</si>
  <si>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</si>
  <si>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</si>
  <si>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</si>
  <si>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</si>
  <si>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</si>
  <si>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</si>
  <si>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</si>
  <si>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</si>
  <si>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</si>
  <si>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</si>
  <si>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</si>
  <si>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</si>
  <si>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</si>
  <si>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</si>
  <si>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</si>
  <si>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</si>
  <si>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</si>
  <si>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</si>
  <si>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</si>
  <si>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</si>
  <si>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</si>
  <si>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</si>
  <si>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</si>
  <si>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</si>
  <si>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</si>
  <si>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</si>
  <si>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</si>
  <si>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</si>
  <si>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</si>
  <si>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</si>
  <si>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</si>
  <si>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</si>
  <si>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</si>
  <si>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</si>
  <si>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</si>
  <si>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</si>
  <si>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</si>
  <si>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</si>
  <si>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</si>
  <si>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</si>
  <si>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</si>
  <si>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</si>
  <si>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</si>
  <si>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</si>
  <si>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</si>
  <si>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</si>
  <si>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</si>
  <si>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</si>
  <si>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</si>
  <si>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</si>
  <si>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</si>
  <si>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</si>
  <si>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</si>
  <si>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</si>
  <si>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</si>
  <si>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</si>
  <si>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</si>
  <si>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</si>
  <si>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</si>
  <si>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</si>
  <si>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</si>
  <si>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</si>
  <si>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</si>
  <si>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</si>
  <si>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</si>
  <si>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</si>
  <si>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</si>
  <si>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</si>
  <si>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</si>
  <si>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</si>
  <si>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</si>
  <si>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</si>
  <si>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</si>
  <si>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</si>
  <si>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</si>
  <si>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</si>
  <si>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</si>
  <si>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</si>
  <si>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</si>
  <si>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</si>
  <si>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</si>
  <si>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</si>
  <si>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</si>
  <si>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</si>
  <si>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</si>
  <si>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</si>
  <si>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</si>
  <si>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</si>
  <si>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</si>
  <si>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</si>
  <si>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</si>
  <si>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</si>
  <si>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</si>
  <si>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</si>
  <si>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</si>
  <si>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</si>
  <si>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</si>
  <si>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</si>
  <si>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</si>
  <si>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</si>
  <si>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</si>
  <si>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</si>
  <si>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</si>
  <si>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</si>
  <si>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</si>
  <si>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</si>
  <si>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</si>
  <si>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</si>
  <si>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</si>
  <si>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</si>
  <si>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</si>
  <si>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</si>
  <si>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</si>
  <si>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</si>
  <si>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</si>
  <si>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</si>
  <si>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</si>
  <si>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</si>
  <si>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</si>
  <si>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</si>
  <si>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</si>
  <si>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</si>
  <si>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</si>
  <si>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</si>
  <si>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</si>
  <si>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</si>
  <si>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</si>
  <si>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</si>
  <si>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</si>
  <si>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</si>
  <si>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</si>
  <si>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</si>
  <si>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</si>
  <si>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</si>
  <si>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</si>
  <si>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</si>
  <si>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</si>
  <si>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</si>
  <si>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</si>
  <si>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</si>
  <si>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</si>
  <si>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</si>
  <si>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</si>
  <si>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</si>
  <si>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</si>
  <si>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</si>
  <si>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</si>
  <si>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</si>
  <si>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</si>
  <si>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</si>
  <si>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</si>
  <si>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</si>
  <si>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</si>
  <si>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</si>
  <si>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</si>
  <si>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</si>
  <si>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</si>
  <si>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</si>
  <si>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</si>
  <si>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</si>
  <si>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</si>
  <si>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</si>
  <si>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</si>
  <si>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</si>
  <si>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</si>
  <si>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</si>
  <si>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</si>
  <si>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</si>
  <si>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</si>
  <si>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</si>
  <si>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</si>
  <si>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</si>
  <si>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</si>
  <si>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</si>
  <si>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</si>
  <si>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</si>
  <si>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</si>
  <si>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</si>
  <si>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</si>
  <si>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</si>
  <si>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</si>
  <si>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</si>
  <si>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</si>
  <si>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</si>
  <si>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</si>
  <si>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</si>
  <si>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</si>
  <si>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</si>
  <si>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</si>
  <si>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</si>
  <si>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</si>
  <si>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</si>
  <si>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</si>
  <si>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</si>
  <si>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</si>
  <si>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</si>
  <si>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</si>
  <si>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</si>
  <si>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</si>
  <si>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</si>
  <si>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</si>
  <si>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</si>
  <si>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</si>
  <si>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</si>
  <si>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</si>
  <si>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</si>
  <si>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</si>
  <si>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</si>
  <si>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</si>
  <si>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</si>
  <si>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</si>
  <si>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</si>
  <si>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</si>
  <si>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</si>
  <si>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</si>
  <si>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</si>
  <si>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</si>
  <si>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</si>
  <si>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</si>
  <si>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</si>
  <si>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</si>
  <si>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</si>
  <si>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</si>
  <si>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</si>
  <si>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</si>
  <si>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</si>
  <si>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</si>
  <si>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</si>
  <si>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</si>
  <si>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</si>
  <si>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</si>
  <si>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</si>
  <si>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</si>
  <si>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</si>
  <si>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</si>
  <si>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</si>
  <si>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</si>
  <si>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</si>
  <si>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</si>
  <si>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</si>
  <si>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</si>
  <si>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</si>
  <si>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</si>
  <si>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</si>
  <si>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</si>
  <si>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</si>
  <si>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</si>
  <si>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</si>
  <si>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</si>
  <si>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</si>
  <si>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</si>
  <si>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</si>
  <si>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</si>
  <si>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</si>
  <si>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</si>
  <si>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</si>
  <si>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</si>
  <si>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</si>
  <si>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</si>
  <si>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</si>
  <si>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</si>
  <si>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</si>
  <si>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</si>
  <si>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</si>
  <si>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</si>
  <si>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</si>
  <si>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</si>
  <si>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</si>
  <si>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</si>
  <si>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</si>
  <si>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</si>
  <si>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</si>
  <si>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</si>
  <si>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</si>
  <si>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</si>
  <si>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</si>
  <si>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</si>
  <si>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</si>
  <si>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</si>
  <si>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</si>
  <si>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</si>
  <si>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</si>
  <si>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</si>
  <si>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</si>
  <si>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</si>
  <si>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</si>
  <si>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</si>
  <si>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</si>
  <si>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</si>
  <si>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</si>
  <si>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</si>
  <si>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</si>
  <si>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</si>
  <si>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</si>
  <si>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</si>
  <si>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</si>
  <si>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</si>
  <si>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</si>
  <si>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</si>
  <si>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</si>
  <si>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</si>
  <si>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</si>
  <si>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</si>
  <si>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</si>
  <si>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</si>
  <si>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</si>
  <si>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</si>
  <si>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</si>
  <si>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</si>
  <si>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</si>
  <si>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</si>
  <si>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</si>
  <si>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</si>
  <si>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</si>
  <si>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</si>
  <si>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</si>
  <si>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</si>
  <si>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</si>
  <si>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</si>
  <si>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</si>
  <si>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</si>
  <si>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</si>
  <si>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</si>
  <si>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</si>
  <si>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</si>
  <si>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</si>
  <si>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</si>
  <si>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</si>
  <si>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</si>
  <si>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</si>
  <si>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</si>
  <si>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</si>
  <si>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</si>
  <si>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</si>
  <si>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</si>
  <si>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</si>
  <si>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</si>
  <si>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</si>
  <si>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</si>
  <si>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</si>
  <si>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</si>
  <si>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</si>
  <si>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</si>
  <si>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</si>
  <si>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</si>
  <si>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</si>
  <si>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</si>
  <si>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</si>
  <si>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</si>
  <si>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</si>
  <si>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</si>
  <si>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</si>
  <si>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</si>
  <si>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</si>
  <si>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</si>
  <si>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</si>
  <si>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</si>
  <si>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</si>
  <si>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</si>
  <si>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</si>
  <si>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</si>
  <si>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</si>
  <si>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</si>
  <si>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</si>
  <si>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</si>
  <si>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</si>
  <si>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</si>
  <si>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</si>
  <si>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</si>
  <si>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</si>
  <si>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</si>
  <si>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</si>
  <si>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</si>
  <si>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</si>
  <si>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</si>
  <si>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</si>
  <si>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</si>
  <si>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</si>
  <si>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</si>
  <si>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</si>
  <si>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</si>
  <si>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</si>
  <si>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</si>
  <si>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</si>
  <si>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</si>
  <si>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</si>
  <si>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</si>
  <si>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</si>
  <si>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</si>
  <si>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</si>
  <si>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</si>
  <si>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</si>
  <si>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</si>
  <si>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</si>
  <si>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</si>
  <si>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</si>
  <si>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</si>
  <si>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</si>
  <si>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</si>
  <si>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</si>
  <si>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</si>
  <si>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</si>
  <si>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</si>
  <si>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</si>
  <si>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</si>
  <si>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</si>
  <si>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</si>
  <si>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</si>
  <si>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</si>
  <si>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</si>
  <si>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</si>
  <si>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</si>
  <si>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</si>
  <si>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</si>
  <si>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</si>
  <si>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</si>
  <si>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</si>
  <si>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</si>
  <si>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</si>
  <si>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</si>
  <si>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</si>
  <si>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</si>
  <si>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</si>
  <si>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</si>
  <si>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</si>
  <si>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</si>
  <si>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</si>
  <si>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</si>
  <si>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</si>
  <si>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</si>
  <si>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</si>
  <si>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</si>
  <si>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</si>
  <si>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</si>
  <si>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</si>
  <si>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</si>
  <si>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</si>
  <si>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</si>
  <si>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</si>
  <si>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</si>
  <si>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</si>
  <si>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</si>
  <si>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</si>
  <si>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</si>
  <si>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</si>
  <si>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</si>
  <si>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</si>
  <si>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</si>
  <si>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</si>
  <si>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</si>
  <si>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</si>
  <si>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</si>
  <si>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</si>
  <si>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</si>
  <si>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</si>
  <si>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</si>
  <si>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</si>
  <si>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</si>
  <si>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</si>
  <si>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</si>
  <si>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</si>
  <si>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</si>
  <si>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</si>
  <si>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</si>
  <si>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</si>
  <si>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</si>
  <si>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</si>
  <si>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</si>
  <si>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</si>
  <si>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</si>
  <si>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</si>
  <si>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</si>
  <si>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</si>
  <si>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</si>
  <si>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</si>
  <si>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</si>
  <si>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</si>
  <si>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</si>
  <si>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</si>
  <si>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</si>
  <si>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</si>
  <si>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</si>
  <si>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</si>
  <si>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</si>
  <si>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</si>
  <si>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</si>
  <si>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</si>
  <si>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</si>
  <si>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</si>
  <si>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</si>
  <si>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</si>
  <si>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</si>
  <si>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</si>
  <si>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</si>
  <si>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</si>
  <si>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</si>
  <si>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</si>
  <si>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</si>
  <si>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</si>
  <si>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</si>
  <si>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</si>
  <si>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</si>
  <si>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</si>
  <si>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</si>
  <si>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</si>
  <si>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</si>
  <si>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</si>
  <si>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</si>
  <si>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</si>
  <si>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</si>
  <si>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</si>
  <si>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</si>
  <si>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</si>
  <si>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</si>
  <si>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</si>
  <si>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</si>
  <si>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</si>
  <si>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</si>
  <si>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</si>
  <si>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</si>
  <si>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</si>
  <si>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</si>
  <si>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</si>
  <si>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</si>
  <si>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</si>
  <si>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</si>
  <si>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</si>
  <si>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</si>
  <si>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</si>
  <si>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</si>
  <si>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</si>
  <si>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</si>
  <si>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</si>
  <si>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</si>
  <si>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</si>
  <si>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</si>
  <si>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</si>
  <si>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</si>
  <si>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</si>
  <si>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</si>
  <si>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</si>
  <si>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</si>
  <si>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</si>
  <si>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</si>
  <si>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</si>
  <si>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</si>
  <si>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</si>
  <si>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</si>
  <si>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</si>
  <si>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</si>
  <si>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</si>
  <si>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</si>
  <si>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</si>
  <si>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</si>
  <si>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</si>
  <si>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</si>
  <si>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</si>
  <si>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</si>
  <si>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</si>
  <si>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</si>
  <si>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</si>
  <si>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</si>
  <si>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</si>
  <si>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</si>
  <si>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</si>
  <si>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</si>
  <si>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</si>
  <si>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</si>
  <si>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</si>
  <si>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</si>
  <si>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</si>
  <si>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</si>
  <si>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</si>
  <si>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</si>
  <si>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</si>
  <si>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</si>
  <si>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</si>
  <si>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</si>
  <si>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</si>
  <si>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</si>
  <si>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</si>
  <si>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</si>
  <si>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</si>
  <si>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</si>
  <si>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</si>
  <si>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</si>
  <si>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</si>
  <si>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</si>
  <si>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</si>
  <si>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</si>
  <si>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</si>
  <si>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</si>
  <si>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</si>
  <si>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</si>
  <si>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</si>
  <si>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</si>
  <si>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</si>
  <si>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</si>
  <si>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</si>
  <si>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</si>
  <si>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</si>
  <si>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</si>
  <si>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</si>
  <si>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</si>
  <si>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</si>
  <si>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</si>
  <si>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</si>
  <si>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</si>
  <si>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</si>
  <si>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</si>
  <si>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</si>
  <si>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</si>
  <si>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</si>
  <si>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</si>
  <si>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</si>
  <si>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</si>
  <si>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</si>
  <si>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</si>
  <si>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</si>
  <si>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</si>
  <si>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</si>
  <si>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</si>
  <si>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</si>
  <si>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</si>
  <si>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</si>
  <si>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</si>
  <si>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</si>
  <si>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</si>
  <si>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</si>
  <si>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</si>
  <si>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</si>
  <si>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</si>
  <si>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</si>
  <si>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</si>
  <si>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</si>
  <si>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</si>
  <si>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</si>
  <si>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</si>
  <si>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</si>
  <si>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</si>
  <si>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</si>
  <si>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</si>
  <si>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</si>
  <si>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</si>
  <si>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</si>
  <si>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</si>
  <si>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</si>
  <si>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</si>
  <si>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</si>
  <si>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</si>
  <si>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</si>
  <si>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</si>
  <si>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</si>
  <si>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</si>
  <si>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</si>
  <si>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</si>
  <si>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</si>
  <si>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</si>
  <si>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</si>
  <si>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</si>
  <si>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</si>
  <si>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</si>
  <si>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</si>
  <si>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</si>
  <si>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</si>
  <si>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</si>
  <si>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</si>
  <si>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</si>
  <si>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</si>
  <si>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</si>
  <si>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</si>
  <si>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</si>
  <si>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</si>
  <si>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</si>
  <si>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</si>
  <si>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</si>
  <si>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</si>
  <si>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</si>
  <si>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</si>
  <si>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</si>
  <si>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</si>
  <si>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</si>
  <si>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</si>
  <si>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</si>
  <si>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</si>
  <si>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</si>
  <si>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</si>
  <si>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</si>
  <si>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</si>
  <si>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</si>
  <si>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</si>
  <si>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</si>
  <si>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</si>
  <si>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</si>
  <si>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</si>
  <si>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</si>
  <si>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</si>
  <si>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</si>
  <si>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</si>
  <si>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</si>
  <si>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</si>
  <si>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</si>
  <si>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</si>
  <si>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</si>
  <si>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</si>
  <si>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</si>
  <si>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</si>
  <si>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</si>
  <si>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</si>
  <si>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</si>
  <si>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</si>
  <si>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</si>
  <si>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</si>
  <si>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</si>
  <si>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</si>
  <si>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</si>
  <si>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</si>
  <si>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</si>
  <si>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</si>
  <si>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</si>
  <si>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</si>
  <si>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</si>
  <si>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</si>
  <si>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</si>
  <si>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</si>
  <si>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</si>
  <si>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</si>
  <si>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</si>
  <si>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</si>
  <si>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</si>
  <si>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</si>
  <si>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</si>
  <si>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</si>
  <si>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</si>
  <si>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</si>
  <si>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</si>
  <si>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</si>
  <si>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</si>
  <si>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</si>
  <si>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</si>
  <si>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</si>
  <si>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</si>
  <si>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</si>
  <si>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</si>
  <si>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</si>
  <si>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</si>
  <si>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</si>
  <si>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</si>
  <si>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</si>
  <si>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</si>
  <si>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</si>
  <si>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</si>
  <si>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</si>
  <si>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</si>
  <si>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</si>
  <si>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</si>
  <si>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</si>
  <si>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</si>
  <si>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</si>
  <si>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</si>
  <si>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</si>
  <si>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</si>
  <si>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</si>
  <si>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</si>
  <si>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</si>
  <si>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</si>
  <si>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</si>
  <si>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</si>
  <si>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</si>
  <si>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</si>
  <si>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</si>
  <si>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</si>
  <si>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</si>
  <si>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</si>
  <si>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</si>
  <si>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</si>
  <si>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</si>
  <si>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</si>
  <si>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</si>
  <si>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</si>
  <si>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</si>
  <si>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</si>
  <si>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</si>
  <si>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</si>
  <si>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</si>
  <si>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</si>
  <si>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</si>
  <si>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</si>
  <si>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</si>
  <si>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</si>
  <si>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</si>
  <si>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</si>
  <si>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</si>
  <si>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</si>
  <si>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</si>
  <si>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</si>
  <si>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</si>
  <si>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</si>
  <si>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</si>
  <si>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</si>
  <si>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</si>
  <si>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</si>
  <si>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</si>
  <si>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</si>
  <si>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</si>
  <si>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</si>
  <si>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</si>
  <si>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</si>
  <si>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</si>
  <si>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</si>
  <si>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</si>
  <si>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</si>
  <si>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</si>
  <si>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</si>
  <si>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</si>
  <si>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</si>
  <si>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</si>
  <si>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</si>
  <si>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</si>
  <si>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</si>
  <si>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</si>
  <si>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</si>
  <si>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</si>
  <si>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</si>
  <si>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</si>
  <si>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</si>
  <si>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</si>
  <si>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</si>
  <si>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</si>
  <si>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</si>
  <si>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</si>
  <si>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</si>
  <si>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</si>
  <si>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</si>
  <si>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</si>
  <si>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</si>
  <si>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</si>
  <si>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</si>
  <si>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</si>
  <si>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</si>
  <si>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</si>
  <si>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</si>
  <si>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</si>
  <si>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</si>
  <si>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</si>
  <si>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</si>
  <si>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</si>
  <si>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</si>
  <si>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</si>
  <si>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</si>
  <si>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</si>
  <si>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</si>
  <si>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</si>
  <si>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</si>
  <si>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</si>
  <si>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</si>
  <si>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</si>
  <si>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</si>
  <si>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</si>
  <si>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</si>
  <si>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</si>
  <si>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</si>
  <si>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</si>
  <si>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</si>
  <si>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</si>
  <si>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</si>
  <si>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</si>
  <si>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</si>
  <si>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</si>
  <si>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</si>
  <si>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</si>
  <si>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</si>
  <si>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</si>
  <si>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</si>
  <si>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</si>
  <si>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</si>
  <si>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</si>
  <si>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</si>
  <si>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</si>
  <si>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</si>
  <si>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</si>
  <si>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</si>
  <si>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</si>
  <si>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</si>
  <si>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</si>
  <si>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</si>
  <si>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</si>
  <si>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</si>
  <si>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</si>
  <si>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</si>
  <si>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</si>
  <si>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</si>
  <si>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</si>
  <si>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</si>
  <si>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</si>
  <si>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</si>
  <si>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</si>
  <si>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</si>
  <si>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</si>
  <si>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</si>
  <si>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</si>
  <si>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</si>
  <si>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</si>
  <si>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</si>
  <si>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</si>
  <si>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</si>
  <si>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</si>
  <si>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</si>
  <si>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</si>
  <si>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</si>
  <si>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</si>
  <si>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</si>
  <si>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</si>
  <si>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</si>
  <si>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</si>
  <si>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</si>
  <si>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</si>
  <si>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</si>
  <si>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</si>
  <si>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</si>
  <si>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</si>
  <si>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</si>
  <si>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</si>
  <si>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</si>
  <si>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</si>
  <si>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</si>
  <si>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</si>
  <si>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</si>
  <si>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</si>
  <si>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</si>
  <si>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</si>
  <si>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</si>
  <si>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</si>
  <si>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</si>
  <si>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</si>
  <si>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</si>
  <si>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</si>
  <si>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</si>
  <si>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</si>
  <si>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</si>
  <si>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</si>
  <si>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</si>
  <si>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</si>
  <si>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</si>
  <si>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</si>
  <si>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</si>
  <si>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</si>
  <si>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</si>
  <si>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</si>
  <si>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</si>
  <si>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</si>
  <si>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</si>
  <si>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</si>
  <si>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</si>
  <si>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</si>
  <si>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</si>
  <si>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</si>
  <si>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</si>
  <si>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</si>
  <si>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</si>
  <si>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</si>
  <si>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</si>
  <si>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</si>
  <si>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</si>
  <si>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</si>
  <si>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</si>
  <si>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</si>
  <si>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</si>
  <si>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</si>
  <si>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</si>
  <si>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</si>
  <si>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</si>
  <si>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</si>
  <si>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</si>
  <si>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</si>
  <si>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</si>
  <si>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</si>
  <si>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</si>
  <si>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</si>
  <si>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</si>
  <si>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</si>
  <si>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</si>
  <si>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</si>
  <si>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</si>
  <si>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</si>
  <si>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</si>
  <si>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</si>
  <si>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</si>
  <si>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</si>
  <si>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</si>
  <si>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</si>
  <si>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</si>
  <si>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</si>
  <si>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</si>
  <si>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</si>
  <si>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</si>
  <si>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</si>
  <si>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</si>
  <si>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</si>
  <si>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</si>
  <si>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</si>
  <si>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</si>
  <si>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</si>
  <si>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</si>
  <si>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</si>
  <si>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</si>
  <si>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</si>
  <si>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</si>
  <si>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</si>
  <si>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</si>
  <si>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</si>
  <si>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</si>
  <si>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</si>
  <si>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</si>
  <si>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</si>
  <si>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</si>
  <si>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</si>
  <si>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</si>
  <si>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</si>
  <si>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</si>
  <si>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</si>
  <si>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</si>
  <si>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</si>
  <si>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</si>
  <si>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</si>
  <si>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</si>
  <si>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</si>
  <si>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</si>
  <si>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</si>
  <si>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</si>
  <si>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</si>
  <si>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</si>
  <si>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</si>
  <si>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</si>
  <si>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</si>
  <si>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</si>
  <si>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</si>
  <si>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</si>
  <si>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</si>
  <si>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</si>
  <si>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</si>
  <si>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</si>
  <si>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</si>
  <si>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</si>
  <si>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</si>
  <si>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</si>
  <si>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</si>
  <si>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</si>
  <si>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</si>
  <si>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</si>
  <si>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</si>
  <si>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</si>
  <si>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</si>
  <si>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</si>
  <si>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</si>
  <si>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</si>
  <si>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</si>
  <si>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</si>
  <si>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</si>
  <si>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</si>
  <si>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</si>
  <si>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</si>
  <si>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</si>
  <si>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</si>
  <si>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</si>
  <si>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</si>
  <si>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</si>
  <si>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</si>
  <si>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</si>
  <si>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</si>
  <si>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</si>
  <si>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</si>
  <si>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</si>
  <si>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</si>
  <si>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</si>
  <si>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</si>
  <si>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</si>
  <si>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</si>
  <si>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</si>
  <si>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</si>
  <si>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</si>
  <si>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</si>
  <si>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</si>
  <si>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</si>
  <si>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</si>
  <si>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</si>
  <si>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</si>
  <si>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</si>
  <si>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</si>
  <si>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</si>
  <si>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</si>
  <si>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</si>
  <si>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</si>
  <si>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</si>
  <si>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</si>
  <si>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</si>
  <si>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</si>
  <si>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</si>
  <si>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</si>
  <si>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</si>
  <si>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</si>
  <si>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</si>
  <si>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</si>
  <si>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</si>
  <si>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</si>
  <si>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</si>
  <si>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</si>
  <si>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</si>
  <si>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</si>
  <si>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</si>
  <si>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</si>
  <si>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</si>
  <si>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</si>
  <si>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</si>
  <si>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</si>
  <si>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</si>
  <si>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</si>
  <si>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</si>
  <si>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</si>
  <si>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</si>
  <si>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</si>
  <si>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</si>
  <si>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</si>
  <si>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</si>
  <si>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</si>
  <si>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</si>
  <si>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</si>
  <si>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</si>
  <si>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</si>
  <si>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</si>
  <si>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</si>
  <si>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</si>
  <si>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</si>
  <si>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</si>
  <si>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</si>
  <si>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</si>
  <si>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</si>
  <si>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</si>
  <si>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</si>
  <si>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</si>
  <si>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</si>
  <si>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</si>
  <si>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</si>
  <si>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</si>
  <si>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</si>
  <si>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</si>
  <si>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</si>
  <si>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</si>
  <si>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</si>
  <si>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</si>
  <si>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</si>
  <si>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</si>
  <si>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</si>
  <si>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</si>
  <si>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</si>
  <si>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</si>
  <si>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</si>
  <si>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</si>
  <si>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</si>
  <si>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</si>
  <si>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</si>
  <si>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</si>
  <si>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</si>
  <si>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</si>
  <si>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</si>
  <si>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</si>
  <si>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</si>
  <si>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</si>
  <si>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</si>
  <si>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</si>
  <si>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</si>
  <si>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</si>
  <si>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</si>
  <si>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</si>
  <si>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</si>
  <si>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</si>
  <si>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</si>
  <si>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</si>
  <si>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</si>
  <si>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</si>
  <si>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</si>
  <si>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</si>
  <si>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</si>
  <si>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</si>
  <si>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</si>
  <si>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</si>
  <si>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</si>
  <si>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</si>
  <si>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</si>
  <si>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</si>
  <si>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</si>
  <si>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</si>
  <si>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</si>
  <si>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</si>
  <si>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</si>
  <si>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</si>
  <si>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</si>
  <si>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</si>
  <si>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</si>
  <si>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</si>
  <si>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</si>
  <si>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</si>
  <si>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</si>
  <si>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</si>
  <si>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</si>
  <si>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</si>
  <si>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</si>
  <si>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</si>
  <si>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</si>
  <si>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</si>
  <si>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</si>
  <si>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</si>
  <si>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</si>
  <si>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</si>
  <si>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</si>
  <si>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</si>
  <si>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</si>
  <si>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</si>
  <si>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</si>
  <si>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</si>
  <si>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</si>
  <si>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</si>
  <si>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</si>
  <si>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</si>
  <si>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</si>
  <si>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</si>
  <si>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</si>
  <si>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</si>
  <si>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</si>
  <si>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</si>
  <si>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</si>
  <si>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</si>
  <si>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</si>
  <si>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</si>
  <si>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</si>
  <si>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</si>
  <si>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</si>
  <si>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</si>
  <si>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</si>
  <si>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</si>
  <si>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</si>
  <si>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</si>
  <si>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</si>
  <si>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</si>
  <si>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</si>
  <si>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</si>
  <si>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</si>
  <si>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</si>
  <si>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</si>
  <si>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</si>
  <si>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</si>
  <si>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</si>
  <si>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</si>
  <si>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</si>
  <si>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</si>
  <si>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</si>
  <si>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</si>
  <si>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</si>
  <si>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</si>
  <si>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</si>
  <si>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</si>
  <si>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</si>
  <si>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</si>
  <si>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</si>
  <si>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</si>
  <si>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</si>
  <si>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</si>
  <si>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</si>
  <si>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</si>
  <si>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</si>
  <si>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</si>
  <si>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</si>
  <si>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</si>
  <si>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</si>
  <si>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</si>
  <si>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</si>
  <si>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</si>
  <si>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</si>
  <si>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</si>
  <si>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</si>
  <si>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</si>
  <si>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</si>
  <si>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</si>
  <si>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</si>
  <si>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</si>
  <si>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</si>
  <si>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</si>
  <si>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</si>
  <si>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</si>
  <si>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</si>
  <si>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</si>
  <si>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</si>
  <si>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</si>
  <si>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</si>
  <si>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</si>
  <si>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</si>
  <si>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</si>
  <si>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</si>
  <si>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</si>
  <si>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</si>
  <si>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</si>
  <si>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</si>
  <si>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</si>
  <si>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</si>
  <si>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</si>
  <si>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</si>
  <si>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</si>
  <si>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</si>
  <si>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</si>
  <si>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</si>
  <si>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</si>
  <si>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</si>
  <si>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</si>
  <si>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</si>
  <si>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</si>
  <si>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</si>
  <si>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</si>
  <si>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</si>
  <si>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</si>
  <si>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</si>
  <si>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</si>
  <si>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</si>
  <si>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</si>
  <si>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</si>
  <si>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</si>
  <si>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</si>
  <si>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</si>
  <si>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</si>
  <si>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</si>
  <si>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</si>
  <si>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</si>
  <si>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</si>
  <si>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</si>
  <si>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</si>
  <si>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</si>
  <si>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</si>
  <si>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</si>
  <si>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</si>
  <si>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</si>
  <si>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</si>
  <si>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</si>
  <si>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</si>
  <si>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</si>
  <si>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</si>
  <si>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</si>
  <si>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</si>
  <si>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</si>
  <si>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</si>
  <si>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</si>
  <si>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</si>
  <si>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</si>
  <si>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</si>
  <si>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</si>
  <si>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</si>
  <si>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</si>
  <si>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</si>
  <si>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</si>
  <si>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</si>
  <si>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</si>
  <si>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</si>
  <si>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</si>
  <si>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</si>
  <si>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</si>
  <si>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</si>
  <si>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</si>
  <si>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</si>
  <si>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</si>
  <si>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</si>
  <si>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</si>
  <si>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</si>
  <si>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</si>
  <si>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</si>
  <si>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</si>
  <si>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</si>
  <si>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</si>
  <si>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</si>
  <si>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</si>
  <si>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</si>
  <si>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</si>
  <si>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</si>
  <si>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</si>
  <si>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</si>
  <si>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</si>
  <si>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</si>
  <si>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</si>
  <si>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</si>
  <si>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</si>
  <si>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</si>
  <si>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</si>
  <si>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</si>
  <si>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</si>
  <si>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</si>
  <si>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</si>
  <si>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</si>
  <si>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</si>
  <si>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</si>
  <si>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</si>
  <si>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</si>
  <si>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</si>
  <si>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</si>
  <si>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</si>
  <si>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</si>
  <si>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</si>
  <si>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</si>
  <si>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</si>
  <si>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</si>
  <si>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</si>
  <si>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</si>
  <si>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</si>
  <si>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</si>
  <si>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</si>
  <si>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</si>
  <si>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</si>
  <si>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</si>
  <si>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</si>
  <si>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</si>
  <si>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</si>
  <si>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</si>
  <si>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</si>
  <si>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</si>
  <si>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</si>
  <si>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</si>
  <si>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</si>
  <si>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</si>
  <si>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</si>
  <si>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</si>
  <si>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</si>
  <si>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</si>
  <si>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</si>
  <si>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</si>
  <si>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</si>
  <si>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</si>
  <si>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</si>
  <si>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</si>
  <si>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</si>
  <si>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</si>
  <si>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</si>
  <si>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</si>
  <si>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</si>
  <si>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</si>
  <si>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</si>
  <si>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</si>
  <si>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</si>
  <si>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</si>
  <si>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</si>
  <si>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</si>
  <si>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</si>
  <si>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</si>
  <si>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</si>
  <si>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</si>
  <si>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</si>
  <si>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</si>
  <si>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</si>
  <si>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</si>
  <si>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</si>
  <si>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</si>
  <si>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</si>
  <si>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</si>
  <si>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</si>
  <si>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</si>
  <si>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</si>
  <si>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</si>
  <si>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</si>
  <si>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</si>
  <si>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</si>
  <si>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</si>
  <si>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</si>
  <si>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</si>
  <si>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</si>
  <si>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</si>
  <si>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</si>
  <si>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</si>
  <si>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</si>
  <si>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</si>
  <si>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</si>
  <si>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</si>
  <si>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</si>
  <si>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</si>
  <si>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</si>
  <si>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</si>
  <si>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</si>
  <si>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</si>
  <si>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</si>
  <si>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</si>
  <si>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</si>
  <si>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</si>
  <si>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</si>
  <si>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</si>
  <si>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</si>
  <si>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</si>
  <si>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</si>
  <si>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</si>
  <si>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</si>
  <si>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</si>
  <si>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</si>
  <si>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</si>
  <si>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</si>
  <si>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</si>
  <si>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</si>
  <si>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</si>
  <si>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</si>
  <si>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</si>
  <si>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</si>
  <si>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</si>
  <si>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</si>
  <si>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</si>
  <si>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</si>
  <si>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</si>
  <si>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</si>
  <si>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</si>
  <si>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</si>
  <si>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</si>
  <si>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</si>
  <si>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</si>
  <si>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</si>
  <si>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</si>
  <si>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</si>
  <si>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</si>
  <si>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</si>
  <si>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</si>
  <si>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</si>
  <si>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</si>
  <si>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</si>
  <si>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</si>
  <si>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</si>
  <si>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</si>
  <si>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</si>
  <si>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</si>
  <si>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</si>
  <si>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</si>
  <si>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</si>
  <si>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</si>
  <si>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</si>
  <si>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</si>
  <si>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</si>
  <si>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</si>
  <si>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</si>
  <si>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</si>
  <si>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</si>
  <si>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</si>
  <si>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</si>
  <si>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</si>
  <si>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</si>
  <si>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</si>
  <si>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</si>
  <si>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</si>
  <si>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</si>
  <si>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</si>
  <si>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</si>
  <si>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</si>
  <si>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</si>
  <si>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</si>
  <si>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</si>
  <si>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</si>
  <si>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</si>
  <si>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</si>
  <si>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</si>
  <si>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</si>
  <si>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</si>
  <si>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</si>
  <si>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</si>
  <si>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</si>
  <si>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</si>
  <si>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</si>
  <si>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</si>
  <si>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</si>
  <si>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</si>
  <si>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</si>
  <si>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</si>
  <si>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</si>
  <si>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</si>
  <si>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</si>
  <si>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</si>
  <si>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</si>
  <si>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</si>
  <si>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</si>
  <si>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</si>
  <si>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</si>
  <si>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</si>
  <si>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</si>
  <si>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</si>
  <si>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</si>
  <si>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</si>
  <si>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</si>
  <si>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</si>
  <si>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</si>
  <si>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</si>
  <si>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</si>
  <si>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</si>
  <si>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</si>
  <si>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</si>
  <si>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</si>
  <si>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</si>
  <si>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</si>
  <si>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</si>
  <si>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</si>
  <si>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</si>
  <si>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</si>
  <si>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</si>
  <si>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</si>
  <si>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</si>
  <si>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</si>
  <si>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</si>
  <si>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</si>
  <si>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</si>
  <si>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</si>
  <si>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</si>
  <si>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</si>
  <si>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</si>
  <si>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</si>
  <si>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</si>
  <si>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</si>
  <si>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</si>
  <si>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</si>
  <si>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</si>
  <si>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</si>
  <si>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</si>
  <si>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</si>
  <si>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</si>
  <si>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</si>
  <si>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</si>
  <si>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</si>
  <si>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</si>
  <si>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</si>
  <si>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</si>
  <si>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</si>
  <si>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</si>
  <si>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</si>
  <si>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</si>
  <si>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</si>
  <si>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</si>
  <si>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</si>
  <si>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</si>
  <si>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</si>
  <si>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</si>
  <si>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</si>
  <si>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</si>
  <si>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</si>
  <si>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</si>
  <si>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</si>
  <si>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</si>
  <si>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</si>
  <si>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</si>
  <si>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</si>
  <si>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</si>
  <si>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</si>
  <si>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</si>
  <si>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</si>
  <si>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</si>
  <si>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</si>
  <si>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</si>
  <si>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</si>
  <si>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</si>
  <si>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</si>
  <si>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</si>
  <si>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</si>
  <si>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</si>
  <si>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</si>
  <si>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</si>
  <si>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</si>
  <si>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</si>
  <si>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</si>
  <si>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</si>
  <si>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</si>
  <si>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</si>
  <si>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</si>
  <si>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</si>
  <si>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</si>
  <si>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</si>
  <si>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</si>
  <si>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</si>
  <si>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</si>
  <si>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</si>
  <si>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</si>
  <si>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</si>
  <si>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</si>
  <si>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</si>
  <si>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</si>
  <si>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</si>
  <si>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</si>
  <si>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</si>
  <si>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</si>
  <si>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</si>
  <si>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</si>
  <si>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</si>
  <si>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</si>
  <si>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</si>
  <si>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</si>
  <si>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</si>
  <si>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</si>
  <si>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</si>
  <si>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</si>
  <si>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</si>
  <si>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</si>
  <si>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</si>
  <si>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</si>
  <si>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</si>
  <si>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</si>
  <si>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</si>
  <si>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</si>
  <si>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</si>
  <si>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</si>
  <si>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</si>
  <si>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</si>
  <si>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</si>
  <si>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</si>
  <si>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</si>
  <si>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</si>
  <si>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</si>
  <si>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</si>
  <si>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</si>
  <si>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</si>
  <si>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</si>
  <si>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</si>
  <si>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</si>
  <si>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</si>
  <si>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</si>
  <si>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</si>
  <si>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</si>
  <si>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</si>
  <si>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</si>
  <si>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</si>
  <si>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</si>
  <si>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</si>
  <si>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</si>
  <si>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</si>
  <si>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</si>
  <si>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</si>
  <si>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</si>
  <si>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</si>
  <si>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</si>
  <si>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</si>
  <si>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</si>
  <si>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</si>
  <si>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</si>
  <si>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</si>
  <si>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</si>
  <si>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</si>
  <si>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</si>
  <si>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</si>
  <si>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</si>
  <si>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</si>
  <si>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</si>
  <si>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</si>
  <si>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</si>
  <si>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</si>
  <si>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</si>
  <si>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</si>
  <si>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</si>
  <si>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</si>
  <si>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</si>
  <si>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</si>
  <si>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</si>
  <si>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</si>
  <si>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</si>
  <si>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</si>
  <si>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</si>
  <si>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</si>
  <si>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</si>
  <si>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</si>
  <si>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</si>
  <si>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</si>
  <si>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</si>
  <si>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</si>
  <si>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</si>
  <si>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</si>
  <si>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</si>
  <si>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</si>
  <si>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</si>
  <si>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</si>
  <si>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</si>
  <si>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</si>
  <si>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</si>
  <si>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</si>
  <si>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</si>
  <si>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</si>
  <si>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</si>
  <si>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</si>
  <si>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</si>
  <si>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</si>
  <si>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</si>
  <si>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</si>
  <si>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</si>
  <si>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</si>
  <si>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</si>
  <si>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</si>
  <si>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</si>
  <si>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</si>
  <si>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</si>
  <si>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</si>
  <si>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</si>
  <si>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</si>
  <si>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</si>
  <si>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</si>
  <si>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</si>
  <si>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</si>
  <si>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</si>
  <si>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</si>
  <si>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</si>
  <si>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</si>
  <si>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</si>
  <si>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</si>
  <si>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</si>
  <si>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</si>
  <si>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</si>
  <si>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</si>
  <si>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</si>
  <si>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</si>
  <si>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</si>
  <si>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</si>
  <si>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</si>
  <si>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</si>
  <si>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</si>
  <si>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</si>
  <si>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</si>
  <si>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</si>
  <si>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</si>
  <si>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</si>
  <si>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</si>
  <si>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</si>
  <si>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</si>
  <si>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</si>
  <si>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</si>
  <si>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</si>
  <si>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</si>
  <si>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</si>
  <si>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</si>
  <si>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</si>
  <si>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</si>
  <si>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</si>
  <si>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</si>
  <si>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</si>
  <si>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</si>
  <si>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</si>
  <si>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</si>
  <si>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</si>
  <si>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</si>
  <si>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</si>
  <si>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</si>
  <si>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</si>
  <si>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</si>
  <si>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</si>
  <si>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</si>
  <si>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</si>
  <si>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</si>
  <si>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</si>
  <si>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</si>
  <si>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</si>
  <si>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</si>
  <si>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</si>
  <si>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</si>
  <si>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</si>
  <si>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</si>
  <si>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</si>
  <si>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</si>
  <si>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</si>
  <si>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</si>
  <si>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</si>
  <si>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</si>
  <si>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</si>
  <si>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</si>
  <si>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</si>
  <si>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</si>
  <si>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</si>
  <si>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</si>
  <si>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</si>
  <si>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</si>
  <si>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</si>
  <si>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</si>
  <si>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</si>
  <si>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</si>
  <si>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</si>
  <si>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</si>
  <si>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</si>
  <si>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</si>
  <si>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</si>
  <si>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</si>
  <si>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</si>
  <si>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</si>
  <si>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</si>
  <si>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</si>
  <si>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</si>
  <si>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</si>
  <si>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</si>
  <si>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</si>
  <si>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</si>
  <si>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</si>
  <si>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</si>
  <si>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</si>
  <si>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</si>
  <si>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</si>
  <si>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</si>
  <si>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</si>
  <si>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</si>
  <si>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</si>
  <si>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</si>
  <si>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</si>
  <si>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</si>
  <si>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</si>
  <si>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</si>
  <si>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</si>
  <si>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</si>
  <si>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</si>
  <si>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</si>
  <si>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</si>
  <si>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</si>
  <si>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</si>
  <si>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</si>
  <si>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</si>
  <si>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</si>
  <si>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</si>
  <si>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</si>
  <si>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</si>
  <si>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</si>
  <si>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</si>
  <si>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</si>
  <si>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</si>
  <si>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</si>
  <si>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</si>
  <si>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</si>
  <si>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</si>
  <si>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</si>
  <si>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</si>
  <si>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</si>
  <si>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</si>
  <si>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</si>
  <si>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</si>
  <si>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</si>
  <si>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</si>
  <si>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</si>
  <si>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</si>
  <si>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</si>
  <si>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</si>
  <si>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</si>
  <si>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</si>
  <si>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</si>
  <si>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</si>
  <si>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</si>
  <si>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</si>
  <si>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</si>
  <si>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</si>
  <si>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</si>
  <si>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</si>
  <si>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</si>
  <si>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</si>
  <si>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</si>
  <si>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</si>
  <si>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</si>
  <si>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</si>
  <si>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</si>
  <si>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</si>
  <si>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</si>
  <si>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</si>
  <si>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</si>
  <si>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</si>
  <si>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</si>
  <si>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</si>
  <si>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</si>
  <si>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</si>
  <si>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</si>
  <si>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</si>
  <si>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</si>
  <si>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</si>
  <si>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</si>
  <si>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</si>
  <si>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</si>
  <si>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</si>
  <si>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</si>
  <si>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</si>
  <si>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</si>
  <si>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</si>
  <si>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</si>
  <si>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</si>
  <si>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</si>
  <si>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</si>
  <si>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</si>
  <si>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</si>
  <si>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</si>
  <si>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</si>
  <si>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</si>
  <si>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</si>
  <si>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</si>
  <si>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</si>
  <si>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</si>
  <si>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</si>
  <si>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</si>
  <si>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</si>
  <si>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</si>
  <si>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</si>
  <si>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</si>
  <si>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</si>
  <si>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</si>
  <si>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</si>
  <si>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</si>
  <si>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</si>
  <si>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</si>
  <si>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</si>
  <si>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</si>
  <si>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</si>
  <si>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</si>
  <si>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</si>
  <si>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</si>
  <si>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</si>
  <si>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</si>
  <si>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</si>
  <si>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</si>
  <si>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</si>
  <si>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</si>
  <si>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</si>
  <si>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</si>
  <si>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</si>
  <si>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</si>
  <si>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</si>
  <si>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</si>
  <si>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</si>
  <si>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</si>
  <si>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</si>
  <si>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</si>
  <si>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</si>
  <si>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</si>
  <si>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</si>
  <si>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</si>
  <si>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</si>
  <si>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</si>
  <si>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</si>
  <si>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</si>
  <si>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</si>
  <si>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</si>
  <si>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</si>
  <si>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</si>
  <si>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</si>
  <si>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</si>
  <si>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</si>
  <si>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</si>
  <si>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</si>
  <si>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</si>
  <si>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</si>
  <si>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</si>
  <si>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</si>
  <si>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</si>
  <si>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</si>
  <si>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</si>
  <si>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</si>
  <si>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</si>
  <si>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</si>
  <si>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</si>
  <si>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</si>
  <si>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</si>
  <si>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</si>
  <si>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</si>
  <si>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</si>
  <si>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</si>
  <si>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</si>
  <si>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</si>
  <si>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</si>
  <si>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</si>
  <si>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</si>
  <si>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</si>
  <si>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</si>
  <si>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</si>
  <si>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</si>
  <si>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</si>
  <si>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</si>
  <si>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</si>
  <si>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</si>
  <si>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</si>
  <si>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</si>
  <si>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</si>
  <si>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</si>
  <si>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</si>
  <si>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</si>
  <si>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</si>
  <si>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</si>
  <si>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</si>
  <si>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</si>
  <si>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</si>
  <si>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</si>
  <si>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</si>
  <si>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</si>
  <si>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</si>
  <si>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</si>
  <si>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</si>
  <si>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</si>
  <si>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</si>
  <si>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</si>
  <si>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</si>
  <si>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</si>
  <si>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</si>
  <si>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</si>
  <si>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</si>
  <si>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</si>
  <si>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</si>
  <si>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</si>
  <si>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</si>
  <si>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</si>
  <si>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</si>
  <si>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</si>
  <si>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</si>
  <si>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</si>
  <si>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</si>
  <si>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</si>
  <si>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</si>
  <si>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</si>
  <si>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</si>
  <si>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</si>
  <si>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</si>
  <si>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</si>
  <si>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</si>
  <si>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</si>
  <si>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</si>
  <si>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</si>
  <si>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</si>
  <si>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</si>
  <si>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</si>
  <si>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</si>
  <si>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</si>
  <si>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</si>
  <si>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</si>
  <si>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</si>
  <si>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</si>
  <si>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</si>
  <si>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</si>
  <si>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</si>
  <si>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</si>
  <si>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</si>
  <si>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</si>
  <si>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</si>
  <si>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</si>
  <si>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</si>
  <si>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</si>
  <si>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</si>
  <si>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</si>
  <si>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</si>
  <si>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</si>
  <si>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</si>
  <si>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</si>
  <si>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</si>
  <si>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</si>
  <si>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</si>
  <si>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</si>
  <si>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</si>
  <si>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</si>
  <si>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</si>
  <si>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</si>
  <si>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</si>
  <si>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</si>
  <si>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</si>
  <si>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</si>
  <si>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</si>
  <si>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</si>
  <si>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</si>
  <si>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</si>
  <si>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</si>
  <si>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</si>
  <si>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</si>
  <si>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</si>
  <si>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</si>
  <si>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</si>
  <si>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</si>
  <si>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</si>
  <si>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</si>
  <si>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</si>
  <si>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</si>
  <si>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</si>
  <si>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</si>
  <si>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</si>
  <si>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</si>
  <si>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</si>
  <si>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</si>
  <si>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</si>
  <si>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</si>
  <si>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</si>
  <si>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</si>
  <si>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</si>
  <si>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</si>
  <si>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</si>
  <si>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</si>
  <si>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</si>
  <si>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</si>
  <si>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</si>
  <si>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</si>
  <si>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</si>
  <si>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</si>
  <si>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</si>
  <si>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</si>
  <si>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</si>
  <si>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</si>
  <si>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</si>
  <si>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</si>
  <si>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</si>
  <si>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</si>
  <si>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</si>
  <si>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</si>
  <si>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</si>
  <si>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</si>
  <si>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</si>
  <si>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</si>
  <si>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</si>
  <si>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</si>
  <si>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</si>
  <si>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</si>
  <si>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</si>
  <si>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</si>
  <si>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</si>
  <si>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</si>
  <si>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</si>
  <si>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</si>
  <si>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</si>
  <si>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</si>
  <si>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</si>
  <si>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</si>
  <si>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</si>
  <si>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</si>
  <si>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</si>
  <si>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</si>
  <si>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</si>
  <si>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</si>
  <si>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</si>
  <si>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</si>
  <si>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</si>
  <si>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</si>
  <si>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</si>
  <si>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</si>
  <si>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</si>
  <si>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</si>
  <si>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</si>
  <si>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</si>
  <si>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</si>
  <si>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</si>
  <si>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</si>
  <si>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</si>
  <si>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</si>
  <si>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</si>
  <si>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</si>
  <si>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</si>
  <si>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</si>
  <si>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</si>
  <si>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</si>
  <si>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</si>
  <si>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</si>
  <si>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</si>
  <si>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</si>
  <si>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</si>
  <si>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</si>
  <si>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</si>
  <si>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</si>
  <si>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</si>
  <si>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</si>
  <si>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</si>
  <si>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</si>
  <si>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</si>
  <si>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</si>
  <si>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</si>
  <si>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</si>
  <si>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</si>
  <si>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</si>
  <si>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</si>
  <si>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</si>
  <si>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</si>
  <si>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</si>
  <si>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</si>
  <si>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</si>
  <si>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</si>
  <si>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</si>
  <si>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</si>
  <si>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</si>
  <si>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</si>
  <si>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</si>
  <si>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</si>
  <si>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</si>
  <si>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</si>
  <si>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</si>
  <si>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</si>
  <si>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</si>
  <si>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</si>
  <si>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</si>
  <si>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</si>
  <si>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</si>
  <si>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</si>
  <si>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</si>
  <si>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</si>
  <si>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</si>
  <si>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</si>
  <si>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</si>
  <si>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</si>
  <si>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</si>
  <si>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</si>
  <si>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</si>
  <si>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</si>
  <si>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</si>
  <si>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</si>
  <si>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</si>
  <si>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</si>
  <si>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</si>
  <si>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</si>
  <si>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</si>
  <si>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</si>
  <si>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</si>
  <si>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</si>
  <si>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</si>
  <si>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</si>
  <si>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</si>
  <si>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</si>
  <si>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</si>
  <si>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</si>
  <si>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</si>
  <si>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</si>
  <si>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</si>
  <si>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</si>
  <si>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</si>
  <si>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</si>
  <si>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</si>
  <si>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</si>
  <si>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</si>
  <si>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</si>
  <si>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</si>
  <si>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</si>
  <si>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</si>
  <si>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</si>
  <si>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</si>
  <si>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</si>
  <si>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</si>
  <si>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</si>
  <si>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</si>
  <si>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</si>
  <si>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</si>
  <si>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</si>
  <si>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</si>
  <si>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</si>
  <si>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</si>
  <si>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</si>
  <si>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</si>
  <si>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</si>
  <si>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</si>
  <si>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</si>
  <si>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</si>
  <si>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</si>
  <si>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</si>
  <si>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</si>
  <si>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</si>
  <si>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</si>
  <si>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</si>
  <si>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</si>
  <si>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</si>
  <si>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</si>
  <si>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</si>
  <si>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</si>
  <si>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</si>
  <si>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</si>
  <si>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</si>
  <si>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</si>
  <si>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</si>
  <si>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</si>
  <si>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</si>
  <si>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</si>
  <si>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</si>
  <si>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</si>
  <si>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</si>
  <si>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</si>
  <si>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</si>
  <si>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</si>
  <si>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</si>
  <si>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</si>
  <si>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</si>
  <si>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</si>
  <si>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</si>
  <si>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</si>
  <si>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</si>
  <si>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</si>
  <si>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</si>
  <si>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</si>
  <si>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</si>
  <si>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</si>
  <si>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</si>
  <si>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</si>
  <si>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</si>
  <si>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</si>
  <si>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</si>
  <si>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</si>
  <si>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</si>
  <si>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</si>
  <si>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</si>
  <si>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</si>
  <si>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</si>
  <si>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</si>
  <si>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</si>
  <si>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</si>
  <si>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</si>
  <si>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</si>
  <si>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</si>
  <si>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</si>
  <si>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</si>
  <si>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</si>
  <si>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</si>
  <si>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</si>
  <si>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</si>
  <si>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</si>
  <si>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</si>
  <si>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</si>
  <si>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</si>
  <si>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</si>
  <si>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</si>
  <si>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</si>
  <si>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</si>
  <si>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</si>
  <si>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</si>
  <si>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</si>
  <si>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</si>
  <si>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</si>
  <si>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</si>
  <si>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</si>
  <si>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</si>
  <si>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</si>
  <si>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</si>
  <si>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</si>
  <si>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</si>
  <si>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</si>
  <si>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</si>
  <si>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</si>
  <si>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</si>
  <si>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</si>
  <si>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</si>
  <si>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</si>
  <si>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</si>
  <si>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</si>
  <si>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</si>
  <si>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</si>
  <si>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</si>
  <si>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</si>
  <si>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</si>
  <si>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</si>
  <si>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</si>
  <si>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</si>
  <si>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</si>
  <si>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</si>
  <si>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</si>
  <si>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</si>
  <si>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</si>
  <si>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</si>
  <si>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</si>
  <si>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</si>
  <si>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</si>
  <si>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</si>
  <si>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</si>
  <si>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</si>
  <si>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</si>
  <si>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</si>
  <si>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</si>
  <si>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</si>
  <si>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</si>
  <si>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</si>
  <si>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</si>
  <si>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</si>
  <si>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</si>
  <si>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</si>
  <si>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</si>
  <si>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</si>
  <si>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</si>
  <si>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</si>
  <si>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</si>
  <si>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</si>
  <si>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</si>
  <si>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</si>
  <si>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</si>
  <si>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</si>
  <si>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</si>
  <si>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</si>
  <si>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</si>
  <si>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</si>
  <si>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</si>
  <si>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</si>
  <si>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</si>
  <si>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</si>
  <si>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</si>
  <si>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</si>
  <si>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</si>
  <si>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</si>
  <si>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</si>
  <si>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</si>
  <si>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</si>
  <si>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</si>
  <si>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</si>
  <si>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</si>
  <si>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</si>
  <si>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</si>
  <si>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</si>
  <si>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</si>
  <si>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</si>
  <si>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</si>
  <si>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</si>
  <si>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</si>
  <si>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</si>
  <si>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</si>
  <si>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</si>
  <si>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</si>
  <si>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</si>
  <si>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</si>
  <si>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</si>
  <si>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</si>
  <si>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</si>
  <si>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</si>
  <si>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</si>
  <si>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</si>
  <si>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</si>
  <si>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</si>
  <si>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</si>
  <si>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</si>
  <si>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</si>
  <si>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</si>
  <si>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</si>
  <si>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</si>
  <si>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</si>
  <si>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</si>
  <si>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</si>
  <si>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</si>
  <si>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</si>
  <si>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</si>
  <si>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</si>
  <si>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</si>
  <si>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</si>
  <si>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</si>
  <si>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</si>
  <si>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</si>
  <si>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</si>
  <si>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</si>
  <si>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</si>
  <si>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</si>
  <si>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</si>
  <si>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</si>
  <si>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</si>
  <si>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</si>
  <si>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</si>
  <si>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</si>
  <si>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</si>
  <si>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</si>
  <si>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</si>
  <si>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</si>
  <si>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</si>
  <si>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</si>
  <si>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</si>
  <si>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</si>
  <si>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</si>
  <si>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</si>
  <si>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</si>
  <si>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</si>
  <si>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</si>
  <si>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</si>
  <si>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</si>
  <si>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</si>
  <si>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</si>
  <si>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</si>
  <si>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</si>
  <si>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</si>
  <si>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</si>
  <si>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</si>
  <si>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</si>
  <si>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</si>
  <si>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</si>
  <si>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</si>
  <si>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</si>
  <si>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</si>
  <si>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</si>
  <si>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</si>
  <si>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</si>
  <si>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</si>
  <si>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</si>
  <si>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</si>
  <si>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</si>
  <si>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</si>
  <si>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</si>
  <si>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</si>
  <si>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</si>
  <si>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</si>
  <si>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</si>
  <si>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</si>
  <si>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</si>
  <si>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</si>
  <si>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</si>
  <si>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</si>
  <si>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</si>
  <si>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</si>
  <si>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</si>
  <si>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</si>
  <si>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</si>
  <si>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</si>
  <si>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</si>
  <si>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</si>
  <si>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</si>
  <si>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</si>
  <si>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</si>
  <si>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</si>
  <si>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</si>
  <si>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</si>
  <si>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</si>
  <si>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</si>
  <si>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</si>
  <si>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</si>
  <si>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</si>
  <si>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</si>
  <si>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</si>
  <si>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</si>
  <si>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</si>
  <si>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</si>
  <si>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</si>
  <si>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</si>
  <si>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</si>
  <si>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</si>
  <si>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</si>
  <si>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</si>
  <si>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</si>
  <si>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</si>
  <si>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</si>
  <si>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</si>
  <si>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</si>
  <si>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</si>
  <si>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</si>
  <si>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</si>
  <si>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</si>
  <si>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</si>
  <si>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</si>
  <si>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</si>
  <si>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</si>
  <si>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</si>
  <si>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</si>
  <si>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</si>
  <si>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</si>
  <si>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</si>
  <si>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</si>
  <si>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</si>
  <si>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</si>
  <si>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</si>
  <si>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</si>
  <si>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</si>
  <si>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</si>
  <si>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</si>
  <si>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</si>
  <si>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</si>
  <si>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</si>
  <si>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</si>
  <si>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</si>
  <si>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</si>
  <si>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</si>
  <si>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</si>
  <si>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</si>
  <si>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</si>
  <si>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</si>
  <si>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</si>
  <si>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</si>
  <si>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</si>
  <si>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</si>
  <si>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</si>
  <si>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</si>
  <si>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</si>
  <si>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</si>
  <si>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</si>
  <si>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</si>
  <si>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</si>
  <si>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</si>
  <si>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</si>
  <si>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</si>
  <si>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</si>
  <si>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</si>
  <si>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</si>
  <si>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</si>
  <si>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</si>
  <si>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</si>
  <si>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</si>
  <si>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</si>
  <si>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</si>
  <si>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</si>
  <si>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</si>
  <si>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</si>
  <si>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</si>
  <si>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</si>
  <si>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</si>
  <si>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</si>
  <si>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</si>
  <si>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</si>
  <si>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</si>
  <si>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</si>
  <si>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</si>
  <si>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</si>
  <si>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</si>
  <si>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</si>
  <si>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</si>
  <si>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</si>
  <si>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</si>
  <si>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</si>
  <si>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</si>
  <si>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</si>
  <si>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</si>
  <si>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</si>
  <si>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</si>
  <si>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</si>
  <si>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</si>
  <si>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</si>
  <si>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</si>
  <si>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</si>
  <si>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</si>
  <si>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</si>
  <si>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</si>
  <si>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</si>
  <si>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</si>
  <si>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</si>
  <si>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</si>
  <si>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</si>
  <si>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</si>
  <si>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</si>
  <si>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</si>
  <si>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</si>
  <si>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</si>
  <si>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</si>
  <si>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</si>
  <si>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</si>
  <si>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</si>
  <si>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</si>
  <si>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</si>
  <si>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</si>
  <si>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</si>
  <si>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</si>
  <si>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</si>
  <si>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</si>
  <si>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</si>
  <si>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</si>
  <si>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</si>
  <si>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</si>
  <si>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</si>
  <si>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</si>
  <si>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</si>
  <si>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</si>
  <si>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</si>
  <si>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</si>
  <si>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</si>
  <si>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</si>
  <si>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</si>
  <si>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</si>
  <si>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</si>
  <si>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</si>
  <si>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</si>
  <si>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</si>
  <si>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</si>
  <si>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</si>
  <si>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</si>
  <si>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</si>
  <si>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</si>
  <si>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</si>
  <si>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</si>
  <si>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</si>
  <si>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</si>
  <si>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</si>
  <si>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</si>
  <si>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</si>
  <si>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</si>
  <si>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</si>
  <si>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</si>
  <si>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</si>
  <si>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</si>
  <si>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</si>
  <si>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</si>
  <si>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</si>
  <si>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</si>
  <si>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</si>
  <si>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</si>
  <si>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</si>
  <si>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</si>
  <si>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</si>
  <si>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</si>
  <si>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</si>
  <si>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</si>
  <si>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</si>
  <si>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</si>
  <si>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</si>
  <si>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</si>
  <si>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</si>
  <si>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</si>
  <si>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</si>
  <si>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</si>
  <si>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</si>
  <si>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</si>
  <si>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</si>
  <si>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</si>
  <si>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</si>
  <si>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</si>
  <si>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</si>
  <si>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</si>
  <si>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</si>
  <si>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</si>
  <si>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</si>
  <si>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</si>
  <si>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</si>
  <si>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</si>
  <si>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</si>
  <si>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</si>
  <si>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</si>
  <si>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</si>
  <si>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</si>
  <si>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</si>
  <si>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</si>
  <si>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</si>
  <si>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</si>
  <si>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</si>
  <si>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</si>
  <si>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</si>
  <si>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</si>
  <si>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</si>
  <si>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</si>
  <si>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</si>
  <si>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</si>
  <si>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</si>
  <si>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</si>
  <si>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</si>
  <si>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</si>
  <si>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</si>
  <si>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</si>
  <si>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</si>
  <si>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</si>
  <si>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</si>
  <si>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</si>
  <si>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</si>
  <si>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</si>
  <si>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</si>
  <si>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</si>
  <si>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</si>
  <si>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</si>
  <si>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</si>
  <si>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</si>
  <si>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</si>
  <si>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</si>
  <si>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</si>
  <si>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</si>
  <si>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</si>
  <si>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</si>
  <si>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</si>
  <si>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</si>
  <si>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</si>
  <si>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</si>
  <si>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</si>
  <si>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</si>
  <si>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</si>
  <si>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</si>
  <si>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</si>
  <si>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</si>
  <si>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</si>
  <si>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</si>
  <si>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</si>
  <si>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</si>
  <si>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</si>
  <si>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</si>
  <si>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</si>
  <si>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</si>
  <si>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</si>
  <si>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</si>
  <si>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</si>
  <si>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</si>
  <si>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</si>
  <si>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</si>
  <si>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</si>
  <si>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</si>
  <si>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</si>
  <si>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</si>
  <si>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</si>
  <si>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</si>
  <si>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</si>
  <si>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</si>
  <si>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</si>
  <si>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</si>
  <si>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</si>
  <si>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</si>
  <si>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</si>
  <si>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</si>
  <si>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</si>
  <si>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</si>
  <si>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</si>
  <si>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</si>
  <si>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</si>
  <si>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</si>
  <si>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</si>
  <si>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</si>
  <si>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</si>
  <si>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</si>
  <si>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</si>
  <si>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</si>
  <si>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</si>
  <si>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</si>
  <si>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</si>
  <si>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</si>
  <si>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</si>
  <si>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</si>
  <si>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</si>
  <si>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</si>
  <si>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</si>
  <si>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</si>
  <si>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</si>
  <si>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</si>
  <si>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</si>
  <si>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</si>
  <si>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</si>
  <si>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</si>
  <si>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</si>
  <si>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</si>
  <si>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</si>
  <si>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</si>
  <si>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</si>
  <si>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</si>
  <si>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</si>
  <si>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</si>
  <si>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</si>
  <si>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</si>
  <si>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</si>
  <si>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</si>
  <si>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</si>
  <si>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</si>
  <si>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</si>
  <si>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</si>
  <si>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</si>
  <si>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</si>
  <si>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</si>
  <si>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</si>
  <si>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</si>
  <si>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</si>
  <si>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</si>
  <si>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</si>
  <si>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</si>
  <si>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</si>
  <si>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</si>
  <si>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</si>
  <si>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</si>
  <si>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</si>
  <si>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</si>
  <si>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</si>
  <si>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</si>
  <si>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</si>
  <si>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</si>
  <si>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</si>
  <si>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</si>
  <si>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</si>
  <si>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</si>
  <si>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</si>
  <si>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</si>
  <si>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</si>
  <si>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</si>
  <si>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</si>
  <si>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</si>
  <si>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</si>
  <si>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</si>
  <si>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</si>
  <si>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</si>
  <si>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</si>
  <si>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</si>
  <si>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</si>
  <si>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</si>
  <si>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</si>
  <si>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</si>
  <si>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</si>
  <si>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</si>
  <si>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</si>
  <si>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</si>
  <si>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</si>
  <si>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</si>
  <si>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</si>
  <si>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</si>
  <si>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</si>
  <si>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</si>
  <si>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</si>
  <si>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</si>
  <si>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</si>
  <si>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</si>
  <si>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</si>
  <si>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</si>
  <si>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</si>
  <si>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</si>
  <si>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</si>
  <si>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</si>
  <si>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</si>
  <si>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</si>
  <si>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</si>
  <si>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</si>
  <si>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</si>
  <si>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</si>
  <si>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</si>
  <si>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</si>
  <si>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</si>
  <si>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</si>
  <si>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</si>
  <si>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</si>
  <si>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</si>
  <si>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</si>
  <si>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</si>
  <si>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</si>
  <si>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</si>
  <si>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</si>
  <si>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</si>
  <si>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</si>
  <si>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</si>
  <si>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</si>
  <si>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</si>
  <si>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</si>
  <si>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</si>
  <si>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</si>
  <si>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</si>
  <si>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</si>
  <si>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</si>
  <si>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</si>
  <si>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</si>
  <si>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</si>
  <si>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</si>
  <si>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</si>
  <si>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</si>
  <si>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</si>
  <si>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</si>
  <si>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</si>
  <si>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</si>
  <si>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</si>
  <si>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</si>
  <si>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</si>
  <si>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</si>
  <si>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</si>
  <si>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</si>
  <si>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</si>
  <si>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</si>
  <si>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</si>
  <si>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</si>
  <si>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</si>
  <si>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</si>
  <si>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</si>
  <si>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</si>
  <si>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</si>
  <si>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</si>
  <si>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</si>
  <si>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</si>
  <si>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</si>
  <si>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</si>
  <si>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</si>
  <si>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</si>
  <si>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</si>
  <si>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</si>
  <si>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</si>
  <si>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</si>
  <si>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</si>
  <si>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</si>
  <si>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</si>
  <si>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</si>
  <si>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</si>
  <si>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</si>
  <si>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</si>
  <si>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</si>
  <si>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</si>
  <si>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</si>
  <si>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</si>
  <si>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</si>
  <si>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</si>
  <si>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</si>
  <si>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</si>
  <si>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</si>
  <si>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</si>
  <si>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</si>
  <si>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</si>
  <si>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</si>
  <si>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</si>
  <si>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</si>
  <si>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</si>
  <si>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</si>
  <si>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</si>
  <si>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</si>
  <si>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</si>
  <si>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</si>
  <si>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</si>
  <si>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</si>
  <si>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</si>
  <si>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</si>
  <si>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</si>
  <si>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</si>
  <si>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</si>
  <si>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</si>
  <si>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</si>
  <si>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</si>
  <si>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</si>
  <si>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</si>
  <si>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</si>
  <si>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</si>
  <si>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</si>
  <si>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</si>
  <si>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</si>
  <si>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</si>
  <si>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</si>
  <si>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</si>
  <si>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</si>
  <si>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</si>
  <si>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</si>
  <si>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</si>
  <si>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</si>
  <si>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</si>
  <si>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</si>
  <si>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</si>
  <si>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</si>
  <si>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</si>
  <si>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</si>
  <si>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</si>
  <si>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</si>
  <si>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</si>
  <si>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</si>
  <si>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</si>
  <si>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</si>
  <si>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</si>
  <si>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</si>
  <si>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</si>
  <si>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</si>
  <si>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</si>
  <si>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</si>
  <si>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</si>
  <si>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</si>
  <si>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</si>
  <si>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</si>
  <si>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</si>
  <si>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</si>
  <si>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</si>
  <si>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</si>
  <si>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</si>
  <si>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</si>
  <si>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</si>
  <si>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</si>
  <si>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</si>
  <si>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</si>
  <si>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</si>
  <si>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</si>
  <si>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</si>
  <si>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</si>
  <si>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</si>
  <si>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</si>
  <si>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</si>
  <si>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</si>
  <si>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</si>
  <si>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</si>
  <si>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</si>
  <si>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</si>
  <si>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</si>
  <si>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</si>
  <si>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</si>
  <si>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</si>
  <si>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</si>
  <si>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</si>
  <si>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</si>
  <si>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</si>
  <si>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</si>
  <si>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</si>
  <si>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</si>
  <si>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</si>
  <si>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</si>
  <si>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</si>
  <si>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</si>
  <si>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</si>
  <si>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</si>
  <si>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</si>
  <si>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</si>
  <si>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</si>
  <si>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</si>
  <si>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</si>
  <si>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</si>
  <si>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</si>
  <si>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</si>
  <si>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</si>
  <si>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</si>
  <si>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</si>
  <si>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</si>
  <si>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</si>
  <si>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</si>
  <si>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</si>
  <si>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</si>
  <si>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</si>
  <si>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</si>
  <si>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</si>
  <si>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</si>
  <si>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</si>
  <si>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</si>
  <si>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</si>
  <si>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</si>
  <si>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</si>
  <si>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</si>
  <si>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</si>
  <si>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</si>
  <si>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</si>
  <si>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</si>
  <si>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</si>
  <si>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</si>
  <si>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</si>
  <si>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</si>
  <si>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</si>
  <si>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</si>
  <si>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</si>
  <si>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</si>
  <si>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</si>
  <si>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</si>
  <si>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</si>
  <si>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</si>
  <si>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</si>
  <si>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</si>
  <si>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</si>
  <si>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</si>
  <si>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</si>
  <si>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</si>
  <si>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</si>
  <si>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</si>
  <si>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</si>
  <si>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</si>
  <si>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</si>
  <si>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</si>
  <si>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</si>
  <si>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</si>
  <si>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</si>
  <si>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</si>
  <si>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</si>
  <si>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</si>
  <si>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</si>
  <si>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</si>
  <si>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</si>
  <si>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</si>
  <si>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</si>
  <si>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</si>
  <si>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</si>
  <si>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</si>
  <si>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</si>
  <si>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</si>
  <si>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</si>
  <si>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</si>
  <si>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</si>
  <si>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</si>
  <si>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</si>
  <si>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</si>
  <si>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</si>
  <si>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</si>
  <si>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</si>
  <si>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</si>
  <si>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</si>
  <si>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</si>
  <si>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</si>
  <si>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</si>
  <si>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</si>
  <si>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</si>
  <si>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</si>
  <si>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</si>
  <si>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</si>
  <si>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</si>
  <si>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</si>
  <si>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</si>
  <si>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</si>
  <si>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</si>
  <si>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</si>
  <si>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</si>
  <si>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</si>
  <si>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</si>
  <si>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</si>
  <si>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</si>
  <si>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</si>
  <si>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</si>
  <si>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</si>
  <si>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</si>
  <si>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</si>
  <si>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</si>
  <si>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</si>
  <si>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</si>
  <si>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</si>
  <si>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</si>
  <si>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</si>
  <si>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</si>
  <si>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</si>
  <si>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</si>
  <si>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</si>
  <si>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</si>
  <si>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</si>
  <si>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</si>
  <si>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</si>
  <si>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</si>
  <si>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</si>
  <si>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</si>
  <si>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</si>
  <si>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</si>
  <si>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</si>
  <si>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</si>
  <si>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</si>
  <si>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</si>
  <si>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</si>
  <si>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</si>
  <si>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</si>
  <si>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</si>
  <si>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</si>
  <si>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</si>
  <si>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</si>
  <si>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</si>
  <si>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</si>
  <si>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</si>
  <si>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</si>
  <si>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</si>
  <si>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</si>
  <si>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</si>
  <si>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</si>
  <si>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</si>
  <si>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</si>
  <si>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</si>
  <si>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</si>
  <si>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</si>
  <si>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</si>
  <si>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</si>
  <si>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</si>
  <si>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</si>
  <si>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</si>
  <si>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</si>
  <si>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</si>
  <si>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</si>
  <si>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</si>
  <si>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</si>
  <si>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</si>
  <si>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</si>
  <si>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</si>
  <si>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</si>
  <si>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</si>
  <si>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</si>
  <si>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</si>
  <si>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</si>
  <si>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</si>
  <si>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</si>
  <si>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</si>
  <si>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</si>
  <si>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</si>
  <si>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</si>
  <si>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</si>
  <si>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</si>
  <si>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</si>
  <si>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</si>
  <si>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</si>
  <si>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</si>
  <si>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</si>
  <si>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</si>
  <si>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</si>
  <si>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</si>
  <si>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</si>
  <si>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</si>
  <si>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</si>
  <si>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</si>
  <si>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</si>
  <si>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</si>
  <si>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</si>
  <si>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</si>
  <si>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</si>
  <si>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</si>
  <si>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</si>
  <si>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</si>
  <si>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</si>
  <si>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</si>
  <si>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</si>
  <si>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</si>
  <si>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</si>
  <si>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</si>
  <si>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</si>
  <si>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</si>
  <si>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</si>
  <si>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</si>
  <si>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</si>
  <si>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</si>
  <si>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</si>
  <si>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</si>
  <si>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</si>
  <si>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</si>
  <si>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</si>
  <si>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</si>
  <si>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</si>
  <si>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</si>
  <si>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</si>
  <si>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</si>
  <si>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</si>
  <si>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</si>
  <si>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</si>
  <si>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</si>
  <si>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</si>
  <si>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</si>
  <si>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</si>
  <si>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</si>
  <si>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</si>
  <si>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</si>
  <si>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</si>
  <si>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</si>
  <si>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</si>
  <si>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</si>
  <si>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</si>
  <si>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</si>
  <si>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</si>
  <si>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</si>
  <si>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</si>
  <si>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</si>
  <si>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</si>
  <si>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</si>
  <si>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</si>
  <si>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</si>
  <si>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</si>
  <si>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</si>
  <si>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</si>
  <si>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</si>
  <si>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</si>
  <si>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</si>
  <si>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</si>
  <si>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</si>
  <si>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</si>
  <si>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</si>
  <si>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</si>
  <si>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</si>
  <si>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</si>
  <si>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</si>
  <si>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</si>
  <si>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</si>
  <si>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</si>
  <si>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</si>
  <si>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</si>
  <si>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</si>
  <si>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</si>
  <si>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</si>
  <si>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</si>
  <si>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</si>
  <si>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</si>
  <si>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</si>
  <si>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</si>
  <si>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</si>
  <si>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</si>
  <si>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</si>
  <si>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</si>
  <si>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</si>
  <si>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</si>
  <si>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</si>
  <si>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</si>
  <si>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</si>
  <si>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</si>
  <si>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</si>
  <si>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</si>
  <si>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</si>
  <si>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</si>
  <si>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</si>
  <si>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</si>
  <si>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</si>
  <si>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</si>
  <si>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</si>
  <si>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</si>
  <si>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</si>
  <si>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</si>
  <si>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</si>
  <si>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</si>
  <si>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</si>
  <si>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</si>
  <si>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</si>
  <si>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</si>
  <si>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</si>
  <si>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</si>
  <si>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</si>
  <si>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</si>
  <si>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</si>
  <si>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</si>
  <si>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</si>
  <si>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</si>
  <si>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</si>
  <si>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</si>
  <si>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</si>
  <si>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</si>
  <si>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</si>
  <si>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</si>
  <si>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</si>
  <si>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</si>
  <si>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</si>
  <si>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</si>
  <si>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</si>
  <si>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</si>
  <si>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</si>
  <si>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</si>
  <si>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</si>
  <si>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</si>
  <si>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</si>
  <si>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</si>
  <si>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</si>
  <si>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</si>
  <si>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</si>
  <si>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</si>
  <si>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</si>
  <si>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</si>
  <si>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</si>
  <si>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</si>
  <si>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</si>
  <si>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</si>
  <si>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</si>
  <si>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</si>
  <si>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</si>
  <si>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</si>
  <si>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</si>
  <si>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</si>
  <si>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</si>
  <si>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</si>
  <si>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</si>
  <si>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</si>
  <si>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</si>
  <si>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</si>
  <si>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</si>
  <si>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</si>
  <si>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</si>
  <si>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</si>
  <si>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</si>
  <si>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</si>
  <si>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</si>
  <si>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</si>
  <si>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</si>
  <si>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</si>
  <si>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</si>
  <si>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</si>
  <si>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</si>
  <si>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</si>
  <si>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</si>
  <si>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</si>
  <si>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</si>
  <si>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</si>
  <si>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</si>
  <si>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</si>
  <si>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</si>
  <si>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</si>
  <si>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</si>
  <si>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</si>
  <si>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</si>
  <si>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</si>
  <si>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</si>
  <si>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</si>
  <si>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</si>
  <si>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</si>
  <si>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</si>
  <si>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</si>
  <si>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</si>
  <si>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</si>
  <si>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</si>
  <si>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</si>
  <si>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</si>
  <si>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</si>
  <si>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</si>
  <si>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</si>
  <si>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</si>
  <si>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</si>
  <si>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</si>
  <si>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</si>
  <si>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</si>
  <si>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</si>
  <si>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</si>
  <si>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</si>
  <si>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</si>
  <si>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</si>
  <si>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</si>
  <si>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</si>
  <si>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</si>
  <si>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</si>
  <si>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</si>
  <si>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</si>
  <si>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</si>
  <si>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</si>
  <si>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</si>
  <si>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</si>
  <si>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</si>
  <si>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</si>
  <si>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</si>
  <si>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</si>
  <si>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</si>
  <si>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</si>
  <si>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</si>
  <si>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</si>
  <si>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</si>
  <si>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</si>
  <si>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</si>
  <si>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</si>
  <si>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</si>
  <si>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</si>
  <si>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</si>
  <si>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</si>
  <si>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</si>
  <si>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</si>
  <si>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</si>
  <si>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</si>
  <si>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</si>
  <si>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</si>
  <si>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</si>
  <si>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</si>
  <si>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</si>
  <si>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</si>
  <si>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</si>
  <si>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</si>
  <si>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</si>
  <si>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</si>
  <si>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</si>
  <si>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</si>
  <si>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</si>
  <si>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</si>
  <si>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</si>
  <si>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</si>
  <si>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</si>
  <si>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</si>
  <si>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</si>
  <si>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</si>
  <si>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</si>
  <si>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</si>
  <si>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</si>
  <si>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</si>
  <si>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</si>
  <si>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</si>
  <si>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</si>
  <si>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</si>
  <si>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</si>
  <si>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</si>
  <si>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</si>
  <si>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</si>
  <si>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</si>
  <si>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</si>
  <si>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</si>
  <si>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</si>
  <si>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</si>
  <si>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</si>
  <si>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</si>
  <si>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</si>
  <si>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</si>
  <si>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</si>
  <si>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</si>
  <si>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</si>
  <si>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</si>
  <si>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</si>
  <si>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</si>
  <si>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</si>
  <si>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</si>
  <si>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</si>
  <si>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</si>
  <si>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</si>
  <si>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</si>
  <si>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</si>
  <si>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</si>
  <si>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</si>
  <si>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</si>
  <si>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</si>
  <si>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</si>
  <si>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</si>
  <si>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</si>
  <si>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</si>
  <si>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</si>
  <si>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</si>
  <si>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</si>
  <si>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</si>
  <si>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</si>
  <si>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</si>
  <si>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</si>
  <si>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</si>
  <si>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</si>
  <si>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</si>
  <si>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</si>
  <si>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</si>
  <si>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</si>
  <si>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</si>
  <si>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</si>
  <si>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</si>
  <si>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</si>
  <si>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</si>
  <si>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</si>
  <si>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</si>
  <si>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</si>
  <si>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</si>
  <si>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</si>
  <si>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</si>
  <si>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</si>
  <si>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</si>
  <si>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</si>
  <si>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</si>
  <si>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</si>
  <si>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</si>
  <si>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</si>
  <si>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</si>
  <si>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</si>
  <si>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</si>
  <si>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</si>
  <si>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</si>
  <si>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</si>
  <si>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</si>
  <si>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</si>
  <si>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</si>
  <si>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</si>
  <si>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</si>
  <si>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</si>
  <si>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</si>
  <si>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</si>
  <si>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</si>
  <si>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</si>
  <si>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</si>
  <si>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</si>
  <si>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</si>
  <si>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</si>
  <si>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</si>
  <si>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</si>
  <si>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</si>
  <si>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</si>
  <si>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</si>
  <si>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</si>
  <si>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</si>
  <si>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</si>
  <si>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</si>
  <si>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</si>
  <si>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</si>
  <si>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</si>
  <si>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07/07/2023</t>
  </si>
  <si>
    <t>Du Lịch</t>
  </si>
  <si>
    <t>Giới tính Nữ</t>
  </si>
  <si>
    <t>Giới tính Nam</t>
  </si>
  <si>
    <t>Mai Phương Lan</t>
  </si>
  <si>
    <t>24/05/1984</t>
  </si>
  <si>
    <t>001184910696</t>
  </si>
  <si>
    <t>Nam Tiến</t>
  </si>
  <si>
    <t>Trịnh Tuấn Dũng</t>
  </si>
  <si>
    <t>11/04/1983</t>
  </si>
  <si>
    <t>001083946465</t>
  </si>
  <si>
    <t>Ngô Đình Kiên</t>
  </si>
  <si>
    <t>26/06/1986</t>
  </si>
  <si>
    <t>001086375730</t>
  </si>
  <si>
    <t>Bùi Thảo Thảo</t>
  </si>
  <si>
    <t>27/10/1986</t>
  </si>
  <si>
    <t>001186869960</t>
  </si>
  <si>
    <t>Mai Minh Hưng</t>
  </si>
  <si>
    <t>10/05/1983</t>
  </si>
  <si>
    <t>001083197898</t>
  </si>
  <si>
    <t>Võ Thị Linh</t>
  </si>
  <si>
    <t>01/02/1987</t>
  </si>
  <si>
    <t>001187511160</t>
  </si>
  <si>
    <t>Trịnh Huy Khánh</t>
  </si>
  <si>
    <t>26/06/1987</t>
  </si>
  <si>
    <t>001087989351</t>
  </si>
  <si>
    <t>Trịnh Hữu Linh</t>
  </si>
  <si>
    <t>28/11/1995</t>
  </si>
  <si>
    <t>001095232910</t>
  </si>
  <si>
    <t>Vũ Phương Diễm</t>
  </si>
  <si>
    <t>15/01/1993</t>
  </si>
  <si>
    <t>001193162169</t>
  </si>
  <si>
    <t>Đinh Ngọc Cẩm</t>
  </si>
  <si>
    <t>04/01/1984</t>
  </si>
  <si>
    <t>001184541325</t>
  </si>
  <si>
    <t>Đỗ Khoa Hải</t>
  </si>
  <si>
    <t>01/09/1992</t>
  </si>
  <si>
    <t>001092886007</t>
  </si>
  <si>
    <t>Phan Phương Oanh</t>
  </si>
  <si>
    <t>07/04/1986</t>
  </si>
  <si>
    <t>001186088626</t>
  </si>
  <si>
    <t>Mai Thảo Ngọc</t>
  </si>
  <si>
    <t>13/09/1984</t>
  </si>
  <si>
    <t>001184391074</t>
  </si>
  <si>
    <t>Đào Khoa Linh</t>
  </si>
  <si>
    <t>12/05/1995</t>
  </si>
  <si>
    <t>001095762782</t>
  </si>
  <si>
    <t>Trịnh Khoa Quân</t>
  </si>
  <si>
    <t>11/11/1986</t>
  </si>
  <si>
    <t>001086920168</t>
  </si>
  <si>
    <t>08/07/2023</t>
  </si>
  <si>
    <t>Nguyễn Hồng Thắng</t>
  </si>
  <si>
    <t>05/09/1965</t>
  </si>
  <si>
    <t>001065043256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</si>
</sst>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K1" workbookViewId="0">
      <selection activeCell="S3" sqref="S3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5.3984375" style="16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22094</v>
      </c>
      <c r="C3" s="16" t="s">
        <v>22095</v>
      </c>
      <c r="D3" s="16" t="s">
        <v>22046</v>
      </c>
      <c r="E3" s="16" t="s">
        <v>22096</v>
      </c>
      <c r="I3" s="16" t="s">
        <v>369</v>
      </c>
      <c r="J3" s="17" t="s">
        <v>22050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8219</v>
      </c>
      <c r="P3" s="16" t="s">
        <v>8496</v>
      </c>
      <c r="Q3" s="17" t="s">
        <v>22050</v>
      </c>
      <c r="R3" s="16" t="s">
        <v>13</v>
      </c>
      <c r="S3" s="16" t="s">
        <v>22043</v>
      </c>
      <c r="T3" s="16" t="s">
        <v>22093</v>
      </c>
      <c r="U3" s="17" t="s">
        <v>22044</v>
      </c>
      <c r="V3">
        <v>507</v>
      </c>
    </row>
    <row r="4" spans="1:23" x14ac:dyDescent="0.3">
      <c r="A4" s="15">
        <v>2</v>
      </c>
      <c r="B4" s="16" t="s">
        <v>22047</v>
      </c>
      <c r="C4" s="16" t="s">
        <v>22048</v>
      </c>
      <c r="D4" s="16" t="s">
        <v>22045</v>
      </c>
      <c r="E4" s="16" t="s">
        <v>22049</v>
      </c>
      <c r="I4" s="16" t="s">
        <v>369</v>
      </c>
      <c r="J4" s="17" t="s">
        <v>22050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8219</v>
      </c>
      <c r="P4" s="16" t="s">
        <v>8496</v>
      </c>
      <c r="Q4" s="17" t="s">
        <v>22050</v>
      </c>
      <c r="R4" s="16" t="s">
        <v>13</v>
      </c>
      <c r="S4" s="16" t="s">
        <v>22043</v>
      </c>
      <c r="T4" s="16" t="s">
        <v>22093</v>
      </c>
      <c r="U4" s="17" t="s">
        <v>22044</v>
      </c>
      <c r="V4">
        <v>507</v>
      </c>
    </row>
    <row r="5" spans="1:23" x14ac:dyDescent="0.3">
      <c r="A5" s="15">
        <v>3</v>
      </c>
      <c r="B5" s="16" t="s">
        <v>22051</v>
      </c>
      <c r="C5" s="16" t="s">
        <v>22052</v>
      </c>
      <c r="D5" s="16" t="s">
        <v>22046</v>
      </c>
      <c r="E5" s="16" t="s">
        <v>22053</v>
      </c>
      <c r="I5" s="16" t="s">
        <v>369</v>
      </c>
      <c r="J5" s="17" t="s">
        <v>22050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8219</v>
      </c>
      <c r="P5" s="16" t="s">
        <v>8496</v>
      </c>
      <c r="Q5" s="17" t="s">
        <v>22050</v>
      </c>
      <c r="R5" s="16" t="s">
        <v>13</v>
      </c>
      <c r="S5" s="16" t="s">
        <v>22043</v>
      </c>
      <c r="T5" s="16" t="s">
        <v>22093</v>
      </c>
      <c r="U5" s="17" t="s">
        <v>22044</v>
      </c>
      <c r="V5">
        <v>507</v>
      </c>
    </row>
    <row r="6" spans="1:23" x14ac:dyDescent="0.3">
      <c r="A6" s="15">
        <v>4</v>
      </c>
      <c r="B6" s="16" t="s">
        <v>22054</v>
      </c>
      <c r="C6" s="16" t="s">
        <v>22055</v>
      </c>
      <c r="D6" s="16" t="s">
        <v>22046</v>
      </c>
      <c r="E6" s="16" t="s">
        <v>22056</v>
      </c>
      <c r="I6" s="16" t="s">
        <v>369</v>
      </c>
      <c r="J6" s="17" t="s">
        <v>22050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8219</v>
      </c>
      <c r="P6" s="16" t="s">
        <v>8496</v>
      </c>
      <c r="Q6" s="17" t="s">
        <v>22050</v>
      </c>
      <c r="R6" s="16" t="s">
        <v>13</v>
      </c>
      <c r="S6" s="16" t="s">
        <v>22043</v>
      </c>
      <c r="T6" s="16" t="s">
        <v>22093</v>
      </c>
      <c r="U6" s="17" t="s">
        <v>22044</v>
      </c>
      <c r="V6">
        <v>507</v>
      </c>
    </row>
    <row r="7" spans="1:23" x14ac:dyDescent="0.3">
      <c r="A7" s="15">
        <v>5</v>
      </c>
      <c r="B7" s="16" t="s">
        <v>22057</v>
      </c>
      <c r="C7" s="16" t="s">
        <v>22058</v>
      </c>
      <c r="D7" s="16" t="s">
        <v>22045</v>
      </c>
      <c r="E7" s="16" t="s">
        <v>22059</v>
      </c>
      <c r="I7" s="16" t="s">
        <v>369</v>
      </c>
      <c r="J7" s="17" t="s">
        <v>22050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8219</v>
      </c>
      <c r="P7" s="16" t="s">
        <v>8496</v>
      </c>
      <c r="Q7" s="17" t="s">
        <v>22050</v>
      </c>
      <c r="R7" s="16" t="s">
        <v>13</v>
      </c>
      <c r="S7" s="16" t="s">
        <v>22043</v>
      </c>
      <c r="T7" s="16" t="s">
        <v>22093</v>
      </c>
      <c r="U7" s="17" t="s">
        <v>22044</v>
      </c>
      <c r="V7">
        <v>601</v>
      </c>
    </row>
    <row r="8" spans="1:23" x14ac:dyDescent="0.3">
      <c r="A8" s="15">
        <v>6</v>
      </c>
      <c r="B8" s="16" t="s">
        <v>22060</v>
      </c>
      <c r="C8" s="16" t="s">
        <v>22061</v>
      </c>
      <c r="D8" s="16" t="s">
        <v>22046</v>
      </c>
      <c r="E8" s="16" t="s">
        <v>22062</v>
      </c>
      <c r="I8" s="16" t="s">
        <v>369</v>
      </c>
      <c r="J8" s="17" t="s">
        <v>22050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8219</v>
      </c>
      <c r="P8" s="16" t="s">
        <v>8496</v>
      </c>
      <c r="Q8" s="17" t="s">
        <v>22050</v>
      </c>
      <c r="R8" s="16" t="s">
        <v>13</v>
      </c>
      <c r="S8" s="16" t="s">
        <v>22043</v>
      </c>
      <c r="T8" s="16" t="s">
        <v>22093</v>
      </c>
      <c r="U8" s="17" t="s">
        <v>22044</v>
      </c>
      <c r="V8">
        <v>601</v>
      </c>
    </row>
    <row r="9" spans="1:23" x14ac:dyDescent="0.3">
      <c r="A9" s="15">
        <v>7</v>
      </c>
      <c r="B9" s="16" t="s">
        <v>22063</v>
      </c>
      <c r="C9" s="16" t="s">
        <v>22064</v>
      </c>
      <c r="D9" s="16" t="s">
        <v>22045</v>
      </c>
      <c r="E9" s="16" t="s">
        <v>22065</v>
      </c>
      <c r="I9" s="16" t="s">
        <v>369</v>
      </c>
      <c r="J9" s="17" t="s">
        <v>22050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8219</v>
      </c>
      <c r="P9" s="16" t="s">
        <v>8496</v>
      </c>
      <c r="Q9" s="17" t="s">
        <v>22050</v>
      </c>
      <c r="R9" s="16" t="s">
        <v>13</v>
      </c>
      <c r="S9" s="16" t="s">
        <v>22043</v>
      </c>
      <c r="T9" s="16" t="s">
        <v>22093</v>
      </c>
      <c r="U9" s="17" t="s">
        <v>22044</v>
      </c>
      <c r="V9">
        <v>601</v>
      </c>
    </row>
    <row r="10" spans="1:23" x14ac:dyDescent="0.3">
      <c r="A10" s="15">
        <v>8</v>
      </c>
      <c r="B10" s="16" t="s">
        <v>22066</v>
      </c>
      <c r="C10" s="16" t="s">
        <v>22067</v>
      </c>
      <c r="D10" s="16" t="s">
        <v>22046</v>
      </c>
      <c r="E10" s="16" t="s">
        <v>22068</v>
      </c>
      <c r="I10" s="16" t="s">
        <v>369</v>
      </c>
      <c r="J10" s="17" t="s">
        <v>22050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8219</v>
      </c>
      <c r="P10" s="16" t="s">
        <v>8496</v>
      </c>
      <c r="Q10" s="17" t="s">
        <v>22050</v>
      </c>
      <c r="R10" s="16" t="s">
        <v>13</v>
      </c>
      <c r="S10" s="16" t="s">
        <v>22043</v>
      </c>
      <c r="T10" s="16" t="s">
        <v>22093</v>
      </c>
      <c r="U10" s="17" t="s">
        <v>22044</v>
      </c>
      <c r="V10">
        <v>601</v>
      </c>
    </row>
    <row r="11" spans="1:23" x14ac:dyDescent="0.3">
      <c r="A11" s="15">
        <v>9</v>
      </c>
      <c r="B11" s="16" t="s">
        <v>22069</v>
      </c>
      <c r="C11" s="16" t="s">
        <v>22070</v>
      </c>
      <c r="D11" s="16" t="s">
        <v>22046</v>
      </c>
      <c r="E11" s="16" t="s">
        <v>22071</v>
      </c>
      <c r="I11" s="16" t="s">
        <v>369</v>
      </c>
      <c r="J11" s="17" t="s">
        <v>22050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8219</v>
      </c>
      <c r="P11" s="16" t="s">
        <v>8496</v>
      </c>
      <c r="Q11" s="17" t="s">
        <v>22050</v>
      </c>
      <c r="R11" s="16" t="s">
        <v>13</v>
      </c>
      <c r="S11" s="16" t="s">
        <v>22043</v>
      </c>
      <c r="T11" s="16" t="s">
        <v>22093</v>
      </c>
      <c r="U11" s="17" t="s">
        <v>22044</v>
      </c>
      <c r="V11">
        <v>602</v>
      </c>
    </row>
    <row r="12" spans="1:23" x14ac:dyDescent="0.3">
      <c r="A12" s="15">
        <v>10</v>
      </c>
      <c r="B12" s="16" t="s">
        <v>22072</v>
      </c>
      <c r="C12" s="16" t="s">
        <v>22073</v>
      </c>
      <c r="D12" s="16" t="s">
        <v>22045</v>
      </c>
      <c r="E12" s="16" t="s">
        <v>22074</v>
      </c>
      <c r="I12" s="16" t="s">
        <v>369</v>
      </c>
      <c r="J12" s="17" t="s">
        <v>22050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8219</v>
      </c>
      <c r="P12" s="16" t="s">
        <v>8496</v>
      </c>
      <c r="Q12" s="17" t="s">
        <v>22050</v>
      </c>
      <c r="R12" s="16" t="s">
        <v>13</v>
      </c>
      <c r="S12" s="16" t="s">
        <v>22043</v>
      </c>
      <c r="T12" s="16" t="s">
        <v>22093</v>
      </c>
      <c r="U12" s="17" t="s">
        <v>22044</v>
      </c>
      <c r="V12">
        <v>602</v>
      </c>
    </row>
    <row r="13" spans="1:23" x14ac:dyDescent="0.3">
      <c r="A13" s="15">
        <v>11</v>
      </c>
      <c r="B13" s="16" t="s">
        <v>22075</v>
      </c>
      <c r="C13" s="16" t="s">
        <v>22076</v>
      </c>
      <c r="D13" s="16" t="s">
        <v>22045</v>
      </c>
      <c r="E13" s="16" t="s">
        <v>22077</v>
      </c>
      <c r="I13" s="16" t="s">
        <v>369</v>
      </c>
      <c r="J13" s="17" t="s">
        <v>22050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8219</v>
      </c>
      <c r="P13" s="16" t="s">
        <v>8496</v>
      </c>
      <c r="Q13" s="17" t="s">
        <v>22050</v>
      </c>
      <c r="R13" s="16" t="s">
        <v>13</v>
      </c>
      <c r="S13" s="16" t="s">
        <v>22043</v>
      </c>
      <c r="T13" s="16" t="s">
        <v>22093</v>
      </c>
      <c r="U13" s="17" t="s">
        <v>22044</v>
      </c>
      <c r="V13">
        <v>602</v>
      </c>
    </row>
    <row r="14" spans="1:23" x14ac:dyDescent="0.3">
      <c r="A14" s="15">
        <v>12</v>
      </c>
      <c r="B14" s="16" t="s">
        <v>22078</v>
      </c>
      <c r="C14" s="16" t="s">
        <v>22079</v>
      </c>
      <c r="D14" s="16" t="s">
        <v>22046</v>
      </c>
      <c r="E14" s="16" t="s">
        <v>22080</v>
      </c>
      <c r="I14" s="16" t="s">
        <v>369</v>
      </c>
      <c r="J14" s="17" t="s">
        <v>22050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8219</v>
      </c>
      <c r="P14" s="16" t="s">
        <v>8496</v>
      </c>
      <c r="Q14" s="17" t="s">
        <v>22050</v>
      </c>
      <c r="R14" s="16" t="s">
        <v>13</v>
      </c>
      <c r="S14" s="16" t="s">
        <v>22043</v>
      </c>
      <c r="T14" s="16" t="s">
        <v>22093</v>
      </c>
      <c r="U14" s="17" t="s">
        <v>22044</v>
      </c>
      <c r="V14">
        <v>602</v>
      </c>
    </row>
    <row r="15" spans="1:23" x14ac:dyDescent="0.3">
      <c r="A15" s="15">
        <v>13</v>
      </c>
      <c r="B15" s="16" t="s">
        <v>22081</v>
      </c>
      <c r="C15" s="16" t="s">
        <v>22082</v>
      </c>
      <c r="D15" s="16" t="s">
        <v>22045</v>
      </c>
      <c r="E15" s="16" t="s">
        <v>22083</v>
      </c>
      <c r="I15" s="16" t="s">
        <v>369</v>
      </c>
      <c r="J15" s="17" t="s">
        <v>22050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8219</v>
      </c>
      <c r="P15" s="16" t="s">
        <v>8496</v>
      </c>
      <c r="Q15" s="17" t="s">
        <v>22050</v>
      </c>
      <c r="R15" s="16" t="s">
        <v>13</v>
      </c>
      <c r="S15" s="16" t="s">
        <v>22043</v>
      </c>
      <c r="T15" s="16" t="s">
        <v>22093</v>
      </c>
      <c r="U15" s="17" t="s">
        <v>22044</v>
      </c>
      <c r="V15">
        <v>603</v>
      </c>
    </row>
    <row r="16" spans="1:23" x14ac:dyDescent="0.3">
      <c r="A16" s="15">
        <v>14</v>
      </c>
      <c r="B16" s="16" t="s">
        <v>22084</v>
      </c>
      <c r="C16" s="16" t="s">
        <v>22085</v>
      </c>
      <c r="D16" s="16" t="s">
        <v>22045</v>
      </c>
      <c r="E16" s="16" t="s">
        <v>22086</v>
      </c>
      <c r="I16" s="16" t="s">
        <v>369</v>
      </c>
      <c r="J16" s="17" t="s">
        <v>22050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8219</v>
      </c>
      <c r="P16" s="16" t="s">
        <v>8496</v>
      </c>
      <c r="Q16" s="17" t="s">
        <v>22050</v>
      </c>
      <c r="R16" s="16" t="s">
        <v>13</v>
      </c>
      <c r="S16" s="16" t="s">
        <v>22043</v>
      </c>
      <c r="T16" s="16" t="s">
        <v>22093</v>
      </c>
      <c r="U16" s="17" t="s">
        <v>22044</v>
      </c>
      <c r="V16">
        <v>603</v>
      </c>
    </row>
    <row r="17" spans="1:22" x14ac:dyDescent="0.3">
      <c r="A17" s="15">
        <v>15</v>
      </c>
      <c r="B17" s="16" t="s">
        <v>22087</v>
      </c>
      <c r="C17" s="16" t="s">
        <v>22088</v>
      </c>
      <c r="D17" s="16" t="s">
        <v>22046</v>
      </c>
      <c r="E17" s="16" t="s">
        <v>22089</v>
      </c>
      <c r="I17" s="16" t="s">
        <v>369</v>
      </c>
      <c r="J17" s="17" t="s">
        <v>22050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8219</v>
      </c>
      <c r="P17" s="16" t="s">
        <v>8496</v>
      </c>
      <c r="Q17" s="17" t="s">
        <v>22050</v>
      </c>
      <c r="R17" s="16" t="s">
        <v>13</v>
      </c>
      <c r="S17" s="16" t="s">
        <v>22043</v>
      </c>
      <c r="T17" s="16" t="s">
        <v>22093</v>
      </c>
      <c r="U17" s="17" t="s">
        <v>22044</v>
      </c>
      <c r="V17">
        <v>603</v>
      </c>
    </row>
    <row r="18" spans="1:22" x14ac:dyDescent="0.3">
      <c r="A18" s="15">
        <v>16</v>
      </c>
      <c r="B18" s="16" t="s">
        <v>22090</v>
      </c>
      <c r="C18" s="16" t="s">
        <v>22091</v>
      </c>
      <c r="D18" s="16" t="s">
        <v>22046</v>
      </c>
      <c r="E18" s="16" t="s">
        <v>22092</v>
      </c>
      <c r="I18" s="16" t="s">
        <v>369</v>
      </c>
      <c r="J18" s="17" t="s">
        <v>22050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8219</v>
      </c>
      <c r="P18" s="16" t="s">
        <v>8496</v>
      </c>
      <c r="Q18" s="17" t="s">
        <v>22050</v>
      </c>
      <c r="R18" s="16" t="s">
        <v>13</v>
      </c>
      <c r="S18" s="16" t="s">
        <v>22043</v>
      </c>
      <c r="T18" s="16" t="s">
        <v>22093</v>
      </c>
      <c r="U18" s="17" t="s">
        <v>22044</v>
      </c>
      <c r="V18">
        <v>603</v>
      </c>
    </row>
    <row r="19" spans="1:22" x14ac:dyDescent="0.3">
      <c r="A19" s="15">
        <v>17</v>
      </c>
    </row>
    <row r="20" spans="1:22" x14ac:dyDescent="0.3">
      <c r="A20" s="15">
        <v>18</v>
      </c>
    </row>
    <row r="21" spans="1:22" x14ac:dyDescent="0.3">
      <c r="A21" s="15">
        <v>19</v>
      </c>
    </row>
    <row r="22" spans="1:22" x14ac:dyDescent="0.3">
      <c r="A22" s="15">
        <v>20</v>
      </c>
    </row>
    <row r="23" spans="1:22" x14ac:dyDescent="0.3">
      <c r="A23" s="15">
        <v>21</v>
      </c>
    </row>
    <row r="24" spans="1:22" x14ac:dyDescent="0.3">
      <c r="A24" s="15">
        <v>22</v>
      </c>
    </row>
    <row r="25" spans="1:22" x14ac:dyDescent="0.3">
      <c r="A25" s="15">
        <v>23</v>
      </c>
    </row>
    <row r="26" spans="1:22" x14ac:dyDescent="0.3">
      <c r="A26" s="15">
        <v>24</v>
      </c>
    </row>
    <row r="27" spans="1:22" x14ac:dyDescent="0.3">
      <c r="A27" s="15">
        <v>25</v>
      </c>
    </row>
    <row r="28" spans="1:22" x14ac:dyDescent="0.3">
      <c r="A28" s="15">
        <v>26</v>
      </c>
    </row>
    <row r="29" spans="1:22" x14ac:dyDescent="0.3">
      <c r="A29" s="15">
        <v>27</v>
      </c>
    </row>
    <row r="30" spans="1:22" x14ac:dyDescent="0.3">
      <c r="A30" s="15">
        <v>28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XjYRqGOk2Lk3MKWN9in0p/GJRLtaa/Evv4HdtWCe6JgKU1m3Py6uKA7ljotub+fWUikjwkyp4VreG2nuxnDG/Q==" saltValue="7FuHo5J3VzjXoa5easdmcg==" spinCount="100000" sheet="1" objects="1" scenarios="1"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Hồng Thắng</v>
      </c>
      <c r="B1" s="18" t="str">
        <f>DanhsachNguoiluutru!C3</f>
        <v>05/09/1965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001065043256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Nam Tiến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280</v>
      </c>
      <c r="T1" s="18" t="str">
        <f ca="1">INDEX(OFFSET(PhuongXa!$C$1,MATCH(extracted!$S1,PhuongXa!$A:$A,0)-1,0,10000,1),MATCH(DanhsachNguoiluutru!$P3,OFFSET(PhuongXa!$B$1,MATCH(extracted!$S1,PhuongXa!$A:$A,0)-1,0,10000,1), 0))</f>
        <v>10282</v>
      </c>
      <c r="U1" s="18" t="str">
        <f>DanhsachNguoiluutru!Q3</f>
        <v>Nam Tiến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Nam Tiến, Xã Nam Tiến, Huyện Phú Xuyên,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07/07/2023</v>
      </c>
      <c r="Z1" s="18" t="str">
        <f>DanhsachNguoiluutru!T3</f>
        <v>08/07/2023</v>
      </c>
      <c r="AA1" s="18" t="str">
        <f>DanhsachNguoiluutru!U3</f>
        <v>Du Lịch</v>
      </c>
      <c r="AB1" s="18">
        <f>DanhsachNguoiluutru!V3</f>
        <v>507</v>
      </c>
    </row>
    <row r="2" spans="1:28" x14ac:dyDescent="0.3">
      <c r="A2" s="18" t="str">
        <f>DanhsachNguoiluutru!B4</f>
        <v>Mai Phương Lan</v>
      </c>
      <c r="B2" s="18" t="str">
        <f>DanhsachNguoiluutru!C4</f>
        <v>24/05/1984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001184910696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Nam Tiến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280</v>
      </c>
      <c r="T2" s="18" t="str">
        <f ca="1">INDEX(OFFSET(PhuongXa!$C$1,MATCH(extracted!$S2,PhuongXa!$A:$A,0)-1,0,10000,1),MATCH(DanhsachNguoiluutru!$P4,OFFSET(PhuongXa!$B$1,MATCH(extracted!$S2,PhuongXa!$A:$A,0)-1,0,10000,1), 0))</f>
        <v>10282</v>
      </c>
      <c r="U2" s="18" t="str">
        <f>DanhsachNguoiluutru!Q4</f>
        <v>Nam Tiến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Nam Tiến, Xã Nam Tiến, Huyện Phú Xuyên,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07/07/2023</v>
      </c>
      <c r="Z2" s="18" t="str">
        <f>DanhsachNguoiluutru!T4</f>
        <v>08/07/2023</v>
      </c>
      <c r="AA2" s="18" t="str">
        <f>DanhsachNguoiluutru!U4</f>
        <v>Du Lịch</v>
      </c>
      <c r="AB2" s="18">
        <f>DanhsachNguoiluutru!V4</f>
        <v>507</v>
      </c>
    </row>
    <row r="3" spans="1:28" x14ac:dyDescent="0.3">
      <c r="A3" s="18" t="str">
        <f>DanhsachNguoiluutru!B5</f>
        <v>Trịnh Tuấn Dũng</v>
      </c>
      <c r="B3" s="18" t="str">
        <f>DanhsachNguoiluutru!C5</f>
        <v>11/04/1983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001083946465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Nam Tiến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280</v>
      </c>
      <c r="T3" s="18" t="str">
        <f ca="1">INDEX(OFFSET(PhuongXa!$C$1,MATCH(extracted!$S3,PhuongXa!$A:$A,0)-1,0,10000,1),MATCH(DanhsachNguoiluutru!$P5,OFFSET(PhuongXa!$B$1,MATCH(extracted!$S3,PhuongXa!$A:$A,0)-1,0,10000,1), 0))</f>
        <v>10282</v>
      </c>
      <c r="U3" s="18" t="str">
        <f>DanhsachNguoiluutru!Q5</f>
        <v>Nam Tiến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Nam Tiến, Xã Nam Tiến, Huyện Phú Xuyên,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07/07/2023</v>
      </c>
      <c r="Z3" s="18" t="str">
        <f>DanhsachNguoiluutru!T5</f>
        <v>08/07/2023</v>
      </c>
      <c r="AA3" s="18" t="str">
        <f>DanhsachNguoiluutru!U5</f>
        <v>Du Lịch</v>
      </c>
      <c r="AB3" s="18">
        <f>DanhsachNguoiluutru!V5</f>
        <v>507</v>
      </c>
    </row>
    <row r="4" spans="1:28" x14ac:dyDescent="0.3">
      <c r="A4" s="18" t="str">
        <f>DanhsachNguoiluutru!B6</f>
        <v>Ngô Đình Kiên</v>
      </c>
      <c r="B4" s="18" t="str">
        <f>DanhsachNguoiluutru!C6</f>
        <v>26/06/1986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001086375730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Nam Tiến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280</v>
      </c>
      <c r="T4" s="18" t="str">
        <f ca="1">INDEX(OFFSET(PhuongXa!$C$1,MATCH(extracted!$S4,PhuongXa!$A:$A,0)-1,0,10000,1),MATCH(DanhsachNguoiluutru!$P6,OFFSET(PhuongXa!$B$1,MATCH(extracted!$S4,PhuongXa!$A:$A,0)-1,0,10000,1), 0))</f>
        <v>10282</v>
      </c>
      <c r="U4" s="18" t="str">
        <f>DanhsachNguoiluutru!Q6</f>
        <v>Nam Tiến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Nam Tiến, Xã Nam Tiến, Huyện Phú Xuyên,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07/07/2023</v>
      </c>
      <c r="Z4" s="18" t="str">
        <f>DanhsachNguoiluutru!T6</f>
        <v>08/07/2023</v>
      </c>
      <c r="AA4" s="18" t="str">
        <f>DanhsachNguoiluutru!U6</f>
        <v>Du Lịch</v>
      </c>
      <c r="AB4" s="18">
        <f>DanhsachNguoiluutru!V6</f>
        <v>507</v>
      </c>
    </row>
    <row r="5" spans="1:28" x14ac:dyDescent="0.3">
      <c r="A5" s="18" t="str">
        <f>DanhsachNguoiluutru!B7</f>
        <v>Bùi Thảo Thảo</v>
      </c>
      <c r="B5" s="18" t="str">
        <f>DanhsachNguoiluutru!C7</f>
        <v>27/10/1986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001186869960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Nam Tiến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280</v>
      </c>
      <c r="T5" s="18" t="str">
        <f ca="1">INDEX(OFFSET(PhuongXa!$C$1,MATCH(extracted!$S5,PhuongXa!$A:$A,0)-1,0,10000,1),MATCH(DanhsachNguoiluutru!$P7,OFFSET(PhuongXa!$B$1,MATCH(extracted!$S5,PhuongXa!$A:$A,0)-1,0,10000,1), 0))</f>
        <v>10282</v>
      </c>
      <c r="U5" s="18" t="str">
        <f>DanhsachNguoiluutru!Q7</f>
        <v>Nam Tiến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Nam Tiến, Xã Nam Tiến, Huyện Phú Xuyên,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07/07/2023</v>
      </c>
      <c r="Z5" s="18" t="str">
        <f>DanhsachNguoiluutru!T7</f>
        <v>08/07/2023</v>
      </c>
      <c r="AA5" s="18" t="str">
        <f>DanhsachNguoiluutru!U7</f>
        <v>Du Lịch</v>
      </c>
      <c r="AB5" s="18">
        <f>DanhsachNguoiluutru!V7</f>
        <v>601</v>
      </c>
    </row>
    <row r="6" spans="1:28" x14ac:dyDescent="0.3">
      <c r="A6" s="18" t="str">
        <f>DanhsachNguoiluutru!B8</f>
        <v>Mai Minh Hưng</v>
      </c>
      <c r="B6" s="18" t="str">
        <f>DanhsachNguoiluutru!C8</f>
        <v>10/05/1983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001083197898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Nam Tiến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280</v>
      </c>
      <c r="T6" s="18" t="str">
        <f ca="1">INDEX(OFFSET(PhuongXa!$C$1,MATCH(extracted!$S6,PhuongXa!$A:$A,0)-1,0,10000,1),MATCH(DanhsachNguoiluutru!$P8,OFFSET(PhuongXa!$B$1,MATCH(extracted!$S6,PhuongXa!$A:$A,0)-1,0,10000,1), 0))</f>
        <v>10282</v>
      </c>
      <c r="U6" s="18" t="str">
        <f>DanhsachNguoiluutru!Q8</f>
        <v>Nam Tiến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Nam Tiến, Xã Nam Tiến, Huyện Phú Xuyên,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07/07/2023</v>
      </c>
      <c r="Z6" s="18" t="str">
        <f>DanhsachNguoiluutru!T8</f>
        <v>08/07/2023</v>
      </c>
      <c r="AA6" s="18" t="str">
        <f>DanhsachNguoiluutru!U8</f>
        <v>Du Lịch</v>
      </c>
      <c r="AB6" s="18">
        <f>DanhsachNguoiluutru!V8</f>
        <v>601</v>
      </c>
    </row>
    <row r="7" spans="1:28" x14ac:dyDescent="0.3">
      <c r="A7" s="18" t="str">
        <f>DanhsachNguoiluutru!B9</f>
        <v>Võ Thị Linh</v>
      </c>
      <c r="B7" s="18" t="str">
        <f>DanhsachNguoiluutru!C9</f>
        <v>01/02/1987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001187511160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Nam Tiến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280</v>
      </c>
      <c r="T7" s="18" t="str">
        <f ca="1">INDEX(OFFSET(PhuongXa!$C$1,MATCH(extracted!$S7,PhuongXa!$A:$A,0)-1,0,10000,1),MATCH(DanhsachNguoiluutru!$P9,OFFSET(PhuongXa!$B$1,MATCH(extracted!$S7,PhuongXa!$A:$A,0)-1,0,10000,1), 0))</f>
        <v>10282</v>
      </c>
      <c r="U7" s="18" t="str">
        <f>DanhsachNguoiluutru!Q9</f>
        <v>Nam Tiến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Nam Tiến, Xã Nam Tiến, Huyện Phú Xuyên,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07/07/2023</v>
      </c>
      <c r="Z7" s="18" t="str">
        <f>DanhsachNguoiluutru!T9</f>
        <v>08/07/2023</v>
      </c>
      <c r="AA7" s="18" t="str">
        <f>DanhsachNguoiluutru!U9</f>
        <v>Du Lịch</v>
      </c>
      <c r="AB7" s="18">
        <f>DanhsachNguoiluutru!V9</f>
        <v>601</v>
      </c>
    </row>
    <row r="8" spans="1:28" x14ac:dyDescent="0.3">
      <c r="A8" s="18" t="str">
        <f>DanhsachNguoiluutru!B10</f>
        <v>Trịnh Huy Khánh</v>
      </c>
      <c r="B8" s="18" t="str">
        <f>DanhsachNguoiluutru!C10</f>
        <v>26/06/1987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001087989351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Nam Tiến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280</v>
      </c>
      <c r="T8" s="18" t="str">
        <f ca="1">INDEX(OFFSET(PhuongXa!$C$1,MATCH(extracted!$S8,PhuongXa!$A:$A,0)-1,0,10000,1),MATCH(DanhsachNguoiluutru!$P10,OFFSET(PhuongXa!$B$1,MATCH(extracted!$S8,PhuongXa!$A:$A,0)-1,0,10000,1), 0))</f>
        <v>10282</v>
      </c>
      <c r="U8" s="18" t="str">
        <f>DanhsachNguoiluutru!Q10</f>
        <v>Nam Tiến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Nam Tiến, Xã Nam Tiến, Huyện Phú Xuyên,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07/07/2023</v>
      </c>
      <c r="Z8" s="18" t="str">
        <f>DanhsachNguoiluutru!T10</f>
        <v>08/07/2023</v>
      </c>
      <c r="AA8" s="18" t="str">
        <f>DanhsachNguoiluutru!U10</f>
        <v>Du Lịch</v>
      </c>
      <c r="AB8" s="18">
        <f>DanhsachNguoiluutru!V10</f>
        <v>601</v>
      </c>
    </row>
    <row r="9" spans="1:28" x14ac:dyDescent="0.3">
      <c r="A9" s="18" t="str">
        <f>DanhsachNguoiluutru!B11</f>
        <v>Trịnh Hữu Linh</v>
      </c>
      <c r="B9" s="18" t="str">
        <f>DanhsachNguoiluutru!C11</f>
        <v>28/11/1995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001095232910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Nam Tiến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280</v>
      </c>
      <c r="T9" s="18" t="str">
        <f ca="1">INDEX(OFFSET(PhuongXa!$C$1,MATCH(extracted!$S9,PhuongXa!$A:$A,0)-1,0,10000,1),MATCH(DanhsachNguoiluutru!$P11,OFFSET(PhuongXa!$B$1,MATCH(extracted!$S9,PhuongXa!$A:$A,0)-1,0,10000,1), 0))</f>
        <v>10282</v>
      </c>
      <c r="U9" s="18" t="str">
        <f>DanhsachNguoiluutru!Q11</f>
        <v>Nam Tiến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Nam Tiến, Xã Nam Tiến, Huyện Phú Xuyên,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07/07/2023</v>
      </c>
      <c r="Z9" s="18" t="str">
        <f>DanhsachNguoiluutru!T11</f>
        <v>08/07/2023</v>
      </c>
      <c r="AA9" s="18" t="str">
        <f>DanhsachNguoiluutru!U11</f>
        <v>Du Lịch</v>
      </c>
      <c r="AB9" s="18">
        <f>DanhsachNguoiluutru!V11</f>
        <v>602</v>
      </c>
    </row>
    <row r="10" spans="1:28" x14ac:dyDescent="0.3">
      <c r="A10" s="18" t="str">
        <f>DanhsachNguoiluutru!B12</f>
        <v>Vũ Phương Diễm</v>
      </c>
      <c r="B10" s="18" t="str">
        <f>DanhsachNguoiluutru!C12</f>
        <v>15/01/1993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001193162169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Nam Tiến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280</v>
      </c>
      <c r="T10" s="18" t="str">
        <f ca="1">INDEX(OFFSET(PhuongXa!$C$1,MATCH(extracted!$S10,PhuongXa!$A:$A,0)-1,0,10000,1),MATCH(DanhsachNguoiluutru!$P12,OFFSET(PhuongXa!$B$1,MATCH(extracted!$S10,PhuongXa!$A:$A,0)-1,0,10000,1), 0))</f>
        <v>10282</v>
      </c>
      <c r="U10" s="18" t="str">
        <f>DanhsachNguoiluutru!Q12</f>
        <v>Nam Tiến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Nam Tiến, Xã Nam Tiến, Huyện Phú Xuyên,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07/07/2023</v>
      </c>
      <c r="Z10" s="18" t="str">
        <f>DanhsachNguoiluutru!T12</f>
        <v>08/07/2023</v>
      </c>
      <c r="AA10" s="18" t="str">
        <f>DanhsachNguoiluutru!U12</f>
        <v>Du Lịch</v>
      </c>
      <c r="AB10" s="18">
        <f>DanhsachNguoiluutru!V12</f>
        <v>602</v>
      </c>
    </row>
    <row r="11" spans="1:28" x14ac:dyDescent="0.3">
      <c r="A11" s="18" t="str">
        <f>DanhsachNguoiluutru!B13</f>
        <v>Đinh Ngọc Cẩm</v>
      </c>
      <c r="B11" s="18" t="str">
        <f>DanhsachNguoiluutru!C13</f>
        <v>04/01/1984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001184541325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Nam Tiến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280</v>
      </c>
      <c r="T11" s="18" t="str">
        <f ca="1">INDEX(OFFSET(PhuongXa!$C$1,MATCH(extracted!$S11,PhuongXa!$A:$A,0)-1,0,10000,1),MATCH(DanhsachNguoiluutru!$P13,OFFSET(PhuongXa!$B$1,MATCH(extracted!$S11,PhuongXa!$A:$A,0)-1,0,10000,1), 0))</f>
        <v>10282</v>
      </c>
      <c r="U11" s="18" t="str">
        <f>DanhsachNguoiluutru!Q13</f>
        <v>Nam Tiến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Nam Tiến, Xã Nam Tiến, Huyện Phú Xuyên,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07/07/2023</v>
      </c>
      <c r="Z11" s="18" t="str">
        <f>DanhsachNguoiluutru!T13</f>
        <v>08/07/2023</v>
      </c>
      <c r="AA11" s="18" t="str">
        <f>DanhsachNguoiluutru!U13</f>
        <v>Du Lịch</v>
      </c>
      <c r="AB11" s="18">
        <f>DanhsachNguoiluutru!V13</f>
        <v>602</v>
      </c>
    </row>
    <row r="12" spans="1:28" x14ac:dyDescent="0.3">
      <c r="A12" s="18" t="str">
        <f>DanhsachNguoiluutru!B14</f>
        <v>Đỗ Khoa Hải</v>
      </c>
      <c r="B12" s="18" t="str">
        <f>DanhsachNguoiluutru!C14</f>
        <v>01/09/1992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001092886007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Nam Tiến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280</v>
      </c>
      <c r="T12" s="18" t="str">
        <f ca="1">INDEX(OFFSET(PhuongXa!$C$1,MATCH(extracted!$S12,PhuongXa!$A:$A,0)-1,0,10000,1),MATCH(DanhsachNguoiluutru!$P14,OFFSET(PhuongXa!$B$1,MATCH(extracted!$S12,PhuongXa!$A:$A,0)-1,0,10000,1), 0))</f>
        <v>10282</v>
      </c>
      <c r="U12" s="18" t="str">
        <f>DanhsachNguoiluutru!Q14</f>
        <v>Nam Tiến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Nam Tiến, Xã Nam Tiến, Huyện Phú Xuyên,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07/07/2023</v>
      </c>
      <c r="Z12" s="18" t="str">
        <f>DanhsachNguoiluutru!T14</f>
        <v>08/07/2023</v>
      </c>
      <c r="AA12" s="18" t="str">
        <f>DanhsachNguoiluutru!U14</f>
        <v>Du Lịch</v>
      </c>
      <c r="AB12" s="18">
        <f>DanhsachNguoiluutru!V14</f>
        <v>602</v>
      </c>
    </row>
    <row r="13" spans="1:28" x14ac:dyDescent="0.3">
      <c r="A13" s="18" t="str">
        <f>DanhsachNguoiluutru!B15</f>
        <v>Phan Phương Oanh</v>
      </c>
      <c r="B13" s="18" t="str">
        <f>DanhsachNguoiluutru!C15</f>
        <v>07/04/1986</v>
      </c>
      <c r="C13" s="18" t="str">
        <f>INDEX(GioiTinh!$A:$A,MATCH(DanhsachNguoiluutru!D15,GioiTinh!$B:$B,0))</f>
        <v>3</v>
      </c>
      <c r="D13" s="18" t="str">
        <f>DanhsachNguoiluutru!D15</f>
        <v>Giới tính Nữ</v>
      </c>
      <c r="E13" s="18" t="str">
        <f>DanhsachNguoiluutru!E15</f>
        <v>001186088626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Nam Tiến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280</v>
      </c>
      <c r="T13" s="18" t="str">
        <f ca="1">INDEX(OFFSET(PhuongXa!$C$1,MATCH(extracted!$S13,PhuongXa!$A:$A,0)-1,0,10000,1),MATCH(DanhsachNguoiluutru!$P15,OFFSET(PhuongXa!$B$1,MATCH(extracted!$S13,PhuongXa!$A:$A,0)-1,0,10000,1), 0))</f>
        <v>10282</v>
      </c>
      <c r="U13" s="18" t="str">
        <f>DanhsachNguoiluutru!Q15</f>
        <v>Nam Tiến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Nam Tiến, Xã Nam Tiến, Huyện Phú Xuyên,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07/07/2023</v>
      </c>
      <c r="Z13" s="18" t="str">
        <f>DanhsachNguoiluutru!T15</f>
        <v>08/07/2023</v>
      </c>
      <c r="AA13" s="18" t="str">
        <f>DanhsachNguoiluutru!U15</f>
        <v>Du Lịch</v>
      </c>
      <c r="AB13" s="18">
        <f>DanhsachNguoiluutru!V15</f>
        <v>603</v>
      </c>
    </row>
    <row r="14" spans="1:28" x14ac:dyDescent="0.3">
      <c r="A14" s="18" t="str">
        <f>DanhsachNguoiluutru!B16</f>
        <v>Mai Thảo Ngọc</v>
      </c>
      <c r="B14" s="18" t="str">
        <f>DanhsachNguoiluutru!C16</f>
        <v>13/09/1984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001184391074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Nam Tiến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280</v>
      </c>
      <c r="T14" s="18" t="str">
        <f ca="1">INDEX(OFFSET(PhuongXa!$C$1,MATCH(extracted!$S14,PhuongXa!$A:$A,0)-1,0,10000,1),MATCH(DanhsachNguoiluutru!$P16,OFFSET(PhuongXa!$B$1,MATCH(extracted!$S14,PhuongXa!$A:$A,0)-1,0,10000,1), 0))</f>
        <v>10282</v>
      </c>
      <c r="U14" s="18" t="str">
        <f>DanhsachNguoiluutru!Q16</f>
        <v>Nam Tiến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Nam Tiến, Xã Nam Tiến, Huyện Phú Xuyên,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07/07/2023</v>
      </c>
      <c r="Z14" s="18" t="str">
        <f>DanhsachNguoiluutru!T16</f>
        <v>08/07/2023</v>
      </c>
      <c r="AA14" s="18" t="str">
        <f>DanhsachNguoiluutru!U16</f>
        <v>Du Lịch</v>
      </c>
      <c r="AB14" s="18">
        <f>DanhsachNguoiluutru!V16</f>
        <v>603</v>
      </c>
    </row>
    <row r="15" spans="1:28" x14ac:dyDescent="0.3">
      <c r="A15" s="18" t="str">
        <f>DanhsachNguoiluutru!B17</f>
        <v>Đào Khoa Linh</v>
      </c>
      <c r="B15" s="18" t="str">
        <f>DanhsachNguoiluutru!C17</f>
        <v>12/05/1995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001095762782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Nam Tiến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280</v>
      </c>
      <c r="T15" s="18" t="str">
        <f ca="1">INDEX(OFFSET(PhuongXa!$C$1,MATCH(extracted!$S15,PhuongXa!$A:$A,0)-1,0,10000,1),MATCH(DanhsachNguoiluutru!$P17,OFFSET(PhuongXa!$B$1,MATCH(extracted!$S15,PhuongXa!$A:$A,0)-1,0,10000,1), 0))</f>
        <v>10282</v>
      </c>
      <c r="U15" s="18" t="str">
        <f>DanhsachNguoiluutru!Q17</f>
        <v>Nam Tiến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Nam Tiến, Xã Nam Tiến, Huyện Phú Xuyên,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07/07/2023</v>
      </c>
      <c r="Z15" s="18" t="str">
        <f>DanhsachNguoiluutru!T17</f>
        <v>08/07/2023</v>
      </c>
      <c r="AA15" s="18" t="str">
        <f>DanhsachNguoiluutru!U17</f>
        <v>Du Lịch</v>
      </c>
      <c r="AB15" s="18">
        <f>DanhsachNguoiluutru!V17</f>
        <v>603</v>
      </c>
    </row>
    <row r="16" spans="1:28" x14ac:dyDescent="0.3">
      <c r="A16" s="18" t="str">
        <f>DanhsachNguoiluutru!B18</f>
        <v>Trịnh Khoa Quân</v>
      </c>
      <c r="B16" s="18" t="str">
        <f>DanhsachNguoiluutru!C18</f>
        <v>11/11/1986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001086920168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Nam Tiến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280</v>
      </c>
      <c r="T16" s="18" t="str">
        <f ca="1">INDEX(OFFSET(PhuongXa!$C$1,MATCH(extracted!$S16,PhuongXa!$A:$A,0)-1,0,10000,1),MATCH(DanhsachNguoiluutru!$P18,OFFSET(PhuongXa!$B$1,MATCH(extracted!$S16,PhuongXa!$A:$A,0)-1,0,10000,1), 0))</f>
        <v>10282</v>
      </c>
      <c r="U16" s="18" t="str">
        <f>DanhsachNguoiluutru!Q18</f>
        <v>Nam Tiến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Nam Tiến, Xã Nam Tiến, Huyện Phú Xuyên,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07/07/2023</v>
      </c>
      <c r="Z16" s="18" t="str">
        <f>DanhsachNguoiluutru!T18</f>
        <v>08/07/2023</v>
      </c>
      <c r="AA16" s="18" t="str">
        <f>DanhsachNguoiluutru!U18</f>
        <v>Du Lịch</v>
      </c>
      <c r="AB16" s="18">
        <f>DanhsachNguoiluutru!V18</f>
        <v>603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2023-07-07T13:20:48Z</dcterms:modified>
</cp:coreProperties>
</file>