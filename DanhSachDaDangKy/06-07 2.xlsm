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0" yWindow="0" windowWidth="23040" windowHeight="9192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S55" i="2" l="1"/>
  <c r="T55" i="2" s="1"/>
  <c r="S60" i="2"/>
  <c r="T60" i="2" s="1"/>
  <c r="S92" i="2"/>
  <c r="T92" i="2" s="1"/>
  <c r="R2" i="2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<sst xmlns="http://schemas.openxmlformats.org/spreadsheetml/2006/main" count="37273" uniqueCount="22133">
  <si>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</si>
  <si>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</si>
  <si>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</si>
  <si>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</si>
  <si>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</si>
  <si>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</si>
  <si>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</si>
  <si>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</si>
  <si>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</si>
  <si>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</si>
  <si>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</si>
  <si>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</si>
  <si>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</si>
  <si>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</si>
  <si>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</si>
  <si>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</si>
  <si>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</si>
  <si>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</si>
  <si>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</si>
  <si>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</si>
  <si>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</si>
  <si>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</si>
  <si>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</si>
  <si>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</si>
  <si>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</si>
  <si>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</si>
  <si>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</si>
  <si>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</si>
  <si>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</si>
  <si>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</si>
  <si>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</si>
  <si>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</si>
  <si>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</si>
  <si>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</si>
  <si>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</si>
  <si>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</si>
  <si>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</si>
  <si>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</si>
  <si>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</si>
  <si>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</si>
  <si>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</si>
  <si>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</si>
  <si>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</si>
  <si>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</si>
  <si>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</si>
  <si>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</si>
  <si>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</si>
  <si>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</si>
  <si>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</si>
  <si>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</si>
  <si>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</si>
  <si>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</si>
  <si>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</si>
  <si>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</si>
  <si>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</si>
  <si>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</si>
  <si>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</si>
  <si>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</si>
  <si>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</si>
  <si>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</si>
  <si>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</si>
  <si>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</si>
  <si>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</si>
  <si>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</si>
  <si>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</si>
  <si>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</si>
  <si>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</si>
  <si>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</si>
  <si>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</si>
  <si>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</si>
  <si>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</si>
  <si>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</si>
  <si>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</si>
  <si>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</si>
  <si>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</si>
  <si>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</si>
  <si>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</si>
  <si>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</si>
  <si>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</si>
  <si>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</si>
  <si>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</si>
  <si>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</si>
  <si>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</si>
  <si>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</si>
  <si>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</si>
  <si>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</si>
  <si>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</si>
  <si>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</si>
  <si>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</si>
  <si>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</si>
  <si>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</si>
  <si>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</si>
  <si>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</si>
  <si>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</si>
  <si>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</si>
  <si>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</si>
  <si>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</si>
  <si>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</si>
  <si>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</si>
  <si>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</si>
  <si>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</si>
  <si>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</si>
  <si>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</si>
  <si>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</si>
  <si>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</si>
  <si>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</si>
  <si>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</si>
  <si>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</si>
  <si>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</si>
  <si>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</si>
  <si>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</si>
  <si>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</si>
  <si>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</si>
  <si>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</si>
  <si>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</si>
  <si>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</si>
  <si>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</si>
  <si>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</si>
  <si>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</si>
  <si>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</si>
  <si>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</si>
  <si>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</si>
  <si>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</si>
  <si>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</si>
  <si>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</si>
  <si>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</si>
  <si>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</si>
  <si>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</si>
  <si>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</si>
  <si>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</si>
  <si>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</si>
  <si>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</si>
  <si>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</si>
  <si>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</si>
  <si>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</si>
  <si>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</si>
  <si>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</si>
  <si>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</si>
  <si>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</si>
  <si>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</si>
  <si>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</si>
  <si>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</si>
  <si>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</si>
  <si>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</si>
  <si>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</si>
  <si>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</si>
  <si>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</si>
  <si>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</si>
  <si>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</si>
  <si>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</si>
  <si>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</si>
  <si>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</si>
  <si>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</si>
  <si>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</si>
  <si>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</si>
  <si>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</si>
  <si>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</si>
  <si>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</si>
  <si>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</si>
  <si>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</si>
  <si>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</si>
  <si>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</si>
  <si>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</si>
  <si>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</si>
  <si>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</si>
  <si>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</si>
  <si>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</si>
  <si>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</si>
  <si>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</si>
  <si>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</si>
  <si>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</si>
  <si>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</si>
  <si>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</si>
  <si>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</si>
  <si>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</si>
  <si>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</si>
  <si>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</si>
  <si>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</si>
  <si>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</si>
  <si>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</si>
  <si>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</si>
  <si>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</si>
  <si>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</si>
  <si>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</si>
  <si>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</si>
  <si>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</si>
  <si>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</si>
  <si>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</si>
  <si>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</si>
  <si>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</si>
  <si>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</si>
  <si>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</si>
  <si>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</si>
  <si>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</si>
  <si>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</si>
  <si>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</si>
  <si>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</si>
  <si>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</si>
  <si>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</si>
  <si>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</si>
  <si>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</si>
  <si>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</si>
  <si>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</si>
  <si>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</si>
  <si>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</si>
  <si>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</si>
  <si>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</si>
  <si>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</si>
  <si>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</si>
  <si>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</si>
  <si>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</si>
  <si>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</si>
  <si>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</si>
  <si>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</si>
  <si>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</si>
  <si>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</si>
  <si>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</si>
  <si>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</si>
  <si>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</si>
  <si>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</si>
  <si>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</si>
  <si>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</si>
  <si>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</si>
  <si>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</si>
  <si>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</si>
  <si>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</si>
  <si>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</si>
  <si>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</si>
  <si>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</si>
  <si>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</si>
  <si>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</si>
  <si>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</si>
  <si>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</si>
  <si>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</si>
  <si>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</si>
  <si>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</si>
  <si>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</si>
  <si>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</si>
  <si>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</si>
  <si>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</si>
  <si>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</si>
  <si>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</si>
  <si>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</si>
  <si>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</si>
  <si>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</si>
  <si>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</si>
  <si>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</si>
  <si>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</si>
  <si>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</si>
  <si>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</si>
  <si>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</si>
  <si>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</si>
  <si>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</si>
  <si>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</si>
  <si>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</si>
  <si>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</si>
  <si>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</si>
  <si>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</si>
  <si>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</si>
  <si>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</si>
  <si>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</si>
  <si>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</si>
  <si>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</si>
  <si>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</si>
  <si>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</si>
  <si>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</si>
  <si>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</si>
  <si>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</si>
  <si>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</si>
  <si>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</si>
  <si>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</si>
  <si>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</si>
  <si>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</si>
  <si>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</si>
  <si>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</si>
  <si>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</si>
  <si>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</si>
  <si>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</si>
  <si>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</si>
  <si>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</si>
  <si>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</si>
  <si>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</si>
  <si>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</si>
  <si>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</si>
  <si>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</si>
  <si>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</si>
  <si>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</si>
  <si>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</si>
  <si>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</si>
  <si>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</si>
  <si>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</si>
  <si>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</si>
  <si>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</si>
  <si>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</si>
  <si>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</si>
  <si>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</si>
  <si>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</si>
  <si>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</si>
  <si>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</si>
  <si>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</si>
  <si>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</si>
  <si>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</si>
  <si>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</si>
  <si>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</si>
  <si>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</si>
  <si>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</si>
  <si>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</si>
  <si>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</si>
  <si>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</si>
  <si>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</si>
  <si>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</si>
  <si>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</si>
  <si>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</si>
  <si>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</si>
  <si>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</si>
  <si>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</si>
  <si>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</si>
  <si>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</si>
  <si>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</si>
  <si>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</si>
  <si>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</si>
  <si>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</si>
  <si>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</si>
  <si>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</si>
  <si>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</si>
  <si>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</si>
  <si>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</si>
  <si>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</si>
  <si>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</si>
  <si>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</si>
  <si>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</si>
  <si>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</si>
  <si>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</si>
  <si>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</si>
  <si>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</si>
  <si>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</si>
  <si>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</si>
  <si>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</si>
  <si>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</si>
  <si>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</si>
  <si>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</si>
  <si>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</si>
  <si>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</si>
  <si>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</si>
  <si>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</si>
  <si>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</si>
  <si>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</si>
  <si>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</si>
  <si>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</si>
  <si>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</si>
  <si>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</si>
  <si>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</si>
  <si>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</si>
  <si>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</si>
  <si>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</si>
  <si>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</si>
  <si>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</si>
  <si>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</si>
  <si>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</si>
  <si>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</si>
  <si>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</si>
  <si>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</si>
  <si>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</si>
  <si>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</si>
  <si>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</si>
  <si>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</si>
  <si>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</si>
  <si>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</si>
  <si>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</si>
  <si>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</si>
  <si>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</si>
  <si>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</si>
  <si>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</si>
  <si>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</si>
  <si>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</si>
  <si>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</si>
  <si>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</si>
  <si>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</si>
  <si>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</si>
  <si>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</si>
  <si>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</si>
  <si>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</si>
  <si>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</si>
  <si>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</si>
  <si>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</si>
  <si>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</si>
  <si>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</si>
  <si>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</si>
  <si>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</si>
  <si>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</si>
  <si>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</si>
  <si>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</si>
  <si>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</si>
  <si>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</si>
  <si>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</si>
  <si>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</si>
  <si>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</si>
  <si>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</si>
  <si>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</si>
  <si>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</si>
  <si>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</si>
  <si>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</si>
  <si>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</si>
  <si>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</si>
  <si>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</si>
  <si>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</si>
  <si>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</si>
  <si>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</si>
  <si>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</si>
  <si>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</si>
  <si>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</si>
  <si>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</si>
  <si>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</si>
  <si>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</si>
  <si>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</si>
  <si>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</si>
  <si>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</si>
  <si>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</si>
  <si>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</si>
  <si>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</si>
  <si>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</si>
  <si>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</si>
  <si>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</si>
  <si>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</si>
  <si>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</si>
  <si>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</si>
  <si>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</si>
  <si>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</si>
  <si>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</si>
  <si>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</si>
  <si>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</si>
  <si>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</si>
  <si>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</si>
  <si>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</si>
  <si>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</si>
  <si>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</si>
  <si>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</si>
  <si>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</si>
  <si>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</si>
  <si>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</si>
  <si>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</si>
  <si>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</si>
  <si>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</si>
  <si>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</si>
  <si>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</si>
  <si>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</si>
  <si>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</si>
  <si>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</si>
  <si>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</si>
  <si>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</si>
  <si>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</si>
  <si>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</si>
  <si>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</si>
  <si>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</si>
  <si>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</si>
  <si>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</si>
  <si>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</si>
  <si>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</si>
  <si>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</si>
  <si>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</si>
  <si>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</si>
  <si>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</si>
  <si>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</si>
  <si>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</si>
  <si>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</si>
  <si>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</si>
  <si>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</si>
  <si>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</si>
  <si>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</si>
  <si>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</si>
  <si>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</si>
  <si>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</si>
  <si>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</si>
  <si>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</si>
  <si>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</si>
  <si>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</si>
  <si>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</si>
  <si>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</si>
  <si>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</si>
  <si>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</si>
  <si>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</si>
  <si>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</si>
  <si>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</si>
  <si>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</si>
  <si>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</si>
  <si>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</si>
  <si>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</si>
  <si>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</si>
  <si>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</si>
  <si>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</si>
  <si>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</si>
  <si>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</si>
  <si>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</si>
  <si>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</si>
  <si>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</si>
  <si>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</si>
  <si>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</si>
  <si>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</si>
  <si>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</si>
  <si>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</si>
  <si>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</si>
  <si>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</si>
  <si>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</si>
  <si>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</si>
  <si>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</si>
  <si>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</si>
  <si>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</si>
  <si>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</si>
  <si>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</si>
  <si>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</si>
  <si>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</si>
  <si>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</si>
  <si>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</si>
  <si>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</si>
  <si>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</si>
  <si>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</si>
  <si>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</si>
  <si>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</si>
  <si>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</si>
  <si>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</si>
  <si>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</si>
  <si>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</si>
  <si>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</si>
  <si>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</si>
  <si>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</si>
  <si>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</si>
  <si>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</si>
  <si>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</si>
  <si>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</si>
  <si>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</si>
  <si>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</si>
  <si>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</si>
  <si>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</si>
  <si>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</si>
  <si>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</si>
  <si>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</si>
  <si>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</si>
  <si>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</si>
  <si>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</si>
  <si>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</si>
  <si>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</si>
  <si>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</si>
  <si>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</si>
  <si>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</si>
  <si>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</si>
  <si>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</si>
  <si>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</si>
  <si>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</si>
  <si>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</si>
  <si>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</si>
  <si>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</si>
  <si>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</si>
  <si>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</si>
  <si>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</si>
  <si>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</si>
  <si>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</si>
  <si>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</si>
  <si>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</si>
  <si>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</si>
  <si>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</si>
  <si>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</si>
  <si>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</si>
  <si>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</si>
  <si>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</si>
  <si>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</si>
  <si>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</si>
  <si>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</si>
  <si>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</si>
  <si>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</si>
  <si>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</si>
  <si>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</si>
  <si>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</si>
  <si>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</si>
  <si>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</si>
  <si>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</si>
  <si>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</si>
  <si>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</si>
  <si>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</si>
  <si>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</si>
  <si>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</si>
  <si>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</si>
  <si>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</si>
  <si>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</si>
  <si>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</si>
  <si>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</si>
  <si>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</si>
  <si>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</si>
  <si>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</si>
  <si>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</si>
  <si>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</si>
  <si>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</si>
  <si>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</si>
  <si>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</si>
  <si>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</si>
  <si>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</si>
  <si>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</si>
  <si>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</si>
  <si>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</si>
  <si>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</si>
  <si>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</si>
  <si>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</si>
  <si>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</si>
  <si>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</si>
  <si>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</si>
  <si>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</si>
  <si>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</si>
  <si>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</si>
  <si>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</si>
  <si>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</si>
  <si>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</si>
  <si>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</si>
  <si>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</si>
  <si>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</si>
  <si>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</si>
  <si>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</si>
  <si>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</si>
  <si>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</si>
  <si>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</si>
  <si>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</si>
  <si>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</si>
  <si>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</si>
  <si>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</si>
  <si>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</si>
  <si>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</si>
  <si>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</si>
  <si>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</si>
  <si>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</si>
  <si>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</si>
  <si>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</si>
  <si>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</si>
  <si>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</si>
  <si>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</si>
  <si>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</si>
  <si>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</si>
  <si>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</si>
  <si>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</si>
  <si>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</si>
  <si>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</si>
  <si>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</si>
  <si>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</si>
  <si>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</si>
  <si>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</si>
  <si>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</si>
  <si>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</si>
  <si>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</si>
  <si>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</si>
  <si>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</si>
  <si>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</si>
  <si>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</si>
  <si>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</si>
  <si>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</si>
  <si>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</si>
  <si>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</si>
  <si>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</si>
  <si>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</si>
  <si>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</si>
  <si>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</si>
  <si>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</si>
  <si>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</si>
  <si>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</si>
  <si>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</si>
  <si>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</si>
  <si>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</si>
  <si>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</si>
  <si>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</si>
  <si>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</si>
  <si>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</si>
  <si>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</si>
  <si>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</si>
  <si>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</si>
  <si>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</si>
  <si>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</si>
  <si>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</si>
  <si>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</si>
  <si>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</si>
  <si>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</si>
  <si>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</si>
  <si>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</si>
  <si>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</si>
  <si>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</si>
  <si>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</si>
  <si>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</si>
  <si>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</si>
  <si>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</si>
  <si>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</si>
  <si>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</si>
  <si>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</si>
  <si>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</si>
  <si>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</si>
  <si>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</si>
  <si>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</si>
  <si>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</si>
  <si>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</si>
  <si>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</si>
  <si>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</si>
  <si>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</si>
  <si>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</si>
  <si>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</si>
  <si>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</si>
  <si>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</si>
  <si>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</si>
  <si>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</si>
  <si>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</si>
  <si>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</si>
  <si>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</si>
  <si>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</si>
  <si>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</si>
  <si>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</si>
  <si>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</si>
  <si>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</si>
  <si>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</si>
  <si>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</si>
  <si>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</si>
  <si>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</si>
  <si>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</si>
  <si>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</si>
  <si>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</si>
  <si>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</si>
  <si>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</si>
  <si>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</si>
  <si>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</si>
  <si>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</si>
  <si>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</si>
  <si>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</si>
  <si>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</si>
  <si>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</si>
  <si>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</si>
  <si>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</si>
  <si>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</si>
  <si>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</si>
  <si>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</si>
  <si>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</si>
  <si>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</si>
  <si>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</si>
  <si>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</si>
  <si>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</si>
  <si>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</si>
  <si>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</si>
  <si>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</si>
  <si>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</si>
  <si>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</si>
  <si>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</si>
  <si>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</si>
  <si>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</si>
  <si>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</si>
  <si>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</si>
  <si>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</si>
  <si>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</si>
  <si>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</si>
  <si>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</si>
  <si>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</si>
  <si>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</si>
  <si>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</si>
  <si>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</si>
  <si>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</si>
  <si>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</si>
  <si>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</si>
  <si>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</si>
  <si>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</si>
  <si>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</si>
  <si>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</si>
  <si>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</si>
  <si>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</si>
  <si>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</si>
  <si>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</si>
  <si>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</si>
  <si>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</si>
  <si>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</si>
  <si>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</si>
  <si>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</si>
  <si>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</si>
  <si>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</si>
  <si>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</si>
  <si>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</si>
  <si>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</si>
  <si>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</si>
  <si>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</si>
  <si>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</si>
  <si>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</si>
  <si>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</si>
  <si>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</si>
  <si>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</si>
  <si>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</si>
  <si>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</si>
  <si>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</si>
  <si>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</si>
  <si>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</si>
  <si>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</si>
  <si>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</si>
  <si>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</si>
  <si>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</si>
  <si>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</si>
  <si>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</si>
  <si>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</si>
  <si>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</si>
  <si>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</si>
  <si>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</si>
  <si>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</si>
  <si>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</si>
  <si>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</si>
  <si>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</si>
  <si>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</si>
  <si>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</si>
  <si>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</si>
  <si>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</si>
  <si>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</si>
  <si>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</si>
  <si>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</si>
  <si>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</si>
  <si>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</si>
  <si>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</si>
  <si>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</si>
  <si>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</si>
  <si>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</si>
  <si>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</si>
  <si>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</si>
  <si>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</si>
  <si>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</si>
  <si>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</si>
  <si>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</si>
  <si>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</si>
  <si>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</si>
  <si>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</si>
  <si>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</si>
  <si>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</si>
  <si>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</si>
  <si>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</si>
  <si>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</si>
  <si>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</si>
  <si>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</si>
  <si>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</si>
  <si>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</si>
  <si>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</si>
  <si>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</si>
  <si>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</si>
  <si>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</si>
  <si>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</si>
  <si>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</si>
  <si>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</si>
  <si>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</si>
  <si>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</si>
  <si>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</si>
  <si>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</si>
  <si>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</si>
  <si>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</si>
  <si>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</si>
  <si>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</si>
  <si>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</si>
  <si>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</si>
  <si>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</si>
  <si>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</si>
  <si>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</si>
  <si>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</si>
  <si>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</si>
  <si>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</si>
  <si>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</si>
  <si>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</si>
  <si>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</si>
  <si>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</si>
  <si>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</si>
  <si>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</si>
  <si>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</si>
  <si>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</si>
  <si>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</si>
  <si>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</si>
  <si>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</si>
  <si>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</si>
  <si>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</si>
  <si>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</si>
  <si>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</si>
  <si>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</si>
  <si>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</si>
  <si>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</si>
  <si>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</si>
  <si>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</si>
  <si>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</si>
  <si>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</si>
  <si>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</si>
  <si>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</si>
  <si>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</si>
  <si>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</si>
  <si>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</si>
  <si>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</si>
  <si>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</si>
  <si>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</si>
  <si>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</si>
  <si>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</si>
  <si>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</si>
  <si>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</si>
  <si>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</si>
  <si>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</si>
  <si>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</si>
  <si>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</si>
  <si>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</si>
  <si>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</si>
  <si>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</si>
  <si>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</si>
  <si>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</si>
  <si>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</si>
  <si>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</si>
  <si>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</si>
  <si>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</si>
  <si>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</si>
  <si>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</si>
  <si>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</si>
  <si>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</si>
  <si>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</si>
  <si>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</si>
  <si>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</si>
  <si>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</si>
  <si>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</si>
  <si>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</si>
  <si>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</si>
  <si>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</si>
  <si>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</si>
  <si>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</si>
  <si>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</si>
  <si>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</si>
  <si>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</si>
  <si>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</si>
  <si>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</si>
  <si>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</si>
  <si>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</si>
  <si>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</si>
  <si>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</si>
  <si>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</si>
  <si>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</si>
  <si>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</si>
  <si>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</si>
  <si>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</si>
  <si>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</si>
  <si>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</si>
  <si>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</si>
  <si>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</si>
  <si>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</si>
  <si>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</si>
  <si>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</si>
  <si>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</si>
  <si>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</si>
  <si>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</si>
  <si>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</si>
  <si>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</si>
  <si>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</si>
  <si>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</si>
  <si>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</si>
  <si>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</si>
  <si>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</si>
  <si>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</si>
  <si>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</si>
  <si>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</si>
  <si>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</si>
  <si>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</si>
  <si>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</si>
  <si>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</si>
  <si>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</si>
  <si>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</si>
  <si>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</si>
  <si>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</si>
  <si>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</si>
  <si>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</si>
  <si>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</si>
  <si>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</si>
  <si>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</si>
  <si>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</si>
  <si>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</si>
  <si>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</si>
  <si>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</si>
  <si>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</si>
  <si>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</si>
  <si>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</si>
  <si>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</si>
  <si>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</si>
  <si>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</si>
  <si>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</si>
  <si>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</si>
  <si>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</si>
  <si>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</si>
  <si>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</si>
  <si>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</si>
  <si>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</si>
  <si>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</si>
  <si>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</si>
  <si>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</si>
  <si>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</si>
  <si>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</si>
  <si>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</si>
  <si>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</si>
  <si>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</si>
  <si>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</si>
  <si>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</si>
  <si>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</si>
  <si>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</si>
  <si>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</si>
  <si>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</si>
  <si>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</si>
  <si>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</si>
  <si>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</si>
  <si>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</si>
  <si>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</si>
  <si>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</si>
  <si>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</si>
  <si>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</si>
  <si>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</si>
  <si>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</si>
  <si>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</si>
  <si>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</si>
  <si>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</si>
  <si>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</si>
  <si>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</si>
  <si>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</si>
  <si>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</si>
  <si>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</si>
  <si>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</si>
  <si>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</si>
  <si>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</si>
  <si>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</si>
  <si>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</si>
  <si>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</si>
  <si>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</si>
  <si>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</si>
  <si>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</si>
  <si>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</si>
  <si>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</si>
  <si>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</si>
  <si>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</si>
  <si>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</si>
  <si>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</si>
  <si>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</si>
  <si>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</si>
  <si>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</si>
  <si>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</si>
  <si>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</si>
  <si>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</si>
  <si>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</si>
  <si>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</si>
  <si>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</si>
  <si>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</si>
  <si>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</si>
  <si>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</si>
  <si>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</si>
  <si>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</si>
  <si>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</si>
  <si>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</si>
  <si>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</si>
  <si>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</si>
  <si>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</si>
  <si>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</si>
  <si>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</si>
  <si>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</si>
  <si>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</si>
  <si>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</si>
  <si>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</si>
  <si>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</si>
  <si>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</si>
  <si>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</si>
  <si>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</si>
  <si>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</si>
  <si>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</si>
  <si>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</si>
  <si>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</si>
  <si>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</si>
  <si>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</si>
  <si>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</si>
  <si>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</si>
  <si>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</si>
  <si>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</si>
  <si>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</si>
  <si>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</si>
  <si>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</si>
  <si>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</si>
  <si>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</si>
  <si>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</si>
  <si>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</si>
  <si>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</si>
  <si>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</si>
  <si>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</si>
  <si>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</si>
  <si>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</si>
  <si>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</si>
  <si>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</si>
  <si>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</si>
  <si>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</si>
  <si>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</si>
  <si>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</si>
  <si>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</si>
  <si>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</si>
  <si>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</si>
  <si>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</si>
  <si>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</si>
  <si>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</si>
  <si>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</si>
  <si>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</si>
  <si>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</si>
  <si>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</si>
  <si>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</si>
  <si>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</si>
  <si>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</si>
  <si>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</si>
  <si>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</si>
  <si>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</si>
  <si>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</si>
  <si>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</si>
  <si>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</si>
  <si>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</si>
  <si>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</si>
  <si>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</si>
  <si>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</si>
  <si>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</si>
  <si>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</si>
  <si>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</si>
  <si>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</si>
  <si>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</si>
  <si>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</si>
  <si>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</si>
  <si>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</si>
  <si>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</si>
  <si>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</si>
  <si>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</si>
  <si>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</si>
  <si>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</si>
  <si>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</si>
  <si>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</si>
  <si>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</si>
  <si>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</si>
  <si>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</si>
  <si>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</si>
  <si>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</si>
  <si>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</si>
  <si>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</si>
  <si>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</si>
  <si>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</si>
  <si>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</si>
  <si>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</si>
  <si>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</si>
  <si>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</si>
  <si>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</si>
  <si>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</si>
  <si>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</si>
  <si>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</si>
  <si>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</si>
  <si>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</si>
  <si>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</si>
  <si>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</si>
  <si>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</si>
  <si>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</si>
  <si>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</si>
  <si>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</si>
  <si>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</si>
  <si>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</si>
  <si>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</si>
  <si>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</si>
  <si>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</si>
  <si>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</si>
  <si>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</si>
  <si>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</si>
  <si>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</si>
  <si>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</si>
  <si>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</si>
  <si>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</si>
  <si>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</si>
  <si>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</si>
  <si>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</si>
  <si>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</si>
  <si>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</si>
  <si>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</si>
  <si>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</si>
  <si>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</si>
  <si>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</si>
  <si>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</si>
  <si>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</si>
  <si>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</si>
  <si>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</si>
  <si>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</si>
  <si>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</si>
  <si>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</si>
  <si>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</si>
  <si>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</si>
  <si>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</si>
  <si>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</si>
  <si>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</si>
  <si>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</si>
  <si>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</si>
  <si>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</si>
  <si>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</si>
  <si>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</si>
  <si>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</si>
  <si>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</si>
  <si>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</si>
  <si>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</si>
  <si>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</si>
  <si>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</si>
  <si>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</si>
  <si>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</si>
  <si>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</si>
  <si>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</si>
  <si>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</si>
  <si>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</si>
  <si>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</si>
  <si>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</si>
  <si>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</si>
  <si>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</si>
  <si>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</si>
  <si>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</si>
  <si>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</si>
  <si>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</si>
  <si>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</si>
  <si>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</si>
  <si>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</si>
  <si>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</si>
  <si>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</si>
  <si>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</si>
  <si>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</si>
  <si>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</si>
  <si>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</si>
  <si>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</si>
  <si>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</si>
  <si>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</si>
  <si>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</si>
  <si>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</si>
  <si>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</si>
  <si>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</si>
  <si>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</si>
  <si>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</si>
  <si>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</si>
  <si>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</si>
  <si>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</si>
  <si>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</si>
  <si>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</si>
  <si>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</si>
  <si>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</si>
  <si>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</si>
  <si>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</si>
  <si>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</si>
  <si>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</si>
  <si>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</si>
  <si>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</si>
  <si>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</si>
  <si>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</si>
  <si>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</si>
  <si>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</si>
  <si>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</si>
  <si>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</si>
  <si>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</si>
  <si>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</si>
  <si>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</si>
  <si>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</si>
  <si>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</si>
  <si>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</si>
  <si>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</si>
  <si>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</si>
  <si>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</si>
  <si>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</si>
  <si>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</si>
  <si>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</si>
  <si>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</si>
  <si>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</si>
  <si>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</si>
  <si>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</si>
  <si>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</si>
  <si>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</si>
  <si>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</si>
  <si>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</si>
  <si>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</si>
  <si>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</si>
  <si>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</si>
  <si>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</si>
  <si>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</si>
  <si>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</si>
  <si>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</si>
  <si>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</si>
  <si>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</si>
  <si>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</si>
  <si>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</si>
  <si>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</si>
  <si>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</si>
  <si>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</si>
  <si>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</si>
  <si>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</si>
  <si>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</si>
  <si>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</si>
  <si>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</si>
  <si>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</si>
  <si>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</si>
  <si>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</si>
  <si>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</si>
  <si>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</si>
  <si>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</si>
  <si>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</si>
  <si>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</si>
  <si>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</si>
  <si>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</si>
  <si>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</si>
  <si>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</si>
  <si>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</si>
  <si>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</si>
  <si>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</si>
  <si>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</si>
  <si>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</si>
  <si>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</si>
  <si>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</si>
  <si>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</si>
  <si>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</si>
  <si>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</si>
  <si>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</si>
  <si>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</si>
  <si>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</si>
  <si>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</si>
  <si>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</si>
  <si>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</si>
  <si>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</si>
  <si>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</si>
  <si>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</si>
  <si>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</si>
  <si>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</si>
  <si>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</si>
  <si>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</si>
  <si>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</si>
  <si>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</si>
  <si>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</si>
  <si>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</si>
  <si>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</si>
  <si>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</si>
  <si>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</si>
  <si>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</si>
  <si>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</si>
  <si>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</si>
  <si>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</si>
  <si>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</si>
  <si>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</si>
  <si>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</si>
  <si>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</si>
  <si>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</si>
  <si>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</si>
  <si>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</si>
  <si>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</si>
  <si>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</si>
  <si>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</si>
  <si>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</si>
  <si>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</si>
  <si>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</si>
  <si>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</si>
  <si>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</si>
  <si>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</si>
  <si>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</si>
  <si>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</si>
  <si>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</si>
  <si>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</si>
  <si>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</si>
  <si>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</si>
  <si>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</si>
  <si>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</si>
  <si>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</si>
  <si>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</si>
  <si>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</si>
  <si>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</si>
  <si>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</si>
  <si>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</si>
  <si>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</si>
  <si>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</si>
  <si>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</si>
  <si>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</si>
  <si>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</si>
  <si>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</si>
  <si>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</si>
  <si>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</si>
  <si>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</si>
  <si>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</si>
  <si>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</si>
  <si>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</si>
  <si>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</si>
  <si>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</si>
  <si>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</si>
  <si>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</si>
  <si>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</si>
  <si>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</si>
  <si>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</si>
  <si>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</si>
  <si>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</si>
  <si>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</si>
  <si>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</si>
  <si>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</si>
  <si>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</si>
  <si>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</si>
  <si>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</si>
  <si>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</si>
  <si>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</si>
  <si>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</si>
  <si>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</si>
  <si>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</si>
  <si>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</si>
  <si>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</si>
  <si>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</si>
  <si>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</si>
  <si>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</si>
  <si>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</si>
  <si>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</si>
  <si>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</si>
  <si>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</si>
  <si>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</si>
  <si>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</si>
  <si>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</si>
  <si>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</si>
  <si>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</si>
  <si>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</si>
  <si>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</si>
  <si>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</si>
  <si>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</si>
  <si>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</si>
  <si>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</si>
  <si>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</si>
  <si>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</si>
  <si>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</si>
  <si>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</si>
  <si>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</si>
  <si>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</si>
  <si>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</si>
  <si>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</si>
  <si>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</si>
  <si>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</si>
  <si>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</si>
  <si>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</si>
  <si>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</si>
  <si>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</si>
  <si>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</si>
  <si>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</si>
  <si>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</si>
  <si>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</si>
  <si>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</si>
  <si>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</si>
  <si>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</si>
  <si>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</si>
  <si>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</si>
  <si>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</si>
  <si>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</si>
  <si>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</si>
  <si>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</si>
  <si>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</si>
  <si>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</si>
  <si>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</si>
  <si>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</si>
  <si>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</si>
  <si>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</si>
  <si>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</si>
  <si>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</si>
  <si>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</si>
  <si>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</si>
  <si>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</si>
  <si>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</si>
  <si>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</si>
  <si>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</si>
  <si>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</si>
  <si>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</si>
  <si>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</si>
  <si>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</si>
  <si>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</si>
  <si>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</si>
  <si>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</si>
  <si>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</si>
  <si>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</si>
  <si>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</si>
  <si>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</si>
  <si>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</si>
  <si>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</si>
  <si>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</si>
  <si>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</si>
  <si>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</si>
  <si>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</si>
  <si>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</si>
  <si>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</si>
  <si>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</si>
  <si>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</si>
  <si>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</si>
  <si>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</si>
  <si>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</si>
  <si>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</si>
  <si>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</si>
  <si>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</si>
  <si>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</si>
  <si>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</si>
  <si>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</si>
  <si>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</si>
  <si>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</si>
  <si>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</si>
  <si>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</si>
  <si>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</si>
  <si>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</si>
  <si>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</si>
  <si>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</si>
  <si>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</si>
  <si>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</si>
  <si>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</si>
  <si>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</si>
  <si>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</si>
  <si>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</si>
  <si>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</si>
  <si>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</si>
  <si>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</si>
  <si>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</si>
  <si>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</si>
  <si>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</si>
  <si>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</si>
  <si>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</si>
  <si>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</si>
  <si>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</si>
  <si>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</si>
  <si>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</si>
  <si>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</si>
  <si>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</si>
  <si>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</si>
  <si>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</si>
  <si>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</si>
  <si>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</si>
  <si>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</si>
  <si>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</si>
  <si>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</si>
  <si>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</si>
  <si>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</si>
  <si>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</si>
  <si>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</si>
  <si>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</si>
  <si>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</si>
  <si>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</si>
  <si>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</si>
  <si>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</si>
  <si>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</si>
  <si>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</si>
  <si>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</si>
  <si>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</si>
  <si>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</si>
  <si>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</si>
  <si>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</si>
  <si>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</si>
  <si>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</si>
  <si>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</si>
  <si>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</si>
  <si>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</si>
  <si>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</si>
  <si>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</si>
  <si>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</si>
  <si>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</si>
  <si>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</si>
  <si>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</si>
  <si>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</si>
  <si>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</si>
  <si>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</si>
  <si>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</si>
  <si>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</si>
  <si>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</si>
  <si>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</si>
  <si>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</si>
  <si>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</si>
  <si>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</si>
  <si>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</si>
  <si>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</si>
  <si>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</si>
  <si>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</si>
  <si>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</si>
  <si>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</si>
  <si>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</si>
  <si>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</si>
  <si>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</si>
  <si>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</si>
  <si>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</si>
  <si>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</si>
  <si>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</si>
  <si>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</si>
  <si>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</si>
  <si>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</si>
  <si>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</si>
  <si>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</si>
  <si>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</si>
  <si>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</si>
  <si>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</si>
  <si>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</si>
  <si>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</si>
  <si>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</si>
  <si>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</si>
  <si>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</si>
  <si>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</si>
  <si>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</si>
  <si>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</si>
  <si>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</si>
  <si>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</si>
  <si>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</si>
  <si>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</si>
  <si>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</si>
  <si>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</si>
  <si>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</si>
  <si>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</si>
  <si>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</si>
  <si>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</si>
  <si>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</si>
  <si>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</si>
  <si>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</si>
  <si>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</si>
  <si>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</si>
  <si>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</si>
  <si>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</si>
  <si>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</si>
  <si>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</si>
  <si>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</si>
  <si>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</si>
  <si>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</si>
  <si>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</si>
  <si>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</si>
  <si>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</si>
  <si>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</si>
  <si>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</si>
  <si>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</si>
  <si>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</si>
  <si>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</si>
  <si>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</si>
  <si>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</si>
  <si>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</si>
  <si>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</si>
  <si>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</si>
  <si>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</si>
  <si>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</si>
  <si>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</si>
  <si>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</si>
  <si>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</si>
  <si>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</si>
  <si>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</si>
  <si>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</si>
  <si>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</si>
  <si>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</si>
  <si>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</si>
  <si>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</si>
  <si>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</si>
  <si>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</si>
  <si>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</si>
  <si>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</si>
  <si>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</si>
  <si>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</si>
  <si>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</si>
  <si>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</si>
  <si>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</si>
  <si>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</si>
  <si>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</si>
  <si>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</si>
  <si>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</si>
  <si>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</si>
  <si>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</si>
  <si>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</si>
  <si>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</si>
  <si>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</si>
  <si>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</si>
  <si>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</si>
  <si>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</si>
  <si>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</si>
  <si>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</si>
  <si>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</si>
  <si>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</si>
  <si>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</si>
  <si>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</si>
  <si>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</si>
  <si>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</si>
  <si>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</si>
  <si>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</si>
  <si>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</si>
  <si>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</si>
  <si>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</si>
  <si>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</si>
  <si>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</si>
  <si>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</si>
  <si>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</si>
  <si>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</si>
  <si>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</si>
  <si>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</si>
  <si>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</si>
  <si>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</si>
  <si>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</si>
  <si>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</si>
  <si>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</si>
  <si>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</si>
  <si>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</si>
  <si>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</si>
  <si>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</si>
  <si>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</si>
  <si>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</si>
  <si>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</si>
  <si>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</si>
  <si>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</si>
  <si>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</si>
  <si>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</si>
  <si>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</si>
  <si>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</si>
  <si>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</si>
  <si>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</si>
  <si>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</si>
  <si>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</si>
  <si>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</si>
  <si>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</si>
  <si>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</si>
  <si>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</si>
  <si>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</si>
  <si>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</si>
  <si>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</si>
  <si>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</si>
  <si>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</si>
  <si>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</si>
  <si>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</si>
  <si>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</si>
  <si>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</si>
  <si>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</si>
  <si>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</si>
  <si>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</si>
  <si>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</si>
  <si>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</si>
  <si>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</si>
  <si>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</si>
  <si>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</si>
  <si>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</si>
  <si>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</si>
  <si>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</si>
  <si>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</si>
  <si>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</si>
  <si>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</si>
  <si>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</si>
  <si>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</si>
  <si>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</si>
  <si>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</si>
  <si>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</si>
  <si>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</si>
  <si>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</si>
  <si>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</si>
  <si>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</si>
  <si>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</si>
  <si>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</si>
  <si>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</si>
  <si>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</si>
  <si>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</si>
  <si>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</si>
  <si>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</si>
  <si>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</si>
  <si>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</si>
  <si>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</si>
  <si>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</si>
  <si>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</si>
  <si>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</si>
  <si>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</si>
  <si>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</si>
  <si>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</si>
  <si>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</si>
  <si>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</si>
  <si>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</si>
  <si>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</si>
  <si>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</si>
  <si>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</si>
  <si>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</si>
  <si>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</si>
  <si>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</si>
  <si>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</si>
  <si>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</si>
  <si>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</si>
  <si>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</si>
  <si>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</si>
  <si>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</si>
  <si>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</si>
  <si>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</si>
  <si>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</si>
  <si>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</si>
  <si>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</si>
  <si>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</si>
  <si>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</si>
  <si>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</si>
  <si>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</si>
  <si>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</si>
  <si>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</si>
  <si>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</si>
  <si>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</si>
  <si>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</si>
  <si>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</si>
  <si>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</si>
  <si>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</si>
  <si>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</si>
  <si>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</si>
  <si>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</si>
  <si>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</si>
  <si>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</si>
  <si>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</si>
  <si>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</si>
  <si>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</si>
  <si>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</si>
  <si>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</si>
  <si>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</si>
  <si>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</si>
  <si>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</si>
  <si>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</si>
  <si>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</si>
  <si>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</si>
  <si>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</si>
  <si>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</si>
  <si>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</si>
  <si>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</si>
  <si>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</si>
  <si>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</si>
  <si>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</si>
  <si>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</si>
  <si>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</si>
  <si>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</si>
  <si>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</si>
  <si>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</si>
  <si>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</si>
  <si>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</si>
  <si>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</si>
  <si>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</si>
  <si>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</si>
  <si>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</si>
  <si>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</si>
  <si>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</si>
  <si>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</si>
  <si>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</si>
  <si>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</si>
  <si>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</si>
  <si>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</si>
  <si>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</si>
  <si>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</si>
  <si>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</si>
  <si>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</si>
  <si>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</si>
  <si>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</si>
  <si>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</si>
  <si>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</si>
  <si>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</si>
  <si>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</si>
  <si>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</si>
  <si>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</si>
  <si>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</si>
  <si>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</si>
  <si>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</si>
  <si>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</si>
  <si>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</si>
  <si>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</si>
  <si>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</si>
  <si>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</si>
  <si>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</si>
  <si>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</si>
  <si>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</si>
  <si>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</si>
  <si>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</si>
  <si>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</si>
  <si>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</si>
  <si>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</si>
  <si>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</si>
  <si>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</si>
  <si>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</si>
  <si>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</si>
  <si>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</si>
  <si>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</si>
  <si>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</si>
  <si>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</si>
  <si>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</si>
  <si>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</si>
  <si>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</si>
  <si>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</si>
  <si>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</si>
  <si>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</si>
  <si>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</si>
  <si>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</si>
  <si>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</si>
  <si>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</si>
  <si>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</si>
  <si>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</si>
  <si>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</si>
  <si>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</si>
  <si>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</si>
  <si>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</si>
  <si>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</si>
  <si>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</si>
  <si>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</si>
  <si>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</si>
  <si>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</si>
  <si>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</si>
  <si>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</si>
  <si>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</si>
  <si>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</si>
  <si>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</si>
  <si>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</si>
  <si>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</si>
  <si>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</si>
  <si>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</si>
  <si>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</si>
  <si>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</si>
  <si>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</si>
  <si>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</si>
  <si>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</si>
  <si>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</si>
  <si>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</si>
  <si>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</si>
  <si>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</si>
  <si>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</si>
  <si>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</si>
  <si>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</si>
  <si>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</si>
  <si>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</si>
  <si>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</si>
  <si>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</si>
  <si>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</si>
  <si>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</si>
  <si>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</si>
  <si>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</si>
  <si>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</si>
  <si>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</si>
  <si>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</si>
  <si>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</si>
  <si>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</si>
  <si>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</si>
  <si>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</si>
  <si>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</si>
  <si>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</si>
  <si>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</si>
  <si>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</si>
  <si>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</si>
  <si>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</si>
  <si>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</si>
  <si>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</si>
  <si>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</si>
  <si>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</si>
  <si>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</si>
  <si>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</si>
  <si>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</si>
  <si>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</si>
  <si>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</si>
  <si>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</si>
  <si>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</si>
  <si>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</si>
  <si>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</si>
  <si>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</si>
  <si>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</si>
  <si>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</si>
  <si>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</si>
  <si>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</si>
  <si>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</si>
  <si>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</si>
  <si>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</si>
  <si>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</si>
  <si>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</si>
  <si>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</si>
  <si>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</si>
  <si>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</si>
  <si>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</si>
  <si>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</si>
  <si>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</si>
  <si>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</si>
  <si>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</si>
  <si>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</si>
  <si>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</si>
  <si>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</si>
  <si>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</si>
  <si>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</si>
  <si>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</si>
  <si>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</si>
  <si>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</si>
  <si>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</si>
  <si>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</si>
  <si>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</si>
  <si>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</si>
  <si>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</si>
  <si>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</si>
  <si>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</si>
  <si>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</si>
  <si>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</si>
  <si>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</si>
  <si>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</si>
  <si>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</si>
  <si>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</si>
  <si>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</si>
  <si>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</si>
  <si>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</si>
  <si>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</si>
  <si>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</si>
  <si>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</si>
  <si>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</si>
  <si>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</si>
  <si>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</si>
  <si>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</si>
  <si>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</si>
  <si>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</si>
  <si>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</si>
  <si>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</si>
  <si>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</si>
  <si>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</si>
  <si>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</si>
  <si>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</si>
  <si>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</si>
  <si>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</si>
  <si>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</si>
  <si>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</si>
  <si>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</si>
  <si>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</si>
  <si>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</si>
  <si>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</si>
  <si>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</si>
  <si>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</si>
  <si>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</si>
  <si>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</si>
  <si>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</si>
  <si>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</si>
  <si>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</si>
  <si>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</si>
  <si>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</si>
  <si>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</si>
  <si>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</si>
  <si>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</si>
  <si>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</si>
  <si>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</si>
  <si>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</si>
  <si>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</si>
  <si>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</si>
  <si>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</si>
  <si>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</si>
  <si>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</si>
  <si>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</si>
  <si>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</si>
  <si>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</si>
  <si>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</si>
  <si>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</si>
  <si>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</si>
  <si>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</si>
  <si>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</si>
  <si>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</si>
  <si>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</si>
  <si>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</si>
  <si>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</si>
  <si>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</si>
  <si>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</si>
  <si>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</si>
  <si>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</si>
  <si>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</si>
  <si>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</si>
  <si>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</si>
  <si>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</si>
  <si>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</si>
  <si>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</si>
  <si>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</si>
  <si>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</si>
  <si>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</si>
  <si>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</si>
  <si>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</si>
  <si>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</si>
  <si>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</si>
  <si>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</si>
  <si>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</si>
  <si>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</si>
  <si>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</si>
  <si>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</si>
  <si>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</si>
  <si>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</si>
  <si>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</si>
  <si>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</si>
  <si>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</si>
  <si>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</si>
  <si>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</si>
  <si>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</si>
  <si>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</si>
  <si>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</si>
  <si>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</si>
  <si>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</si>
  <si>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</si>
  <si>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</si>
  <si>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</si>
  <si>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</si>
  <si>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</si>
  <si>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</si>
  <si>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</si>
  <si>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</si>
  <si>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</si>
  <si>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</si>
  <si>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</si>
  <si>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</si>
  <si>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</si>
  <si>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</si>
  <si>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</si>
  <si>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</si>
  <si>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</si>
  <si>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</si>
  <si>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</si>
  <si>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</si>
  <si>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</si>
  <si>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</si>
  <si>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</si>
  <si>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</si>
  <si>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</si>
  <si>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</si>
  <si>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</si>
  <si>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</si>
  <si>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</si>
  <si>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</si>
  <si>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</si>
  <si>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</si>
  <si>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</si>
  <si>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</si>
  <si>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</si>
  <si>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</si>
  <si>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</si>
  <si>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</si>
  <si>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</si>
  <si>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</si>
  <si>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</si>
  <si>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</si>
  <si>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</si>
  <si>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</si>
  <si>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</si>
  <si>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</si>
  <si>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</si>
  <si>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</si>
  <si>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</si>
  <si>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</si>
  <si>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</si>
  <si>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</si>
  <si>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</si>
  <si>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</si>
  <si>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</si>
  <si>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</si>
  <si>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</si>
  <si>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</si>
  <si>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</si>
  <si>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</si>
  <si>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</si>
  <si>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</si>
  <si>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</si>
  <si>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</si>
  <si>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</si>
  <si>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</si>
  <si>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</si>
  <si>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</si>
  <si>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</si>
  <si>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</si>
  <si>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</si>
  <si>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</si>
  <si>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</si>
  <si>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</si>
  <si>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</si>
  <si>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</si>
  <si>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</si>
  <si>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</si>
  <si>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</si>
  <si>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</si>
  <si>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</si>
  <si>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</si>
  <si>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</si>
  <si>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</si>
  <si>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</si>
  <si>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</si>
  <si>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</si>
  <si>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</si>
  <si>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</si>
  <si>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</si>
  <si>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</si>
  <si>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</si>
  <si>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</si>
  <si>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</si>
  <si>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</si>
  <si>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</si>
  <si>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</si>
  <si>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</si>
  <si>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</si>
  <si>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</si>
  <si>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</si>
  <si>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</si>
  <si>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</si>
  <si>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</si>
  <si>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</si>
  <si>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</si>
  <si>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</si>
  <si>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</si>
  <si>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</si>
  <si>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</si>
  <si>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</si>
  <si>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</si>
  <si>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</si>
  <si>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</si>
  <si>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</si>
  <si>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</si>
  <si>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</si>
  <si>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</si>
  <si>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</si>
  <si>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</si>
  <si>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</si>
  <si>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</si>
  <si>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</si>
  <si>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</si>
  <si>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</si>
  <si>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</si>
  <si>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</si>
  <si>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</si>
  <si>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</si>
  <si>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</si>
  <si>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</si>
  <si>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</si>
  <si>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</si>
  <si>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</si>
  <si>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</si>
  <si>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</si>
  <si>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</si>
  <si>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</si>
  <si>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</si>
  <si>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</si>
  <si>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</si>
  <si>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</si>
  <si>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</si>
  <si>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</si>
  <si>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</si>
  <si>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</si>
  <si>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</si>
  <si>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</si>
  <si>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</si>
  <si>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</si>
  <si>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</si>
  <si>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</si>
  <si>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</si>
  <si>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</si>
  <si>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</si>
  <si>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</si>
  <si>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</si>
  <si>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</si>
  <si>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</si>
  <si>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</si>
  <si>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</si>
  <si>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</si>
  <si>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</si>
  <si>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</si>
  <si>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</si>
  <si>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</si>
  <si>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</si>
  <si>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</si>
  <si>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</si>
  <si>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</si>
  <si>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</si>
  <si>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</si>
  <si>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</si>
  <si>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</si>
  <si>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</si>
  <si>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</si>
  <si>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</si>
  <si>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</si>
  <si>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</si>
  <si>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</si>
  <si>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</si>
  <si>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</si>
  <si>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</si>
  <si>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</si>
  <si>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</si>
  <si>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</si>
  <si>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</si>
  <si>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</si>
  <si>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</si>
  <si>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</si>
  <si>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</si>
  <si>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</si>
  <si>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</si>
  <si>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</si>
  <si>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</si>
  <si>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</si>
  <si>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</si>
  <si>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</si>
  <si>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</si>
  <si>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</si>
  <si>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</si>
  <si>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</si>
  <si>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</si>
  <si>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</si>
  <si>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</si>
  <si>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</si>
  <si>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</si>
  <si>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</si>
  <si>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</si>
  <si>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</si>
  <si>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</si>
  <si>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</si>
  <si>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</si>
  <si>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</si>
  <si>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</si>
  <si>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</si>
  <si>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</si>
  <si>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</si>
  <si>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</si>
  <si>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</si>
  <si>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</si>
  <si>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</si>
  <si>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</si>
  <si>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</si>
  <si>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</si>
  <si>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</si>
  <si>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</si>
  <si>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</si>
  <si>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</si>
  <si>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</si>
  <si>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</si>
  <si>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</si>
  <si>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</si>
  <si>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</si>
  <si>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</si>
  <si>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</si>
  <si>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</si>
  <si>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</si>
  <si>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</si>
  <si>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</si>
  <si>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</si>
  <si>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</si>
  <si>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</si>
  <si>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</si>
  <si>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</si>
  <si>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</si>
  <si>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</si>
  <si>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</si>
  <si>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</si>
  <si>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</si>
  <si>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</si>
  <si>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</si>
  <si>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</si>
  <si>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</si>
  <si>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</si>
  <si>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</si>
  <si>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</si>
  <si>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</si>
  <si>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</si>
  <si>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</si>
  <si>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</si>
  <si>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</si>
  <si>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</si>
  <si>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</si>
  <si>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</si>
  <si>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</si>
  <si>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</si>
  <si>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</si>
  <si>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</si>
  <si>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</si>
  <si>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</si>
  <si>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</si>
  <si>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</si>
  <si>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</si>
  <si>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</si>
  <si>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</si>
  <si>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</si>
  <si>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</si>
  <si>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</si>
  <si>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</si>
  <si>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</si>
  <si>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</si>
  <si>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</si>
  <si>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</si>
  <si>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</si>
  <si>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</si>
  <si>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</si>
  <si>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</si>
  <si>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</si>
  <si>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</si>
  <si>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</si>
  <si>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</si>
  <si>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</si>
  <si>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</si>
  <si>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</si>
  <si>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</si>
  <si>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</si>
  <si>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</si>
  <si>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</si>
  <si>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</si>
  <si>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</si>
  <si>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</si>
  <si>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</si>
  <si>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</si>
  <si>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</si>
  <si>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</si>
  <si>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</si>
  <si>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</si>
  <si>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</si>
  <si>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</si>
  <si>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</si>
  <si>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</si>
  <si>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</si>
  <si>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</si>
  <si>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</si>
  <si>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</si>
  <si>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</si>
  <si>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</si>
  <si>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</si>
  <si>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</si>
  <si>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</si>
  <si>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</si>
  <si>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</si>
  <si>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</si>
  <si>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</si>
  <si>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</si>
  <si>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</si>
  <si>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</si>
  <si>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</si>
  <si>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</si>
  <si>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</si>
  <si>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</si>
  <si>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</si>
  <si>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</si>
  <si>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</si>
  <si>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</si>
  <si>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</si>
  <si>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</si>
  <si>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</si>
  <si>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</si>
  <si>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</si>
  <si>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</si>
  <si>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</si>
  <si>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</si>
  <si>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</si>
  <si>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</si>
  <si>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</si>
  <si>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</si>
  <si>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</si>
  <si>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</si>
  <si>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</si>
  <si>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</si>
  <si>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</si>
  <si>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</si>
  <si>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</si>
  <si>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</si>
  <si>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</si>
  <si>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</si>
  <si>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</si>
  <si>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</si>
  <si>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</si>
  <si>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</si>
  <si>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</si>
  <si>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</si>
  <si>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</si>
  <si>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</si>
  <si>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</si>
  <si>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</si>
  <si>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</si>
  <si>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</si>
  <si>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</si>
  <si>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</si>
  <si>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</si>
  <si>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</si>
  <si>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</si>
  <si>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</si>
  <si>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</si>
  <si>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</si>
  <si>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</si>
  <si>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</si>
  <si>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</si>
  <si>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</si>
  <si>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</si>
  <si>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</si>
  <si>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</si>
  <si>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</si>
  <si>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</si>
  <si>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</si>
  <si>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</si>
  <si>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</si>
  <si>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</si>
  <si>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</si>
  <si>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</si>
  <si>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</si>
  <si>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</si>
  <si>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</si>
  <si>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</si>
  <si>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</si>
  <si>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</si>
  <si>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</si>
  <si>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</si>
  <si>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</si>
  <si>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</si>
  <si>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</si>
  <si>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</si>
  <si>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</si>
  <si>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</si>
  <si>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</si>
  <si>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</si>
  <si>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</si>
  <si>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</si>
  <si>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</si>
  <si>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</si>
  <si>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</si>
  <si>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</si>
  <si>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</si>
  <si>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</si>
  <si>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</si>
  <si>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</si>
  <si>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</si>
  <si>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</si>
  <si>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</si>
  <si>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</si>
  <si>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</si>
  <si>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</si>
  <si>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</si>
  <si>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</si>
  <si>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</si>
  <si>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</si>
  <si>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</si>
  <si>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</si>
  <si>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</si>
  <si>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</si>
  <si>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</si>
  <si>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</si>
  <si>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</si>
  <si>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</si>
  <si>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</si>
  <si>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</si>
  <si>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</si>
  <si>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</si>
  <si>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</si>
  <si>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</si>
  <si>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</si>
  <si>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</si>
  <si>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</si>
  <si>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</si>
  <si>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</si>
  <si>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</si>
  <si>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</si>
  <si>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</si>
  <si>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</si>
  <si>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</si>
  <si>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</si>
  <si>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</si>
  <si>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</si>
  <si>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</si>
  <si>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</si>
  <si>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</si>
  <si>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</si>
  <si>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</si>
  <si>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</si>
  <si>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</si>
  <si>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</si>
  <si>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</si>
  <si>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</si>
  <si>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</si>
  <si>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</si>
  <si>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</si>
  <si>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</si>
  <si>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</si>
  <si>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</si>
  <si>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</si>
  <si>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</si>
  <si>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</si>
  <si>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</si>
  <si>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</si>
  <si>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</si>
  <si>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</si>
  <si>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</si>
  <si>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</si>
  <si>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</si>
  <si>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</si>
  <si>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</si>
  <si>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</si>
  <si>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</si>
  <si>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</si>
  <si>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</si>
  <si>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</si>
  <si>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</si>
  <si>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</si>
  <si>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</si>
  <si>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</si>
  <si>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</si>
  <si>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</si>
  <si>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</si>
  <si>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</si>
  <si>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</si>
  <si>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</si>
  <si>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</si>
  <si>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</si>
  <si>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</si>
  <si>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</si>
  <si>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</si>
  <si>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</si>
  <si>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</si>
  <si>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</si>
  <si>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</si>
  <si>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</si>
  <si>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</si>
  <si>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</si>
  <si>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</si>
  <si>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</si>
  <si>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</si>
  <si>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</si>
  <si>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</si>
  <si>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</si>
  <si>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</si>
  <si>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</si>
  <si>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</si>
  <si>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</si>
  <si>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</si>
  <si>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</si>
  <si>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</si>
  <si>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</si>
  <si>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</si>
  <si>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</si>
  <si>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</si>
  <si>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</si>
  <si>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</si>
  <si>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</si>
  <si>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</si>
  <si>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</si>
  <si>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</si>
  <si>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</si>
  <si>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</si>
  <si>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</si>
  <si>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</si>
  <si>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</si>
  <si>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</si>
  <si>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</si>
  <si>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</si>
  <si>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</si>
  <si>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</si>
  <si>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</si>
  <si>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</si>
  <si>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</si>
  <si>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</si>
  <si>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</si>
  <si>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</si>
  <si>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</si>
  <si>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</si>
  <si>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</si>
  <si>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</si>
  <si>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</si>
  <si>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</si>
  <si>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</si>
  <si>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</si>
  <si>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</si>
  <si>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</si>
  <si>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</si>
  <si>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</si>
  <si>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</si>
  <si>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</si>
  <si>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</si>
  <si>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</si>
  <si>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</si>
  <si>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</si>
  <si>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</si>
  <si>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</si>
  <si>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</si>
  <si>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</si>
  <si>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</si>
  <si>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</si>
  <si>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</si>
  <si>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</si>
  <si>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</si>
  <si>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</si>
  <si>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</si>
  <si>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</si>
  <si>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</si>
  <si>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</si>
  <si>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</si>
  <si>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</si>
  <si>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</si>
  <si>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</si>
  <si>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</si>
  <si>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</si>
  <si>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</si>
  <si>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</si>
  <si>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</si>
  <si>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</si>
  <si>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</si>
  <si>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</si>
  <si>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</si>
  <si>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</si>
  <si>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</si>
  <si>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</si>
  <si>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</si>
  <si>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</si>
  <si>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</si>
  <si>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</si>
  <si>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</si>
  <si>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</si>
  <si>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</si>
  <si>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</si>
  <si>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</si>
  <si>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</si>
  <si>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</si>
  <si>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</si>
  <si>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</si>
  <si>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</si>
  <si>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</si>
  <si>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</si>
  <si>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</si>
  <si>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</si>
  <si>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</si>
  <si>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</si>
  <si>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</si>
  <si>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</si>
  <si>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</si>
  <si>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</si>
  <si>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</si>
  <si>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</si>
  <si>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</si>
  <si>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</si>
  <si>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</si>
  <si>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</si>
  <si>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</si>
  <si>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</si>
  <si>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</si>
  <si>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</si>
  <si>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</si>
  <si>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</si>
  <si>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</si>
  <si>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</si>
  <si>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</si>
  <si>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</si>
  <si>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</si>
  <si>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</si>
  <si>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</si>
  <si>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</si>
  <si>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</si>
  <si>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</si>
  <si>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</si>
  <si>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</si>
  <si>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</si>
  <si>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</si>
  <si>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</si>
  <si>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</si>
  <si>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</si>
  <si>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</si>
  <si>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</si>
  <si>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</si>
  <si>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</si>
  <si>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</si>
  <si>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</si>
  <si>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</si>
  <si>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</si>
  <si>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</si>
  <si>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</si>
  <si>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</si>
  <si>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</si>
  <si>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</si>
  <si>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</si>
  <si>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</si>
  <si>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</si>
  <si>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</si>
  <si>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</si>
  <si>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</si>
  <si>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</si>
  <si>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</si>
  <si>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</si>
  <si>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</si>
  <si>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</si>
  <si>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</si>
  <si>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</si>
  <si>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</si>
  <si>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</si>
  <si>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</si>
  <si>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</si>
  <si>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</si>
  <si>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</si>
  <si>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</si>
  <si>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</si>
  <si>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</si>
  <si>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</si>
  <si>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</si>
  <si>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</si>
  <si>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</si>
  <si>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</si>
  <si>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</si>
  <si>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</si>
  <si>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</si>
  <si>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</si>
  <si>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</si>
  <si>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</si>
  <si>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</si>
  <si>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</si>
  <si>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</si>
  <si>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</si>
  <si>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</si>
  <si>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</si>
  <si>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</si>
  <si>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</si>
  <si>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</si>
  <si>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</si>
  <si>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</si>
  <si>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</si>
  <si>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</si>
  <si>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</si>
  <si>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</si>
  <si>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</si>
  <si>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</si>
  <si>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</si>
  <si>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</si>
  <si>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</si>
  <si>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</si>
  <si>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</si>
  <si>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</si>
  <si>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</si>
  <si>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</si>
  <si>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</si>
  <si>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</si>
  <si>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</si>
  <si>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</si>
  <si>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</si>
  <si>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</si>
  <si>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</si>
  <si>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</si>
  <si>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</si>
  <si>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</si>
  <si>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</si>
  <si>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</si>
  <si>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</si>
  <si>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</si>
  <si>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</si>
  <si>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</si>
  <si>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</si>
  <si>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</si>
  <si>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</si>
  <si>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</si>
  <si>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</si>
  <si>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</si>
  <si>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</si>
  <si>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</si>
  <si>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</si>
  <si>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</si>
  <si>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</si>
  <si>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</si>
  <si>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</si>
  <si>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</si>
  <si>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</si>
  <si>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</si>
  <si>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</si>
  <si>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</si>
  <si>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</si>
  <si>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</si>
  <si>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</si>
  <si>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</si>
  <si>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</si>
  <si>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</si>
  <si>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</si>
  <si>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</si>
  <si>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</si>
  <si>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</si>
  <si>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</si>
  <si>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</si>
  <si>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</si>
  <si>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</si>
  <si>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</si>
  <si>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</si>
  <si>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</si>
  <si>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</si>
  <si>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</si>
  <si>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</si>
  <si>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</si>
  <si>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</si>
  <si>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</si>
  <si>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</si>
  <si>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</si>
  <si>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</si>
  <si>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</si>
  <si>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</si>
  <si>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</si>
  <si>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</si>
  <si>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</si>
  <si>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</si>
  <si>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</si>
  <si>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</si>
  <si>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</si>
  <si>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</si>
  <si>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</si>
  <si>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</si>
  <si>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</si>
  <si>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</si>
  <si>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</si>
  <si>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</si>
  <si>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</si>
  <si>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</si>
  <si>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</si>
  <si>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</si>
  <si>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</si>
  <si>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</si>
  <si>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</si>
  <si>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</si>
  <si>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</si>
  <si>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</si>
  <si>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</si>
  <si>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</si>
  <si>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</si>
  <si>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</si>
  <si>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</si>
  <si>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</si>
  <si>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</si>
  <si>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</si>
  <si>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</si>
  <si>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</si>
  <si>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</si>
  <si>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</si>
  <si>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</si>
  <si>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</si>
  <si>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</si>
  <si>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</si>
  <si>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</si>
  <si>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</si>
  <si>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</si>
  <si>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</si>
  <si>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</si>
  <si>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</si>
  <si>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</si>
  <si>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</si>
  <si>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</si>
  <si>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</si>
  <si>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</si>
  <si>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</si>
  <si>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</si>
  <si>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</si>
  <si>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</si>
  <si>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</si>
  <si>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</si>
  <si>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</si>
  <si>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</si>
  <si>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</si>
  <si>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</si>
  <si>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</si>
  <si>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</si>
  <si>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</si>
  <si>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</si>
  <si>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</si>
  <si>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</si>
  <si>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</si>
  <si>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</si>
  <si>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</si>
  <si>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</si>
  <si>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</si>
  <si>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</si>
  <si>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</si>
  <si>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</si>
  <si>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</si>
  <si>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</si>
  <si>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</si>
  <si>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</si>
  <si>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</si>
  <si>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</si>
  <si>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</si>
  <si>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</si>
  <si>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</si>
  <si>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</si>
  <si>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</si>
  <si>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</si>
  <si>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</si>
  <si>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</si>
  <si>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</si>
  <si>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</si>
  <si>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</si>
  <si>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</si>
  <si>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</si>
  <si>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</si>
  <si>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</si>
  <si>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</si>
  <si>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</si>
  <si>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</si>
  <si>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</si>
  <si>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</si>
  <si>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</si>
  <si>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</si>
  <si>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</si>
  <si>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</si>
  <si>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</si>
  <si>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</si>
  <si>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</si>
  <si>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</si>
  <si>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</si>
  <si>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</si>
  <si>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</si>
  <si>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</si>
  <si>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</si>
  <si>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</si>
  <si>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</si>
  <si>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</si>
  <si>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</si>
  <si>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</si>
  <si>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</si>
  <si>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</si>
  <si>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</si>
  <si>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</si>
  <si>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</si>
  <si>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</si>
  <si>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</si>
  <si>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</si>
  <si>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</si>
  <si>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</si>
  <si>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</si>
  <si>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</si>
  <si>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</si>
  <si>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</si>
  <si>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</si>
  <si>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</si>
  <si>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</si>
  <si>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</si>
  <si>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</si>
  <si>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</si>
  <si>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</si>
  <si>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</si>
  <si>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</si>
  <si>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</si>
  <si>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</si>
  <si>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</si>
  <si>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</si>
  <si>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</si>
  <si>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</si>
  <si>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</si>
  <si>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</si>
  <si>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</si>
  <si>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</si>
  <si>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</si>
  <si>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</si>
  <si>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</si>
  <si>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</si>
  <si>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</si>
  <si>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</si>
  <si>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</si>
  <si>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</si>
  <si>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</si>
  <si>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</si>
  <si>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</si>
  <si>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</si>
  <si>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</si>
  <si>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</si>
  <si>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</si>
  <si>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</si>
  <si>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</si>
  <si>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</si>
  <si>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</si>
  <si>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</si>
  <si>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</si>
  <si>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</si>
  <si>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</si>
  <si>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</si>
  <si>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</si>
  <si>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</si>
  <si>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</si>
  <si>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</si>
  <si>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</si>
  <si>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</si>
  <si>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</si>
  <si>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</si>
  <si>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</si>
  <si>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</si>
  <si>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</si>
  <si>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</si>
  <si>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</si>
  <si>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</si>
  <si>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</si>
  <si>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</si>
  <si>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</si>
  <si>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</si>
  <si>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</si>
  <si>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</si>
  <si>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</si>
  <si>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</si>
  <si>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</si>
  <si>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</si>
  <si>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</si>
  <si>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</si>
  <si>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</si>
  <si>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</si>
  <si>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</si>
  <si>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</si>
  <si>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</si>
  <si>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</si>
  <si>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</si>
  <si>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</si>
  <si>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</si>
  <si>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</si>
  <si>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</si>
  <si>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</si>
  <si>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</si>
  <si>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</si>
  <si>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</si>
  <si>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</si>
  <si>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</si>
  <si>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</si>
  <si>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</si>
  <si>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</si>
  <si>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</si>
  <si>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</si>
  <si>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</si>
  <si>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</si>
  <si>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</si>
  <si>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</si>
  <si>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</si>
  <si>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</si>
  <si>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</si>
  <si>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</si>
  <si>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</si>
  <si>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</si>
  <si>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</si>
  <si>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</si>
  <si>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</si>
  <si>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</si>
  <si>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</si>
  <si>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</si>
  <si>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</si>
  <si>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</si>
  <si>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</si>
  <si>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</si>
  <si>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</si>
  <si>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</si>
  <si>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</si>
  <si>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</si>
  <si>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</si>
  <si>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</si>
  <si>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</si>
  <si>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</si>
  <si>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</si>
  <si>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</si>
  <si>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</si>
  <si>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</si>
  <si>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</si>
  <si>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</si>
  <si>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</si>
  <si>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</si>
  <si>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</si>
  <si>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</si>
  <si>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</si>
  <si>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</si>
  <si>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</si>
  <si>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</si>
  <si>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</si>
  <si>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</si>
  <si>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</si>
  <si>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</si>
  <si>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</si>
  <si>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</si>
  <si>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</si>
  <si>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</si>
  <si>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</si>
  <si>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</si>
  <si>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</si>
  <si>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</si>
  <si>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</si>
  <si>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</si>
  <si>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</si>
  <si>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</si>
  <si>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</si>
  <si>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</si>
  <si>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</si>
  <si>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</si>
  <si>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</si>
  <si>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</si>
  <si>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</si>
  <si>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</si>
  <si>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</si>
  <si>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</si>
  <si>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</si>
  <si>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</si>
  <si>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</si>
  <si>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</si>
  <si>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</si>
  <si>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</si>
  <si>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</si>
  <si>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</si>
  <si>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</si>
  <si>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</si>
  <si>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</si>
  <si>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</si>
  <si>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</si>
  <si>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</si>
  <si>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</si>
  <si>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</si>
  <si>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</si>
  <si>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</si>
  <si>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</si>
  <si>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</si>
  <si>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</si>
  <si>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</si>
  <si>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</si>
  <si>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</si>
  <si>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</si>
  <si>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</si>
  <si>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</si>
  <si>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</si>
  <si>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</si>
  <si>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</si>
  <si>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</si>
  <si>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</si>
  <si>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</si>
  <si>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</si>
  <si>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</si>
  <si>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</si>
  <si>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</si>
  <si>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</si>
  <si>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</si>
  <si>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</si>
  <si>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</si>
  <si>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</si>
  <si>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</si>
  <si>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</si>
  <si>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</si>
  <si>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</si>
  <si>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</si>
  <si>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</si>
  <si>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</si>
  <si>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</si>
  <si>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</si>
  <si>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</si>
  <si>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</si>
  <si>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</si>
  <si>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</si>
  <si>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</si>
  <si>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</si>
  <si>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</si>
  <si>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</si>
  <si>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</si>
  <si>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</si>
  <si>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</si>
  <si>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</si>
  <si>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</si>
  <si>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</si>
  <si>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</si>
  <si>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</si>
  <si>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</si>
  <si>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</si>
  <si>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</si>
  <si>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</si>
  <si>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</si>
  <si>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</si>
  <si>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</si>
  <si>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</si>
  <si>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</si>
  <si>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</si>
  <si>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</si>
  <si>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</si>
  <si>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</si>
  <si>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</si>
  <si>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</si>
  <si>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</si>
  <si>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</si>
  <si>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</si>
  <si>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</si>
  <si>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</si>
  <si>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</si>
  <si>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</si>
  <si>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</si>
  <si>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</si>
  <si>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</si>
  <si>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</si>
  <si>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</si>
  <si>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</si>
  <si>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</si>
  <si>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</si>
  <si>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</si>
  <si>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</si>
  <si>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</si>
  <si>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</si>
  <si>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</si>
  <si>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</si>
  <si>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</si>
  <si>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</si>
  <si>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</si>
  <si>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</si>
  <si>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</si>
  <si>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</si>
  <si>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</si>
  <si>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</si>
  <si>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</si>
  <si>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</si>
  <si>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</si>
  <si>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</si>
  <si>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</si>
  <si>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</si>
  <si>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</si>
  <si>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</si>
  <si>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</si>
  <si>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</si>
  <si>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</si>
  <si>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</si>
  <si>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</si>
  <si>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</si>
  <si>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</si>
  <si>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</si>
  <si>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</si>
  <si>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</si>
  <si>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</si>
  <si>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</si>
  <si>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</si>
  <si>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</si>
  <si>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</si>
  <si>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</si>
  <si>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</si>
  <si>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</si>
  <si>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</si>
  <si>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</si>
  <si>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</si>
  <si>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</si>
  <si>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</si>
  <si>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</si>
  <si>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</si>
  <si>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</si>
  <si>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</si>
  <si>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</si>
  <si>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</si>
  <si>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</si>
  <si>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</si>
  <si>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</si>
  <si>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</si>
  <si>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</si>
  <si>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</si>
  <si>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</si>
  <si>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</si>
  <si>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</si>
  <si>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</si>
  <si>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</si>
  <si>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</si>
  <si>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</si>
  <si>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</si>
  <si>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</si>
  <si>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</si>
  <si>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</si>
  <si>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</si>
  <si>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</si>
  <si>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</si>
  <si>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</si>
  <si>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</si>
  <si>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</si>
  <si>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</si>
  <si>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</si>
  <si>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</si>
  <si>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</si>
  <si>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</si>
  <si>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</si>
  <si>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</si>
  <si>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</si>
  <si>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</si>
  <si>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</si>
  <si>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</si>
  <si>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</si>
  <si>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</si>
  <si>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</si>
  <si>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</si>
  <si>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</si>
  <si>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</si>
  <si>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</si>
  <si>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</si>
  <si>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</si>
  <si>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</si>
  <si>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</si>
  <si>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</si>
  <si>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</si>
  <si>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</si>
  <si>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</si>
  <si>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</si>
  <si>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</si>
  <si>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</si>
  <si>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</si>
  <si>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</si>
  <si>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</si>
  <si>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</si>
  <si>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</si>
  <si>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</si>
  <si>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</si>
  <si>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</si>
  <si>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</si>
  <si>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</si>
  <si>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</si>
  <si>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</si>
  <si>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</si>
  <si>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</si>
  <si>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</si>
  <si>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</si>
  <si>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</si>
  <si>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</si>
  <si>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</si>
  <si>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</si>
  <si>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</si>
  <si>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</si>
  <si>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</si>
  <si>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</si>
  <si>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</si>
  <si>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</si>
  <si>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</si>
  <si>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</si>
  <si>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</si>
  <si>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</si>
  <si>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</si>
  <si>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</si>
  <si>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</si>
  <si>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</si>
  <si>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</si>
  <si>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</si>
  <si>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</si>
  <si>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</si>
  <si>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</si>
  <si>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</si>
  <si>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</si>
  <si>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</si>
  <si>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</si>
  <si>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</si>
  <si>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</si>
  <si>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</si>
  <si>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</si>
  <si>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</si>
  <si>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</si>
  <si>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</si>
  <si>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</si>
  <si>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</si>
  <si>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</si>
  <si>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</si>
  <si>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</si>
  <si>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</si>
  <si>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</si>
  <si>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</si>
  <si>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</si>
  <si>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</si>
  <si>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</si>
  <si>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</si>
  <si>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</si>
  <si>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</si>
  <si>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</si>
  <si>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</si>
  <si>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</si>
  <si>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</si>
  <si>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</si>
  <si>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</si>
  <si>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</si>
  <si>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</si>
  <si>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</si>
  <si>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</si>
  <si>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</si>
  <si>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</si>
  <si>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</si>
  <si>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</si>
  <si>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</si>
  <si>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</si>
  <si>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</si>
  <si>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</si>
  <si>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</si>
  <si>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</si>
  <si>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</si>
  <si>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</si>
  <si>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</si>
  <si>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</si>
  <si>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</si>
  <si>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</si>
  <si>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</si>
  <si>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</si>
  <si>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</si>
  <si>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</si>
  <si>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</si>
  <si>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</si>
  <si>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</si>
  <si>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</si>
  <si>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</si>
  <si>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</si>
  <si>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</si>
  <si>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</si>
  <si>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</si>
  <si>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</si>
  <si>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</si>
  <si>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</si>
  <si>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</si>
  <si>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</si>
  <si>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</si>
  <si>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</si>
  <si>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</si>
  <si>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</si>
  <si>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</si>
  <si>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</si>
  <si>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</si>
  <si>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</si>
  <si>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</si>
  <si>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</si>
  <si>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</si>
  <si>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</si>
  <si>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</si>
  <si>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</si>
  <si>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</si>
  <si>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</si>
  <si>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</si>
  <si>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</si>
  <si>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</si>
  <si>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</si>
  <si>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</si>
  <si>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</si>
  <si>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</si>
  <si>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</si>
  <si>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</si>
  <si>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</si>
  <si>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</si>
  <si>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</si>
  <si>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</si>
  <si>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</si>
  <si>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</si>
  <si>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</si>
  <si>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</si>
  <si>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</si>
  <si>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</si>
  <si>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</si>
  <si>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</si>
  <si>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</si>
  <si>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</si>
  <si>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</si>
  <si>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</si>
  <si>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</si>
  <si>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</si>
  <si>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</si>
  <si>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</si>
  <si>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</si>
  <si>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</si>
  <si>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</si>
  <si>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</si>
  <si>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</si>
  <si>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</si>
  <si>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</si>
  <si>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</si>
  <si>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</si>
  <si>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</si>
  <si>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</si>
  <si>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</si>
  <si>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</si>
  <si>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</si>
  <si>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</si>
  <si>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</si>
  <si>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</si>
  <si>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</si>
  <si>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</si>
  <si>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</si>
  <si>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</si>
  <si>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</si>
  <si>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</si>
  <si>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</si>
  <si>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</si>
  <si>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</si>
  <si>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</si>
  <si>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</si>
  <si>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</si>
  <si>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</si>
  <si>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</si>
  <si>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</si>
  <si>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</si>
  <si>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</si>
  <si>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</si>
  <si>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</si>
  <si>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</si>
  <si>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</si>
  <si>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</si>
  <si>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</si>
  <si>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</si>
  <si>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</si>
  <si>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</si>
  <si>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</si>
  <si>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</si>
  <si>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</si>
  <si>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</si>
  <si>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</si>
  <si>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</si>
  <si>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</si>
  <si>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</si>
  <si>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</si>
  <si>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</si>
  <si>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</si>
  <si>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</si>
  <si>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</si>
  <si>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</si>
  <si>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</si>
  <si>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</si>
  <si>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</si>
  <si>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</si>
  <si>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</si>
  <si>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</si>
  <si>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</si>
  <si>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</si>
  <si>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</si>
  <si>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</si>
  <si>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</si>
  <si>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</si>
  <si>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</si>
  <si>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</si>
  <si>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</si>
  <si>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</si>
  <si>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</si>
  <si>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</si>
  <si>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</si>
  <si>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</si>
  <si>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</si>
  <si>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</si>
  <si>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</si>
  <si>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</si>
  <si>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</si>
  <si>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</si>
  <si>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</si>
  <si>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</si>
  <si>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</si>
  <si>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</si>
  <si>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</si>
  <si>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</si>
  <si>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</si>
  <si>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</si>
  <si>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</si>
  <si>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</si>
  <si>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</si>
  <si>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</si>
  <si>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</si>
  <si>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</si>
  <si>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</si>
  <si>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</si>
  <si>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</si>
  <si>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</si>
  <si>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</si>
  <si>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</si>
  <si>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</si>
  <si>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</si>
  <si>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</si>
  <si>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</si>
  <si>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</si>
  <si>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</si>
  <si>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</si>
  <si>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</si>
  <si>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</si>
  <si>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</si>
  <si>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</si>
  <si>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</si>
  <si>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</si>
  <si>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</si>
  <si>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</si>
  <si>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</si>
  <si>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</si>
  <si>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</si>
  <si>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</si>
  <si>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</si>
  <si>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</si>
  <si>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</si>
  <si>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</si>
  <si>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</si>
  <si>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</si>
  <si>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</si>
  <si>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</si>
  <si>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</si>
  <si>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</si>
  <si>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</si>
  <si>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</si>
  <si>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</si>
  <si>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</si>
  <si>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</si>
  <si>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</si>
  <si>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</si>
  <si>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</si>
  <si>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</si>
  <si>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</si>
  <si>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</si>
  <si>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</si>
  <si>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</si>
  <si>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</si>
  <si>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</si>
  <si>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</si>
  <si>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</si>
  <si>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</si>
  <si>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</si>
  <si>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</si>
  <si>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</si>
  <si>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</si>
  <si>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</si>
  <si>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</si>
  <si>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</si>
  <si>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</si>
  <si>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</si>
  <si>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</si>
  <si>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</si>
  <si>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</si>
  <si>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</si>
  <si>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</si>
  <si>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</si>
  <si>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</si>
  <si>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</si>
  <si>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</si>
  <si>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</si>
  <si>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</si>
  <si>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</si>
  <si>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</si>
  <si>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</si>
  <si>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</si>
  <si>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</si>
  <si>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</si>
  <si>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</si>
  <si>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</si>
  <si>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</si>
  <si>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</si>
  <si>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</si>
  <si>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</si>
  <si>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</si>
  <si>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</si>
  <si>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</si>
  <si>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</si>
  <si>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</si>
  <si>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</si>
  <si>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</si>
  <si>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</si>
  <si>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</si>
  <si>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</si>
  <si>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</si>
  <si>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</si>
  <si>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</si>
  <si>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</si>
  <si>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</si>
  <si>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</si>
  <si>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</si>
  <si>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</si>
  <si>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</si>
  <si>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</si>
  <si>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</si>
  <si>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</si>
  <si>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</si>
  <si>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</si>
  <si>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</si>
  <si>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</si>
  <si>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</si>
  <si>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</si>
  <si>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</si>
  <si>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</si>
  <si>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</si>
  <si>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</si>
  <si>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</si>
  <si>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</si>
  <si>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</si>
  <si>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</si>
  <si>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</si>
  <si>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</si>
  <si>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</si>
  <si>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</si>
  <si>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</si>
  <si>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</si>
  <si>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</si>
  <si>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</si>
  <si>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</si>
  <si>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</si>
  <si>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</si>
  <si>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</si>
  <si>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</si>
  <si>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</si>
  <si>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</si>
  <si>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</si>
  <si>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</si>
  <si>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</si>
  <si>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</si>
  <si>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</si>
  <si>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</si>
  <si>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</si>
  <si>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</si>
  <si>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</si>
  <si>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</si>
  <si>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</si>
  <si>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</si>
  <si>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</si>
  <si>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</si>
  <si>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</si>
  <si>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</si>
  <si>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</si>
  <si>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</si>
  <si>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</si>
  <si>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</si>
  <si>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</si>
  <si>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</si>
  <si>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</si>
  <si>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</si>
  <si>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</si>
  <si>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</si>
  <si>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</si>
  <si>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</si>
  <si>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</si>
  <si>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</si>
  <si>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</si>
  <si>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</si>
  <si>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</si>
  <si>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</si>
  <si>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</si>
  <si>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</si>
  <si>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</si>
  <si>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</si>
  <si>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</si>
  <si>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</si>
  <si>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</si>
  <si>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</si>
  <si>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</si>
  <si>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</si>
  <si>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</si>
  <si>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</si>
  <si>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</si>
  <si>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</si>
  <si>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</si>
  <si>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</si>
  <si>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</si>
  <si>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</si>
  <si>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</si>
  <si>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</si>
  <si>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</si>
  <si>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</si>
  <si>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</si>
  <si>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</si>
  <si>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</si>
  <si>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</si>
  <si>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</si>
  <si>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</si>
  <si>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</si>
  <si>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</si>
  <si>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</si>
  <si>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</si>
  <si>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</si>
  <si>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</si>
  <si>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</si>
  <si>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</si>
  <si>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</si>
  <si>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</si>
  <si>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</si>
  <si>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</si>
  <si>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</si>
  <si>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</si>
  <si>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</si>
  <si>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</si>
  <si>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</si>
  <si>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</si>
  <si>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</si>
  <si>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</si>
  <si>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</si>
  <si>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</si>
  <si>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</si>
  <si>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</si>
  <si>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</si>
  <si>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</si>
  <si>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</si>
  <si>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</si>
  <si>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</si>
  <si>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</si>
  <si>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</si>
  <si>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</si>
  <si>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</si>
  <si>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</si>
  <si>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</si>
  <si>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</si>
  <si>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</si>
  <si>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</si>
  <si>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</si>
  <si>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</si>
  <si>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</si>
  <si>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</si>
  <si>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</si>
  <si>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</si>
  <si>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</si>
  <si>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</si>
  <si>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</si>
  <si>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</si>
  <si>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</si>
  <si>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</si>
  <si>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</si>
  <si>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</si>
  <si>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</si>
  <si>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</si>
  <si>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</si>
  <si>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</si>
  <si>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</si>
  <si>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</si>
  <si>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</si>
  <si>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</si>
  <si>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</si>
  <si>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</si>
  <si>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</si>
  <si>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</si>
  <si>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</si>
  <si>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</si>
  <si>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</si>
  <si>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</si>
  <si>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</si>
  <si>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</si>
  <si>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</si>
  <si>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</si>
  <si>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</si>
  <si>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</si>
  <si>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</si>
  <si>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</si>
  <si>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</si>
  <si>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</si>
  <si>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</si>
  <si>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</si>
  <si>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</si>
  <si>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</si>
  <si>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</si>
  <si>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</si>
  <si>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</si>
  <si>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</si>
  <si>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</si>
  <si>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</si>
  <si>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</si>
  <si>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</si>
  <si>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</si>
  <si>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</si>
  <si>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</si>
  <si>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</si>
  <si>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</si>
  <si>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</si>
  <si>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</si>
  <si>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</si>
  <si>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</si>
  <si>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</si>
  <si>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</si>
  <si>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</si>
  <si>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</si>
  <si>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</si>
  <si>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</si>
  <si>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</si>
  <si>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</si>
  <si>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</si>
  <si>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</si>
  <si>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</si>
  <si>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</si>
  <si>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</si>
  <si>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</si>
  <si>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</si>
  <si>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</si>
  <si>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</si>
  <si>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</si>
  <si>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</si>
  <si>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</si>
  <si>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</si>
  <si>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</si>
  <si>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</si>
  <si>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</si>
  <si>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</si>
  <si>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</si>
  <si>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</si>
  <si>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</si>
  <si>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</si>
  <si>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</si>
  <si>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</si>
  <si>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</si>
  <si>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</si>
  <si>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</si>
  <si>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</si>
  <si>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</si>
  <si>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</si>
  <si>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</si>
  <si>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</si>
  <si>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</si>
  <si>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</si>
  <si>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</si>
  <si>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</si>
  <si>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</si>
  <si>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</si>
  <si>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</si>
  <si>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</si>
  <si>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</si>
  <si>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</si>
  <si>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</si>
  <si>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</si>
  <si>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</si>
  <si>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</si>
  <si>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</si>
  <si>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</si>
  <si>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</si>
  <si>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</si>
  <si>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</si>
  <si>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</si>
  <si>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</si>
  <si>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</si>
  <si>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</si>
  <si>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</si>
  <si>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</si>
  <si>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</si>
  <si>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</si>
  <si>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</si>
  <si>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</si>
  <si>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</si>
  <si>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</si>
  <si>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</si>
  <si>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</si>
  <si>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</si>
  <si>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</si>
  <si>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</si>
  <si>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</si>
  <si>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</si>
  <si>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</si>
  <si>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</si>
  <si>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</si>
  <si>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</si>
  <si>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</si>
  <si>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</si>
  <si>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</si>
  <si>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</si>
  <si>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</si>
  <si>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</si>
  <si>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</si>
  <si>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</si>
  <si>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</si>
  <si>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</si>
  <si>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</si>
  <si>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</si>
  <si>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</si>
  <si>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</si>
  <si>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</si>
  <si>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</si>
  <si>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</si>
  <si>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</si>
  <si>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</si>
  <si>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</si>
  <si>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</si>
  <si>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</si>
  <si>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</si>
  <si>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</si>
  <si>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</si>
  <si>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</si>
  <si>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</si>
  <si>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</si>
  <si>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</si>
  <si>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</si>
  <si>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</si>
  <si>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</si>
  <si>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</si>
  <si>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</si>
  <si>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</si>
  <si>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</si>
  <si>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</si>
  <si>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</si>
  <si>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</si>
  <si>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</si>
  <si>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</si>
  <si>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</si>
  <si>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</si>
  <si>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</si>
  <si>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</si>
  <si>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</si>
  <si>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</si>
  <si>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</si>
  <si>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</si>
  <si>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</si>
  <si>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</si>
  <si>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</si>
  <si>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</si>
  <si>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</si>
  <si>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</si>
  <si>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</si>
  <si>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</si>
  <si>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</si>
  <si>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</si>
  <si>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</si>
  <si>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</si>
  <si>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</si>
  <si>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</si>
  <si>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</si>
  <si>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</si>
  <si>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</si>
  <si>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</si>
  <si>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</si>
  <si>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</si>
  <si>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</si>
  <si>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</si>
  <si>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</si>
  <si>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</si>
  <si>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</si>
  <si>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</si>
  <si>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</si>
  <si>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</si>
  <si>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</si>
  <si>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</si>
  <si>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</si>
  <si>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</si>
  <si>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</si>
  <si>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</si>
  <si>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</si>
  <si>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</si>
  <si>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</si>
  <si>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</si>
  <si>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</si>
  <si>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</si>
  <si>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</si>
  <si>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</si>
  <si>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</si>
  <si>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</si>
  <si>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</si>
  <si>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</si>
  <si>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</si>
  <si>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</si>
  <si>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</si>
  <si>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</si>
  <si>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</si>
  <si>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</si>
  <si>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</si>
  <si>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</si>
  <si>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</si>
  <si>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</si>
  <si>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</si>
  <si>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</si>
  <si>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</si>
  <si>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</si>
  <si>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</si>
  <si>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</si>
  <si>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</si>
  <si>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</si>
  <si>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</si>
  <si>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</si>
  <si>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</si>
  <si>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</si>
  <si>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</si>
  <si>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</si>
  <si>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</si>
  <si>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</si>
  <si>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</si>
  <si>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</si>
  <si>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</si>
  <si>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</si>
  <si>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</si>
  <si>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</si>
  <si>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</si>
  <si>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</si>
  <si>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</si>
  <si>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</si>
  <si>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</si>
  <si>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</si>
  <si>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</si>
  <si>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</si>
  <si>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</si>
  <si>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</si>
  <si>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</si>
  <si>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</si>
  <si>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</si>
  <si>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</si>
  <si>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</si>
  <si>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</si>
  <si>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</si>
  <si>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</si>
  <si>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</si>
  <si>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</si>
  <si>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</si>
  <si>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</si>
  <si>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</si>
  <si>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</si>
  <si>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</si>
  <si>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</si>
  <si>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</si>
  <si>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</si>
  <si>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</si>
  <si>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</si>
  <si>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</si>
  <si>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</si>
  <si>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</si>
  <si>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</si>
  <si>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</si>
  <si>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</si>
  <si>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</si>
  <si>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</si>
  <si>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</si>
  <si>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</si>
  <si>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</si>
  <si>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</si>
  <si>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</si>
  <si>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</si>
  <si>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</si>
  <si>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</si>
  <si>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</si>
  <si>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</si>
  <si>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</si>
  <si>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</si>
  <si>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</si>
  <si>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</si>
  <si>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</si>
  <si>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</si>
  <si>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</si>
  <si>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</si>
  <si>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</si>
  <si>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</si>
  <si>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</si>
  <si>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</si>
  <si>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</si>
  <si>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</si>
  <si>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</si>
  <si>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</si>
  <si>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</si>
  <si>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</si>
  <si>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</si>
  <si>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</si>
  <si>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</si>
  <si>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</si>
  <si>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</si>
  <si>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</si>
  <si>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</si>
  <si>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</si>
  <si>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</si>
  <si>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</si>
  <si>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</si>
  <si>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</si>
  <si>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</si>
  <si>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</si>
  <si>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</si>
  <si>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</si>
  <si>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</si>
  <si>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</si>
  <si>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</si>
  <si>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</si>
  <si>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</si>
  <si>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</si>
  <si>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</si>
  <si>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</si>
  <si>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</si>
  <si>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</si>
  <si>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</si>
  <si>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</si>
  <si>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</si>
  <si>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</si>
  <si>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</si>
  <si>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</si>
  <si>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</si>
  <si>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</si>
  <si>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</si>
  <si>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</si>
  <si>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</si>
  <si>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</si>
  <si>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</si>
  <si>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</si>
  <si>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</si>
  <si>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</si>
  <si>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</si>
  <si>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</si>
  <si>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</si>
  <si>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</si>
  <si>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</si>
  <si>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</si>
  <si>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</si>
  <si>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</si>
  <si>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</si>
  <si>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</si>
  <si>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</si>
  <si>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</si>
  <si>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</si>
  <si>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</si>
  <si>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</si>
  <si>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</si>
  <si>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</si>
  <si>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</si>
  <si>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</si>
  <si>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</si>
  <si>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</si>
  <si>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</si>
  <si>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</si>
  <si>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</si>
  <si>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</si>
  <si>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</si>
  <si>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</si>
  <si>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</si>
  <si>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</si>
  <si>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</si>
  <si>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</si>
  <si>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</si>
  <si>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</si>
  <si>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</si>
  <si>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</si>
  <si>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</si>
  <si>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</si>
  <si>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</si>
  <si>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</si>
  <si>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</si>
  <si>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</si>
  <si>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</si>
  <si>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</si>
  <si>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</si>
  <si>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</si>
  <si>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</si>
  <si>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</si>
  <si>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</si>
  <si>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</si>
  <si>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</si>
  <si>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</si>
  <si>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</si>
  <si>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</si>
  <si>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</si>
  <si>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</si>
  <si>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</si>
  <si>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</si>
  <si>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</si>
  <si>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</si>
  <si>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</si>
  <si>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</si>
  <si>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</si>
  <si>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</si>
  <si>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</si>
  <si>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</si>
  <si>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</si>
  <si>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</si>
  <si>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</si>
  <si>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</si>
  <si>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</si>
  <si>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</si>
  <si>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</si>
  <si>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</si>
  <si>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</si>
  <si>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</si>
  <si>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</si>
  <si>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</si>
  <si>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</si>
  <si>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</si>
  <si>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</si>
  <si>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</si>
  <si>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</si>
  <si>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</si>
  <si>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</si>
  <si>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</si>
  <si>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</si>
  <si>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</si>
  <si>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</si>
  <si>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</si>
  <si>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</si>
  <si>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</si>
  <si>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</si>
  <si>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</si>
  <si>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</si>
  <si>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</si>
  <si>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</si>
  <si>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</si>
  <si>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</si>
  <si>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</si>
  <si>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</si>
  <si>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</si>
  <si>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</si>
  <si>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</si>
  <si>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</si>
  <si>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</si>
  <si>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</si>
  <si>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</si>
  <si>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</si>
  <si>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</si>
  <si>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</si>
  <si>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</si>
  <si>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</si>
  <si>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</si>
  <si>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</si>
  <si>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</si>
  <si>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</si>
  <si>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</si>
  <si>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</si>
  <si>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</si>
  <si>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</si>
  <si>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</si>
  <si>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</si>
  <si>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</si>
  <si>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</si>
  <si>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</si>
  <si>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</si>
  <si>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</si>
  <si>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</si>
  <si>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</si>
  <si>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</si>
  <si>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</si>
  <si>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</si>
  <si>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</si>
  <si>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</si>
  <si>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</si>
  <si>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</si>
  <si>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</si>
  <si>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</si>
  <si>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</si>
  <si>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</si>
  <si>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</si>
  <si>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</si>
  <si>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</si>
  <si>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</si>
  <si>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</si>
  <si>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</si>
  <si>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</si>
  <si>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</si>
  <si>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</si>
  <si>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</si>
  <si>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</si>
  <si>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</si>
  <si>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</si>
  <si>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</si>
  <si>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</si>
  <si>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</si>
  <si>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</si>
  <si>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</si>
  <si>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</si>
  <si>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</si>
  <si>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</si>
  <si>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</si>
  <si>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</si>
  <si>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</si>
  <si>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</si>
  <si>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</si>
  <si>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</si>
  <si>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</si>
  <si>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</si>
  <si>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</si>
  <si>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</si>
  <si>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</si>
  <si>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</si>
  <si>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</si>
  <si>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</si>
  <si>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</si>
  <si>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</si>
  <si>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</si>
  <si>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</si>
  <si>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</si>
  <si>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</si>
  <si>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</si>
  <si>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</si>
  <si>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</si>
  <si>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</si>
  <si>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</si>
  <si>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</si>
  <si>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</si>
  <si>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</si>
  <si>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</si>
  <si>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</si>
  <si>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</si>
  <si>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</si>
  <si>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</si>
  <si>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</si>
  <si>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</si>
  <si>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</si>
  <si>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</si>
  <si>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</si>
  <si>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</si>
  <si>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</si>
  <si>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</si>
  <si>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</si>
  <si>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</si>
  <si>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</si>
  <si>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</si>
  <si>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</si>
  <si>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</si>
  <si>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</si>
  <si>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</si>
  <si>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</si>
  <si>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</si>
  <si>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</si>
  <si>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</si>
  <si>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</si>
  <si>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</si>
  <si>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</si>
  <si>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</si>
  <si>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</si>
  <si>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</si>
  <si>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</si>
  <si>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</si>
  <si>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</si>
  <si>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</si>
  <si>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</si>
  <si>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</si>
  <si>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</si>
  <si>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</si>
  <si>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</si>
  <si>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</si>
  <si>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</si>
  <si>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</si>
  <si>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</si>
  <si>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</si>
  <si>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</si>
  <si>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</si>
  <si>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</si>
  <si>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</si>
  <si>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</si>
  <si>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</si>
  <si>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</si>
  <si>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</si>
  <si>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</si>
  <si>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</si>
  <si>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</si>
  <si>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</si>
  <si>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</si>
  <si>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</si>
  <si>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</si>
  <si>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</si>
  <si>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</si>
  <si>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</si>
  <si>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</si>
  <si>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</si>
  <si>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</si>
  <si>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</si>
  <si>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</si>
  <si>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</si>
  <si>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</si>
  <si>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</si>
  <si>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</si>
  <si>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</si>
  <si>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</si>
  <si>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</si>
  <si>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</si>
  <si>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</si>
  <si>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</si>
  <si>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</si>
  <si>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</si>
  <si>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</si>
  <si>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</si>
  <si>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</si>
  <si>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</si>
  <si>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</si>
  <si>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</si>
  <si>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</si>
  <si>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</si>
  <si>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</si>
  <si>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</si>
  <si>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</si>
  <si>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</si>
  <si>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</si>
  <si>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</si>
  <si>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</si>
  <si>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</si>
  <si>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</si>
  <si>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</si>
  <si>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</si>
  <si>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</si>
  <si>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</si>
  <si>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</si>
  <si>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</si>
  <si>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</si>
  <si>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</si>
  <si>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</si>
  <si>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</si>
  <si>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</si>
  <si>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</si>
  <si>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</si>
  <si>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</si>
  <si>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</si>
  <si>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</si>
  <si>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</si>
  <si>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</si>
  <si>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</si>
  <si>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</si>
  <si>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</si>
  <si>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</si>
  <si>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</si>
  <si>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</si>
  <si>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</si>
  <si>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</si>
  <si>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</si>
  <si>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</si>
  <si>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</si>
  <si>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</si>
  <si>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</si>
  <si>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</si>
  <si>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</si>
  <si>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</si>
  <si>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</si>
  <si>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</si>
  <si>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</si>
  <si>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</si>
  <si>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</si>
  <si>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</si>
  <si>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</si>
  <si>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</si>
  <si>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</si>
  <si>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</si>
  <si>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</si>
  <si>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</si>
  <si>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</si>
  <si>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</si>
  <si>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</si>
  <si>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</si>
  <si>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</si>
  <si>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</si>
  <si>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</si>
  <si>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</si>
  <si>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</si>
  <si>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</si>
  <si>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</si>
  <si>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</si>
  <si>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</si>
  <si>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</si>
  <si>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</si>
  <si>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</si>
  <si>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</si>
  <si>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</si>
  <si>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</si>
  <si>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</si>
  <si>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</si>
  <si>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</si>
  <si>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</si>
  <si>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</si>
  <si>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</si>
  <si>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</si>
  <si>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</si>
  <si>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</si>
  <si>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</si>
  <si>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</si>
  <si>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</si>
  <si>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</si>
  <si>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</si>
  <si>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</si>
  <si>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</si>
  <si>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</si>
  <si>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</si>
  <si>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</si>
  <si>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</si>
  <si>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</si>
  <si>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</si>
  <si>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</si>
  <si>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</si>
  <si>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</si>
  <si>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</si>
  <si>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</si>
  <si>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</si>
  <si>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</si>
  <si>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</si>
  <si>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</si>
  <si>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</si>
  <si>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</si>
  <si>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</si>
  <si>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</si>
  <si>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</si>
  <si>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</si>
  <si>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</si>
  <si>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</si>
  <si>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</si>
  <si>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</si>
  <si>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</si>
  <si>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</si>
  <si>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</si>
  <si>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</si>
  <si>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</si>
  <si>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</si>
  <si>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</si>
  <si>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</si>
  <si>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</si>
  <si>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</si>
  <si>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</si>
  <si>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</si>
  <si>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</si>
  <si>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</si>
  <si>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</si>
  <si>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</si>
  <si>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</si>
  <si>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</si>
  <si>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</si>
  <si>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</si>
  <si>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</si>
  <si>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</si>
  <si>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</si>
  <si>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</si>
  <si>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</si>
  <si>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</si>
  <si>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</si>
  <si>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</si>
  <si>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</si>
  <si>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</si>
  <si>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</si>
  <si>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</si>
  <si>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</si>
  <si>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</si>
  <si>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</si>
  <si>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</si>
  <si>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</si>
  <si>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</si>
  <si>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</si>
  <si>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</si>
  <si>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</si>
  <si>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</si>
  <si>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</si>
  <si>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</si>
  <si>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</si>
  <si>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</si>
  <si>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</si>
  <si>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</si>
  <si>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</si>
  <si>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</si>
  <si>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</si>
  <si>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</si>
  <si>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</si>
  <si>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</si>
  <si>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</si>
  <si>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</si>
  <si>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</si>
  <si>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</si>
  <si>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</si>
  <si>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</si>
  <si>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</si>
  <si>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</si>
  <si>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</si>
  <si>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</si>
  <si>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</si>
  <si>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</si>
  <si>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</si>
  <si>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</si>
  <si>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</si>
  <si>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</si>
  <si>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</si>
  <si>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</si>
  <si>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</si>
  <si>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</si>
  <si>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</si>
  <si>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</si>
  <si>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</si>
  <si>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</si>
  <si>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</si>
  <si>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</si>
  <si>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</si>
  <si>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</si>
  <si>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</si>
  <si>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</si>
  <si>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</si>
  <si>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</si>
  <si>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</si>
  <si>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</si>
  <si>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</si>
  <si>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</si>
  <si>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</si>
  <si>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</si>
  <si>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</si>
  <si>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</si>
  <si>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</si>
  <si>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</si>
  <si>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</si>
  <si>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</si>
  <si>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</si>
  <si>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</si>
  <si>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</si>
  <si>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</si>
  <si>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</si>
  <si>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</si>
  <si>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</si>
  <si>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</si>
  <si>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</si>
  <si>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</si>
  <si>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</si>
  <si>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</si>
  <si>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</si>
  <si>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</si>
  <si>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</si>
  <si>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</si>
  <si>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</si>
  <si>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</si>
  <si>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</si>
  <si>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</si>
  <si>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</si>
  <si>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</si>
  <si>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</si>
  <si>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</si>
  <si>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</si>
  <si>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</si>
  <si>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</si>
  <si>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</si>
  <si>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</si>
  <si>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</si>
  <si>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</si>
  <si>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</si>
  <si>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</si>
  <si>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</si>
  <si>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</si>
  <si>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</si>
  <si>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</si>
  <si>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</si>
  <si>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</si>
  <si>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</si>
  <si>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</si>
  <si>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</si>
  <si>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</si>
  <si>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</si>
  <si>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</si>
  <si>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</si>
  <si>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</si>
  <si>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</si>
  <si>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</si>
  <si>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</si>
  <si>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</si>
  <si>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</si>
  <si>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</si>
  <si>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</si>
  <si>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</si>
  <si>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</si>
  <si>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</si>
  <si>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</si>
  <si>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</si>
  <si>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</si>
  <si>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</si>
  <si>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</si>
  <si>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</si>
  <si>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</si>
  <si>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</si>
  <si>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</si>
  <si>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</si>
  <si>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</si>
  <si>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</si>
  <si>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</si>
  <si>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</si>
  <si>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</si>
  <si>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</si>
  <si>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</si>
  <si>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</si>
  <si>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</si>
  <si>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</si>
  <si>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</si>
  <si>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</si>
  <si>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</si>
  <si>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</si>
  <si>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</si>
  <si>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</si>
  <si>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</si>
  <si>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</si>
  <si>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</si>
  <si>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</si>
  <si>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</si>
  <si>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</si>
  <si>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</si>
  <si>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</si>
  <si>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</si>
  <si>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</si>
  <si>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</si>
  <si>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</si>
  <si>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</si>
  <si>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</si>
  <si>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</si>
  <si>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</si>
  <si>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</si>
  <si>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</si>
  <si>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</si>
  <si>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</si>
  <si>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</si>
  <si>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</si>
  <si>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</si>
  <si>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</si>
  <si>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</si>
  <si>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</si>
  <si>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</si>
  <si>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</si>
  <si>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</si>
  <si>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</si>
  <si>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</si>
  <si>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</si>
  <si>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</si>
  <si>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</si>
  <si>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</si>
  <si>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</si>
  <si>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</si>
  <si>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</si>
  <si>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</si>
  <si>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</si>
  <si>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</si>
  <si>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</si>
  <si>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</si>
  <si>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</si>
  <si>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</si>
  <si>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</si>
  <si>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</si>
  <si>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</si>
  <si>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</si>
  <si>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</si>
  <si>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</si>
  <si>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</si>
  <si>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</si>
  <si>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</si>
  <si>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</si>
  <si>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</si>
  <si>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</si>
  <si>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</si>
  <si>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</si>
  <si>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</si>
  <si>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</si>
  <si>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</si>
  <si>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</si>
  <si>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</si>
  <si>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</si>
  <si>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</si>
  <si>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</si>
  <si>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</si>
  <si>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</si>
  <si>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</si>
  <si>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</si>
  <si>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</si>
  <si>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</si>
  <si>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</si>
  <si>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</si>
  <si>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</si>
  <si>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</si>
  <si>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</si>
  <si>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</si>
  <si>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</si>
  <si>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</si>
  <si>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</si>
  <si>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</si>
  <si>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</si>
  <si>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</si>
  <si>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</si>
  <si>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</si>
  <si>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</si>
  <si>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</si>
  <si>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</si>
  <si>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</si>
  <si>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</si>
  <si>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</si>
  <si>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</si>
  <si>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</si>
  <si>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</si>
  <si>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</si>
  <si>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</si>
  <si>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</si>
  <si>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</si>
  <si>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</si>
  <si>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</si>
  <si>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</si>
  <si>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</si>
  <si>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</si>
  <si>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</si>
  <si>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</si>
  <si>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</si>
  <si>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</si>
  <si>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</si>
  <si>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</si>
  <si>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</si>
  <si>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</si>
  <si>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</si>
  <si>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</si>
  <si>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</si>
  <si>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</si>
  <si>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</si>
  <si>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</si>
  <si>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</si>
  <si>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</si>
  <si>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</si>
  <si>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</si>
  <si>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</si>
  <si>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</si>
  <si>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</si>
  <si>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</si>
  <si>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</si>
  <si>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</si>
  <si>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</si>
  <si>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</si>
  <si>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</si>
  <si>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</si>
  <si>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</si>
  <si>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</si>
  <si>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</si>
  <si>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</si>
  <si>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</si>
  <si>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</si>
  <si>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</si>
  <si>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</si>
  <si>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</si>
  <si>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</si>
  <si>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</si>
  <si>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</si>
  <si>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</si>
  <si>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</si>
  <si>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</si>
  <si>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</si>
  <si>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</si>
  <si>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</si>
  <si>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</si>
  <si>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</si>
  <si>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</si>
  <si>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</si>
  <si>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</si>
  <si>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</si>
  <si>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</si>
  <si>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</si>
  <si>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</si>
  <si>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</si>
  <si>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</si>
  <si>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</si>
  <si>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</si>
  <si>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</si>
  <si>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</si>
  <si>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</si>
  <si>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</si>
  <si>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</si>
  <si>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</si>
  <si>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</si>
  <si>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</si>
  <si>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</si>
  <si>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</si>
  <si>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</si>
  <si>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</si>
  <si>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</si>
  <si>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</si>
  <si>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</si>
  <si>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</si>
  <si>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</si>
  <si>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</si>
  <si>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</si>
  <si>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</si>
  <si>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</si>
  <si>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</si>
  <si>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</si>
  <si>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</si>
  <si>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</si>
  <si>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</si>
  <si>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</si>
  <si>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</si>
  <si>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</si>
  <si>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</si>
  <si>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</si>
  <si>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</si>
  <si>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</si>
  <si>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</si>
  <si>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</si>
  <si>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</si>
  <si>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</si>
  <si>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</si>
  <si>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</si>
  <si>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</si>
  <si>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</si>
  <si>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</si>
  <si>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</si>
  <si>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</si>
  <si>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</si>
  <si>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</si>
  <si>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</si>
  <si>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</si>
  <si>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</si>
  <si>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</si>
  <si>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</si>
  <si>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</si>
  <si>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</si>
  <si>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</si>
  <si>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</si>
  <si>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</si>
  <si>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</si>
  <si>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</si>
  <si>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</si>
  <si>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</si>
  <si>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</si>
  <si>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</si>
  <si>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</si>
  <si>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</si>
  <si>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</si>
  <si>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</si>
  <si>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</si>
  <si>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</si>
  <si>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</si>
  <si>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</si>
  <si>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</si>
  <si>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</si>
  <si>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</si>
  <si>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</si>
  <si>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</si>
  <si>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</si>
  <si>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</si>
  <si>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</si>
  <si>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</si>
  <si>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</si>
  <si>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</si>
  <si>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</si>
  <si>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</si>
  <si>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</si>
  <si>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</si>
  <si>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</si>
  <si>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</si>
  <si>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</si>
  <si>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</si>
  <si>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</si>
  <si>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</si>
  <si>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</si>
  <si>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</si>
  <si>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</si>
  <si>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</si>
  <si>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</si>
  <si>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</si>
  <si>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</si>
  <si>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</si>
  <si>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</si>
  <si>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</si>
  <si>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</si>
  <si>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</si>
  <si>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</si>
  <si>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</si>
  <si>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</si>
  <si>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</si>
  <si>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</si>
  <si>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</si>
  <si>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</si>
  <si>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</si>
  <si>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</si>
  <si>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</si>
  <si>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</si>
  <si>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</si>
  <si>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</si>
  <si>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</si>
  <si>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</si>
  <si>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</si>
  <si>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</si>
  <si>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</si>
  <si>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</si>
  <si>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</si>
  <si>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</si>
  <si>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</si>
  <si>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</si>
  <si>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</si>
  <si>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</si>
  <si>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</si>
  <si>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</si>
  <si>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</si>
  <si>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</si>
  <si>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</si>
  <si>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</si>
  <si>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</si>
  <si>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</si>
  <si>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</si>
  <si>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</si>
  <si>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</si>
  <si>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</si>
  <si>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</si>
  <si>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</si>
  <si>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</si>
  <si>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</si>
  <si>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</si>
  <si>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</si>
  <si>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</si>
  <si>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</si>
  <si>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</si>
  <si>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</si>
  <si>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</si>
  <si>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</si>
  <si>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</si>
  <si>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</si>
  <si>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</si>
  <si>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</si>
  <si>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</si>
  <si>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</si>
  <si>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</si>
  <si>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</si>
  <si>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</si>
  <si>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</si>
  <si>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</si>
  <si>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</si>
  <si>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</si>
  <si>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</si>
  <si>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</si>
  <si>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</si>
  <si>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</si>
  <si>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</si>
  <si>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</si>
  <si>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</si>
  <si>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</si>
  <si>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</si>
  <si>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</si>
  <si>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</si>
  <si>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</si>
  <si>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</si>
  <si>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</si>
  <si>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</si>
  <si>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</si>
  <si>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</si>
  <si>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</si>
  <si>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</si>
  <si>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</si>
  <si>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</si>
  <si>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</si>
  <si>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</si>
  <si>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</si>
  <si>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</si>
  <si>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</si>
  <si>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</si>
  <si>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</si>
  <si>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</si>
  <si>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</si>
  <si>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</si>
  <si>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</si>
  <si>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</si>
  <si>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</si>
  <si>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</si>
  <si>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</si>
  <si>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</si>
  <si>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</si>
  <si>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</si>
  <si>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</si>
  <si>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</si>
  <si>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</si>
  <si>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</si>
  <si>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</si>
  <si>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</si>
  <si>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</si>
  <si>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</si>
  <si>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</si>
  <si>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</si>
  <si>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</si>
  <si>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</si>
  <si>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</si>
  <si>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</si>
  <si>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</si>
  <si>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</si>
  <si>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</si>
  <si>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</si>
  <si>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</si>
  <si>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</si>
  <si>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</si>
  <si>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</si>
  <si>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</si>
  <si>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</si>
  <si>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</si>
  <si>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</si>
  <si>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</si>
  <si>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</si>
  <si>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</si>
  <si>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</si>
  <si>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</si>
  <si>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</si>
  <si>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</si>
  <si>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</si>
  <si>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</si>
  <si>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</si>
  <si>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</si>
  <si>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</si>
  <si>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</si>
  <si>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</si>
  <si>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</si>
  <si>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</si>
  <si>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</si>
  <si>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</si>
  <si>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</si>
  <si>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</si>
  <si>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</si>
  <si>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</si>
  <si>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</si>
  <si>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</si>
  <si>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</si>
  <si>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</si>
  <si>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</si>
  <si>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</si>
  <si>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</si>
  <si>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</si>
  <si>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</si>
  <si>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</si>
  <si>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</si>
  <si>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</si>
  <si>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</si>
  <si>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</si>
  <si>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</si>
  <si>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</si>
  <si>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</si>
  <si>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</si>
  <si>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</si>
  <si>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</si>
  <si>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</si>
  <si>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</si>
  <si>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</si>
  <si>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</si>
  <si>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</si>
  <si>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</si>
  <si>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</si>
  <si>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</si>
  <si>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</si>
  <si>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</si>
  <si>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</si>
  <si>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</si>
  <si>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</si>
  <si>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</si>
  <si>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</si>
  <si>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</si>
  <si>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</si>
  <si>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</si>
  <si>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</si>
  <si>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</si>
  <si>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</si>
  <si>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</si>
  <si>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</si>
  <si>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</si>
  <si>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</si>
  <si>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</si>
  <si>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</si>
  <si>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</si>
  <si>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</si>
  <si>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</si>
  <si>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</si>
  <si>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</si>
  <si>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</si>
  <si>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</si>
  <si>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</si>
  <si>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</si>
  <si>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</si>
  <si>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</si>
  <si>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</si>
  <si>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</si>
  <si>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</si>
  <si>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</si>
  <si>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</si>
  <si>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</si>
  <si>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</si>
  <si>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</si>
  <si>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</si>
  <si>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</si>
  <si>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</si>
  <si>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</si>
  <si>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</si>
  <si>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</si>
  <si>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</si>
  <si>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</si>
  <si>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</si>
  <si>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</si>
  <si>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</si>
  <si>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</si>
  <si>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</si>
  <si>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</si>
  <si>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</si>
  <si>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</si>
  <si>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</si>
  <si>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</si>
  <si>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</si>
  <si>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</si>
  <si>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</si>
  <si>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</si>
  <si>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</si>
  <si>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</si>
  <si>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</si>
  <si>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</si>
  <si>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</si>
  <si>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</si>
  <si>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</si>
  <si>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</si>
  <si>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</si>
  <si>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</si>
  <si>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</si>
  <si>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</si>
  <si>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</si>
  <si>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</si>
  <si>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</si>
  <si>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</si>
  <si>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</si>
  <si>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</si>
  <si>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</si>
  <si>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</si>
  <si>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</si>
  <si>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</si>
  <si>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</si>
  <si>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</si>
  <si>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</si>
  <si>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</si>
  <si>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</si>
  <si>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</si>
  <si>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</si>
  <si>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</si>
  <si>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</si>
  <si>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</si>
  <si>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</si>
  <si>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</si>
  <si>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</si>
  <si>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</si>
  <si>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</si>
  <si>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</si>
  <si>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</si>
  <si>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</si>
  <si>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</si>
  <si>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</si>
  <si>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</si>
  <si>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</si>
  <si>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</si>
  <si>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</si>
  <si>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</si>
  <si>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</si>
  <si>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</si>
  <si>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</si>
  <si>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</si>
  <si>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</si>
  <si>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</si>
  <si>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</si>
  <si>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</si>
  <si>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</si>
  <si>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</si>
  <si>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</si>
  <si>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</si>
  <si>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</si>
  <si>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</si>
  <si>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</si>
  <si>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</si>
  <si>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</si>
  <si>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</si>
  <si>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</si>
  <si>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</si>
  <si>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</si>
  <si>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</si>
  <si>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</si>
  <si>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</si>
  <si>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</si>
  <si>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</si>
  <si>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</si>
  <si>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</si>
  <si>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</si>
  <si>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</si>
  <si>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</si>
  <si>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</si>
  <si>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</si>
  <si>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</si>
  <si>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</si>
  <si>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</si>
  <si>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</si>
  <si>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</si>
  <si>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</si>
  <si>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</si>
  <si>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</si>
  <si>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</si>
  <si>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</si>
  <si>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</si>
  <si>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</si>
  <si>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</si>
  <si>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</si>
  <si>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</si>
  <si>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</si>
  <si>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</si>
  <si>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</si>
  <si>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</si>
  <si>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</si>
  <si>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</si>
  <si>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</si>
  <si>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</si>
  <si>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</si>
  <si>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</si>
  <si>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</si>
  <si>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</si>
  <si>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</si>
  <si>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</si>
  <si>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</si>
  <si>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</si>
  <si>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</si>
  <si>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</si>
  <si>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</si>
  <si>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</si>
  <si>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</si>
  <si>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</si>
  <si>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</si>
  <si>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</si>
  <si>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</si>
  <si>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</si>
  <si>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</si>
  <si>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</si>
  <si>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</si>
  <si>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</si>
  <si>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</si>
  <si>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</si>
  <si>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</si>
  <si>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</si>
  <si>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</si>
  <si>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</si>
  <si>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</si>
  <si>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</si>
  <si>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</si>
  <si>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</si>
  <si>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</si>
  <si>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</si>
  <si>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</si>
  <si>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</si>
  <si>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</si>
  <si>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</si>
  <si>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</si>
  <si>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</si>
  <si>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</si>
  <si>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</si>
  <si>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</si>
  <si>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</si>
  <si>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</si>
  <si>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</si>
  <si>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</si>
  <si>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</si>
  <si>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</si>
  <si>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</si>
  <si>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</si>
  <si>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</si>
  <si>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</si>
  <si>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</si>
  <si>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</si>
  <si>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</si>
  <si>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</si>
  <si>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</si>
  <si>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</si>
  <si>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</si>
  <si>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</si>
  <si>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</si>
  <si>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</si>
  <si>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</si>
  <si>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</si>
  <si>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</si>
  <si>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</si>
  <si>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</si>
  <si>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</si>
  <si>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</si>
  <si>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</si>
  <si>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</si>
  <si>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</si>
  <si>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</si>
  <si>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</si>
  <si>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</si>
  <si>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</si>
  <si>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</si>
  <si>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</si>
  <si>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</si>
  <si>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</si>
  <si>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</si>
  <si>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</si>
  <si>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</si>
  <si>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</si>
  <si>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</si>
  <si>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</si>
  <si>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</si>
  <si>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</si>
  <si>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</si>
  <si>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</si>
  <si>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</si>
  <si>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</si>
  <si>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</si>
  <si>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</si>
  <si>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</si>
  <si>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</si>
  <si>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</si>
  <si>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</si>
  <si>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</si>
  <si>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</si>
  <si>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</si>
  <si>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</si>
  <si>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</si>
  <si>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</si>
  <si>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</si>
  <si>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</si>
  <si>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</si>
  <si>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</si>
  <si>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</si>
  <si>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</si>
  <si>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</si>
  <si>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</si>
  <si>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</si>
  <si>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</si>
  <si>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</si>
  <si>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</si>
  <si>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</si>
  <si>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</si>
  <si>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</si>
  <si>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</si>
  <si>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</si>
  <si>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</si>
  <si>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</si>
  <si>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</si>
  <si>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</si>
  <si>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</si>
  <si>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</si>
  <si>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</si>
  <si>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</si>
  <si>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</si>
  <si>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</si>
  <si>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</si>
  <si>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</si>
  <si>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</si>
  <si>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</si>
  <si>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</si>
  <si>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</si>
  <si>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</si>
  <si>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</si>
  <si>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</si>
  <si>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</si>
  <si>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</si>
  <si>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</si>
  <si>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</si>
  <si>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</si>
  <si>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</si>
  <si>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</si>
  <si>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</si>
  <si>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</si>
  <si>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</si>
  <si>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</si>
  <si>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</si>
  <si>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</si>
  <si>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</si>
  <si>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</si>
  <si>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</si>
  <si>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</si>
  <si>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</si>
  <si>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</si>
  <si>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</si>
  <si>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</si>
  <si>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</si>
  <si>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</si>
  <si>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</si>
  <si>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</si>
  <si>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</si>
  <si>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</si>
  <si>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</si>
  <si>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</si>
  <si>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</si>
  <si>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</si>
  <si>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</si>
  <si>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</si>
  <si>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</si>
  <si>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</si>
  <si>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</si>
  <si>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</si>
  <si>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</si>
  <si>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</si>
  <si>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</si>
  <si>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</si>
  <si>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</si>
  <si>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</si>
  <si>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</si>
  <si>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</si>
  <si>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</si>
  <si>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</si>
  <si>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</si>
  <si>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</si>
  <si>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</si>
  <si>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</si>
  <si>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</si>
  <si>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</si>
  <si>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</si>
  <si>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</si>
  <si>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</si>
  <si>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</si>
  <si>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</si>
  <si>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</si>
  <si>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</si>
  <si>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</si>
  <si>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</si>
  <si>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</si>
  <si>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</si>
  <si>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</si>
  <si>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</si>
  <si>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</si>
  <si>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</si>
  <si>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</si>
  <si>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</si>
  <si>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</si>
  <si>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</si>
  <si>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</si>
  <si>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</si>
  <si>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</si>
  <si>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</si>
  <si>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</si>
  <si>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</si>
  <si>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</si>
  <si>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</si>
  <si>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</si>
  <si>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</si>
  <si>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</si>
  <si>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</si>
  <si>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</si>
  <si>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</si>
  <si>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</si>
  <si>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</si>
  <si>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</si>
  <si>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</si>
  <si>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</si>
  <si>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</si>
  <si>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</si>
  <si>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</si>
  <si>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</si>
  <si>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</si>
  <si>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</si>
  <si>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</si>
  <si>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</si>
  <si>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</si>
  <si>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</si>
  <si>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</si>
  <si>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</si>
  <si>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</si>
  <si>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</si>
  <si>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</si>
  <si>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</si>
  <si>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</si>
  <si>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</si>
  <si>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</si>
  <si>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</si>
  <si>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</si>
  <si>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</si>
  <si>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</si>
  <si>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</si>
  <si>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</si>
  <si>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</si>
  <si>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</si>
  <si>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</si>
  <si>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</si>
  <si>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</si>
  <si>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</si>
  <si>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</si>
  <si>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</si>
  <si>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</si>
  <si>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</si>
  <si>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</si>
  <si>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</si>
  <si>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</si>
  <si>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</si>
  <si>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</si>
  <si>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</si>
  <si>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</si>
  <si>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</si>
  <si>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</si>
  <si>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</si>
  <si>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</si>
  <si>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</si>
  <si>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</si>
  <si>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</si>
  <si>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</si>
  <si>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</si>
  <si>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</si>
  <si>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</si>
  <si>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</si>
  <si>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</si>
  <si>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</si>
  <si>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</si>
  <si>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</si>
  <si>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</si>
  <si>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</si>
  <si>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</si>
  <si>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</si>
  <si>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</si>
  <si>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</si>
  <si>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</si>
  <si>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</si>
  <si>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</si>
  <si>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</si>
  <si>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</si>
  <si>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</si>
  <si>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</si>
  <si>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</si>
  <si>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</si>
  <si>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</si>
  <si>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</si>
  <si>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</si>
  <si>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</si>
  <si>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</si>
  <si>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</si>
  <si>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</si>
  <si>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</si>
  <si>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</si>
  <si>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</si>
  <si>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</si>
  <si>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</si>
  <si>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</si>
  <si>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</si>
  <si>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</si>
  <si>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</si>
  <si>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</si>
  <si>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</si>
  <si>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</si>
  <si>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</si>
  <si>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</si>
  <si>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</si>
  <si>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</si>
  <si>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</si>
  <si>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</si>
  <si>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</si>
  <si>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</si>
  <si>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</si>
  <si>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</si>
  <si>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</si>
  <si>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</si>
  <si>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</si>
  <si>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</si>
  <si>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</si>
  <si>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</si>
  <si>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</si>
  <si>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</si>
  <si>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</si>
  <si>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</si>
  <si>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</si>
  <si>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</si>
  <si>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</si>
  <si>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</si>
  <si>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</si>
  <si>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</si>
  <si>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</si>
  <si>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</si>
  <si>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</si>
  <si>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</si>
  <si>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</si>
  <si>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</si>
  <si>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</si>
  <si>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</si>
  <si>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</si>
  <si>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</si>
  <si>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</si>
  <si>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</si>
  <si>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</si>
  <si>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</si>
  <si>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</si>
  <si>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</si>
  <si>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</si>
  <si>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</si>
  <si>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</si>
  <si>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</si>
  <si>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</si>
  <si>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</si>
  <si>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</si>
  <si>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</si>
  <si>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</si>
  <si>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</si>
  <si>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</si>
  <si>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</si>
  <si>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</si>
  <si>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</si>
  <si>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</si>
  <si>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</si>
  <si>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</si>
  <si>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</si>
  <si>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</si>
  <si>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</si>
  <si>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</si>
  <si>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</si>
  <si>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</si>
  <si>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</si>
  <si>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</si>
  <si>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</si>
  <si>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</si>
  <si>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</si>
  <si>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</si>
  <si>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</si>
  <si>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</si>
  <si>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</si>
  <si>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</si>
  <si>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</si>
  <si>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</si>
  <si>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</si>
  <si>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</si>
  <si>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</si>
  <si>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</si>
  <si>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</si>
  <si>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</si>
  <si>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</si>
  <si>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</si>
  <si>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</si>
  <si>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</si>
  <si>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</si>
  <si>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</si>
  <si>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</si>
  <si>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</si>
  <si>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</si>
  <si>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</si>
  <si>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</si>
  <si>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</si>
  <si>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</si>
  <si>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</si>
  <si>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</si>
  <si>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</si>
  <si>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</si>
  <si>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</si>
  <si>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</si>
  <si>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</si>
  <si>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</si>
  <si>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</si>
  <si>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</si>
  <si>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</si>
  <si>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</si>
  <si>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</si>
  <si>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</si>
  <si>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</si>
  <si>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</si>
  <si>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</si>
  <si>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</si>
  <si>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</si>
  <si>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</si>
  <si>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</si>
  <si>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</si>
  <si>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</si>
  <si>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</si>
  <si>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</si>
  <si>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</si>
  <si>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</si>
  <si>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</si>
  <si>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</si>
  <si>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</si>
  <si>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</si>
  <si>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</si>
  <si>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</si>
  <si>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</si>
  <si>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</si>
  <si>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</si>
  <si>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</si>
  <si>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</si>
  <si>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</si>
  <si>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</si>
  <si>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</si>
  <si>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</si>
  <si>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</si>
  <si>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</si>
  <si>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</si>
  <si>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</si>
  <si>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</si>
  <si>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</si>
  <si>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</si>
  <si>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</si>
  <si>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</si>
  <si>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</si>
  <si>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</si>
  <si>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</si>
  <si>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</si>
  <si>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</si>
  <si>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</si>
  <si>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</si>
  <si>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</si>
  <si>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</si>
  <si>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</si>
  <si>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</si>
  <si>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</si>
  <si>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</si>
  <si>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</si>
  <si>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</si>
  <si>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</si>
  <si>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</si>
  <si>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</si>
  <si>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</si>
  <si>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</si>
  <si>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</si>
  <si>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</si>
  <si>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</si>
  <si>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</si>
  <si>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</si>
  <si>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</si>
  <si>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</si>
  <si>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</si>
  <si>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</si>
  <si>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</si>
  <si>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</si>
  <si>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</si>
  <si>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</si>
  <si>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</si>
  <si>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</si>
  <si>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</si>
  <si>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</si>
  <si>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</si>
  <si>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</si>
  <si>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</si>
  <si>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</si>
  <si>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</si>
  <si>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</si>
  <si>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</si>
  <si>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</si>
  <si>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</si>
  <si>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</si>
  <si>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</si>
  <si>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</si>
  <si>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</si>
  <si>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</si>
  <si>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</si>
  <si>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</si>
  <si>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</si>
  <si>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</si>
  <si>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</si>
  <si>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</si>
  <si>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</si>
  <si>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</si>
  <si>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</si>
  <si>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</si>
  <si>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</si>
  <si>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</si>
  <si>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</si>
  <si>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</si>
  <si>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</si>
  <si>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</si>
  <si>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</si>
  <si>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</si>
  <si>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</si>
  <si>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</si>
  <si>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</si>
  <si>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</si>
  <si>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</si>
  <si>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</si>
  <si>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</si>
  <si>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</si>
  <si>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</si>
  <si>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</si>
  <si>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</si>
  <si>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</si>
  <si>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</si>
  <si>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</si>
  <si>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</si>
  <si>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</si>
  <si>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</si>
  <si>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</si>
  <si>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</si>
  <si>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</si>
  <si>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</si>
  <si>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</si>
  <si>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</si>
  <si>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</si>
  <si>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</si>
  <si>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</si>
  <si>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</si>
  <si>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</si>
  <si>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</si>
  <si>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</si>
  <si>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</si>
  <si>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</si>
  <si>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</si>
  <si>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</si>
  <si>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</si>
  <si>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</si>
  <si>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</si>
  <si>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</si>
  <si>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</si>
  <si>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</si>
  <si>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</si>
  <si>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</si>
  <si>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</si>
  <si>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</si>
  <si>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</si>
  <si>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</si>
  <si>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</si>
  <si>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</si>
  <si>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</si>
  <si>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</si>
  <si>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</si>
  <si>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</si>
  <si>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</si>
  <si>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</si>
  <si>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</si>
  <si>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</si>
  <si>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</si>
  <si>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</si>
  <si>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</si>
  <si>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</si>
  <si>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</si>
  <si>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</si>
  <si>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</si>
  <si>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</si>
  <si>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</si>
  <si>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</si>
  <si>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</si>
  <si>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</si>
  <si>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</si>
  <si>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</si>
  <si>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</si>
  <si>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</si>
  <si>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</si>
  <si>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</si>
  <si>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</si>
  <si>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</si>
  <si>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</si>
  <si>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</si>
  <si>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</si>
  <si>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</si>
  <si>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</si>
  <si>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</si>
  <si>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</si>
  <si>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</si>
  <si>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</si>
  <si>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</si>
  <si>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</si>
  <si>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</si>
  <si>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</si>
  <si>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</si>
  <si>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</si>
  <si>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</si>
  <si>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</si>
  <si>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</si>
  <si>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</si>
  <si>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</si>
  <si>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</si>
  <si>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</si>
  <si>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</si>
  <si>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</si>
  <si>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</si>
  <si>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</si>
  <si>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</si>
  <si>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</si>
  <si>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</si>
  <si>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</si>
  <si>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</si>
  <si>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</si>
  <si>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</si>
  <si>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</si>
  <si>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</si>
  <si>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</si>
  <si>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</si>
  <si>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</si>
  <si>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</si>
  <si>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</si>
  <si>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</si>
  <si>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</si>
  <si>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</si>
  <si>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</si>
  <si>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</si>
  <si>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</si>
  <si>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</si>
  <si>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</si>
  <si>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</si>
  <si>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</si>
  <si>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</si>
  <si>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</si>
  <si>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</si>
  <si>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</si>
  <si>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</si>
  <si>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</si>
  <si>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</si>
  <si>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</si>
  <si>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</si>
  <si>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</si>
  <si>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</si>
  <si>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</si>
  <si>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</si>
  <si>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</si>
  <si>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</si>
  <si>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</si>
  <si>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</si>
  <si>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</si>
  <si>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</si>
  <si>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</si>
  <si>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</si>
  <si>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</si>
  <si>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</si>
  <si>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</si>
  <si>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</si>
  <si>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</si>
  <si>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</si>
  <si>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</si>
  <si>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</si>
  <si>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</si>
  <si>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</si>
  <si>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</si>
  <si>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</si>
  <si>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</si>
  <si>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</si>
  <si>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</si>
  <si>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</si>
  <si>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</si>
  <si>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</si>
  <si>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</si>
  <si>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</si>
  <si>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</si>
  <si>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</si>
  <si>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</si>
  <si>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</si>
  <si>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</si>
  <si>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</si>
  <si>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</si>
  <si>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</si>
  <si>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</si>
  <si>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</si>
  <si>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</si>
  <si>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</si>
  <si>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</si>
  <si>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</si>
  <si>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</si>
  <si>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</si>
  <si>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</si>
  <si>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</si>
  <si>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</si>
  <si>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</si>
  <si>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</si>
  <si>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</si>
  <si>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</si>
  <si>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</si>
  <si>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</si>
  <si>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</si>
  <si>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</si>
  <si>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</si>
  <si>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</si>
  <si>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</si>
  <si>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</si>
  <si>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</si>
  <si>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</si>
  <si>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</si>
  <si>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</si>
  <si>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</si>
  <si>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</si>
  <si>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</si>
  <si>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</si>
  <si>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</si>
  <si>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</si>
  <si>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</si>
  <si>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</si>
  <si>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</si>
  <si>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</si>
  <si>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</si>
  <si>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</si>
  <si>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</si>
  <si>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</si>
  <si>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</si>
  <si>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</si>
  <si>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</si>
  <si>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</si>
  <si>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</si>
  <si>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</si>
  <si>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</si>
  <si>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</si>
  <si>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</si>
  <si>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</si>
  <si>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</si>
  <si>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</si>
  <si>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</si>
  <si>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</si>
  <si>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</si>
  <si>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</si>
  <si>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</si>
  <si>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</si>
  <si>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</si>
  <si>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</si>
  <si>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</si>
  <si>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</si>
  <si>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</si>
  <si>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</si>
  <si>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</si>
  <si>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</si>
  <si>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</si>
  <si>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</si>
  <si>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</si>
  <si>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</si>
  <si>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</si>
  <si>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</si>
  <si>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</si>
  <si>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</si>
  <si>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</si>
  <si>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</si>
  <si>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</si>
  <si>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</si>
  <si>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</si>
  <si>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</si>
  <si>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</si>
  <si>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</si>
  <si>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</si>
  <si>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</si>
  <si>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</si>
  <si>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</si>
  <si>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</si>
  <si>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</si>
  <si>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</si>
  <si>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</si>
  <si>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</si>
  <si>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</si>
  <si>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</si>
  <si>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</si>
  <si>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</si>
  <si>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</si>
  <si>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</si>
  <si>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</si>
  <si>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</si>
  <si>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</si>
  <si>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</si>
  <si>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</si>
  <si>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</si>
  <si>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</si>
  <si>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</si>
  <si>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</si>
  <si>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</si>
  <si>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</si>
  <si>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</si>
  <si>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</si>
  <si>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</si>
  <si>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</si>
  <si>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</si>
  <si>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</si>
  <si>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</si>
  <si>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</si>
  <si>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</si>
  <si>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</si>
  <si>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</si>
  <si>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</si>
  <si>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</si>
  <si>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</si>
  <si>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</si>
  <si>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</si>
  <si>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</si>
  <si>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</si>
  <si>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</si>
  <si>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</si>
  <si>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</si>
  <si>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</si>
  <si>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</si>
  <si>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</si>
  <si>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</si>
  <si>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</si>
  <si>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</si>
  <si>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</si>
  <si>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</si>
  <si>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</si>
  <si>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</si>
  <si>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</si>
  <si>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</si>
  <si>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</si>
  <si>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</si>
  <si>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</si>
  <si>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</si>
  <si>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</si>
  <si>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</si>
  <si>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</si>
  <si>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</si>
  <si>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</si>
  <si>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</si>
  <si>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</si>
  <si>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</si>
  <si>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</si>
  <si>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</si>
  <si>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</si>
  <si>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</si>
  <si>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</si>
  <si>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</si>
  <si>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</si>
  <si>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</si>
  <si>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</si>
  <si>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</si>
  <si>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</si>
  <si>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</si>
  <si>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</si>
  <si>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</si>
  <si>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</si>
  <si>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</si>
  <si>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</si>
  <si>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</si>
  <si>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</si>
  <si>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</si>
  <si>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</si>
  <si>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</si>
  <si>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</si>
  <si>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</si>
  <si>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</si>
  <si>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</si>
  <si>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</si>
  <si>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</si>
  <si>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</si>
  <si>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</si>
  <si>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</si>
  <si>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</si>
  <si>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</si>
  <si>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</si>
  <si>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</si>
  <si>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</si>
  <si>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</si>
  <si>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</si>
  <si>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</si>
  <si>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</si>
  <si>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</si>
  <si>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</si>
  <si>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</si>
  <si>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</si>
  <si>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</si>
  <si>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</si>
  <si>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</si>
  <si>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</si>
  <si>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</si>
  <si>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</si>
  <si>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</si>
  <si>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</si>
  <si>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</si>
  <si>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</si>
  <si>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</si>
  <si>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</si>
  <si>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</si>
  <si>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</si>
  <si>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</si>
  <si>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</si>
  <si>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</si>
  <si>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</si>
  <si>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</si>
  <si>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</si>
  <si>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</si>
  <si>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</si>
  <si>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</si>
  <si>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</si>
  <si>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</si>
  <si>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</si>
  <si>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</si>
  <si>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</si>
  <si>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</si>
  <si>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</si>
  <si>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</si>
  <si>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</si>
  <si>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</si>
  <si>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</si>
  <si>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</si>
  <si>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</si>
  <si>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</si>
  <si>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</si>
  <si>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</si>
  <si>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</si>
  <si>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</si>
  <si>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</si>
  <si>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</si>
  <si>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</si>
  <si>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</si>
  <si>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</si>
  <si>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</si>
  <si>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</si>
  <si>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</si>
  <si>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</si>
  <si>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</si>
  <si>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</si>
  <si>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</si>
  <si>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</si>
  <si>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</si>
  <si>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</si>
  <si>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</si>
  <si>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</si>
  <si>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</si>
  <si>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</si>
  <si>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</si>
  <si>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</si>
  <si>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</si>
  <si>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</si>
  <si>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</si>
  <si>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</si>
  <si>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</si>
  <si>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</si>
  <si>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</si>
  <si>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</si>
  <si>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</si>
  <si>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</si>
  <si>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</si>
  <si>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</si>
  <si>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</si>
  <si>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</si>
  <si>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</si>
  <si>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</si>
  <si>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</si>
  <si>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</si>
  <si>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</si>
  <si>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</si>
  <si>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</si>
  <si>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</si>
  <si>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</si>
  <si>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</si>
  <si>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</si>
  <si>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</si>
  <si>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</si>
  <si>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</si>
  <si>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</si>
  <si>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</si>
  <si>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</si>
  <si>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</si>
  <si>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</si>
  <si>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</si>
  <si>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</si>
  <si>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</si>
  <si>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</si>
  <si>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</si>
  <si>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</si>
  <si>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</si>
  <si>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</si>
  <si>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</si>
  <si>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</si>
  <si>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</si>
  <si>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</si>
  <si>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</si>
  <si>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</si>
  <si>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</si>
  <si>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</si>
  <si>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</si>
  <si>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</si>
  <si>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</si>
  <si>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</si>
  <si>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</si>
  <si>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</si>
  <si>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</si>
  <si>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</si>
  <si>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</si>
  <si>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</si>
  <si>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</si>
  <si>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</si>
  <si>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</si>
  <si>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</si>
  <si>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</si>
  <si>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</si>
  <si>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</si>
  <si>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</si>
  <si>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</si>
  <si>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</si>
  <si>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</si>
  <si>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</si>
  <si>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</si>
  <si>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</si>
  <si>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</si>
  <si>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</si>
  <si>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</si>
  <si>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</si>
  <si>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</si>
  <si>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</si>
  <si>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</si>
  <si>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</si>
  <si>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</si>
  <si>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</si>
  <si>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</si>
  <si>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</si>
  <si>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</si>
  <si>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</si>
  <si>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</si>
  <si>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</si>
  <si>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</si>
  <si>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</si>
  <si>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</si>
  <si>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</si>
  <si>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</si>
  <si>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</si>
  <si>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</si>
  <si>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</si>
  <si>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</si>
  <si>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</si>
  <si>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</si>
  <si>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</si>
  <si>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</si>
  <si>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</si>
  <si>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</si>
  <si>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</si>
  <si>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</si>
  <si>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</si>
  <si>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</si>
  <si>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</si>
  <si>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</si>
  <si>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</si>
  <si>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</si>
  <si>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</si>
  <si>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</si>
  <si>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</si>
  <si>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</si>
  <si>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</si>
  <si>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</si>
  <si>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</si>
  <si>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</si>
  <si>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</si>
  <si>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</si>
  <si>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</si>
  <si>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</si>
  <si>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</si>
  <si>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</si>
  <si>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</si>
  <si>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</si>
  <si>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</si>
  <si>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</si>
  <si>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</si>
  <si>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</si>
  <si>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</si>
  <si>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</si>
  <si>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</si>
  <si>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</si>
  <si>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</si>
  <si>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</si>
  <si>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</si>
  <si>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</si>
  <si>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</si>
  <si>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</si>
  <si>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</si>
  <si>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</si>
  <si>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</si>
  <si>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</si>
  <si>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</si>
  <si>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</si>
  <si>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</si>
  <si>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</si>
  <si>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</si>
  <si>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</si>
  <si>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</si>
  <si>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</si>
  <si>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</si>
  <si>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</si>
  <si>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</si>
  <si>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</si>
  <si>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</si>
  <si>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</si>
  <si>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</si>
  <si>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</si>
  <si>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</si>
  <si>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</si>
  <si>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</si>
  <si>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</si>
  <si>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</si>
  <si>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</si>
  <si>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</si>
  <si>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</si>
  <si>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</si>
  <si>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</si>
  <si>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</si>
  <si>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</si>
  <si>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</si>
  <si>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</si>
  <si>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</si>
  <si>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</si>
  <si>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</si>
  <si>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</si>
  <si>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</si>
  <si>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</si>
  <si>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</si>
  <si>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</si>
  <si>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</si>
  <si>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</si>
  <si>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</si>
  <si>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</si>
  <si>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</si>
  <si>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</si>
  <si>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</si>
  <si>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</si>
  <si>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</si>
  <si>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</si>
  <si>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</si>
  <si>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</si>
  <si>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</si>
  <si>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</si>
  <si>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</si>
  <si>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</si>
  <si>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</si>
  <si>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</si>
  <si>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</si>
  <si>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</si>
  <si>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</si>
  <si>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</si>
  <si>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</si>
  <si>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</si>
  <si>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</si>
  <si>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</si>
  <si>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</si>
  <si>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</si>
  <si>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</si>
  <si>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</si>
  <si>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</si>
  <si>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</si>
  <si>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</si>
  <si>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</si>
  <si>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</si>
  <si>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</si>
  <si>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</si>
  <si>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</si>
  <si>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</si>
  <si>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</si>
  <si>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</si>
  <si>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</si>
  <si>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</si>
  <si>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</si>
  <si>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</si>
  <si>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</si>
  <si>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</si>
  <si>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</si>
  <si>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</si>
  <si>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</si>
  <si>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</si>
  <si>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</si>
  <si>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</si>
  <si>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</si>
  <si>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</si>
  <si>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</si>
  <si>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</si>
  <si>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</si>
  <si>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</si>
  <si>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</si>
  <si>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</si>
  <si>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</si>
  <si>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</si>
  <si>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</si>
  <si>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</si>
  <si>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</si>
  <si>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</si>
  <si>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</si>
  <si>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</si>
  <si>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</si>
  <si>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</si>
  <si>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</si>
  <si>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</si>
  <si>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</si>
  <si>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</si>
  <si>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</si>
  <si>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</si>
  <si>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</si>
  <si>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</si>
  <si>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</si>
  <si>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</si>
  <si>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</si>
  <si>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</si>
  <si>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</si>
  <si>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</si>
  <si>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</si>
  <si>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</si>
  <si>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</si>
  <si>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</si>
  <si>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</si>
  <si>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</si>
  <si>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</si>
  <si>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</si>
  <si>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</si>
  <si>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</si>
  <si>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</si>
  <si>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</si>
  <si>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</si>
  <si>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</si>
  <si>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</si>
  <si>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</si>
  <si>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</si>
  <si>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</si>
  <si>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</si>
  <si>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</si>
  <si>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</si>
  <si>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</si>
  <si>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</si>
  <si>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</si>
  <si>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</si>
  <si>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</si>
  <si>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</si>
  <si>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</si>
  <si>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</si>
  <si>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</si>
  <si>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</si>
  <si>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</si>
  <si>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</si>
  <si>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</si>
  <si>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</si>
  <si>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</si>
  <si>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</si>
  <si>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</si>
  <si>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</si>
  <si>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</si>
  <si>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</si>
  <si>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</si>
  <si>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</si>
  <si>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</si>
  <si>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</si>
  <si>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</si>
  <si>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</si>
  <si>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</si>
  <si>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</si>
  <si>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</si>
  <si>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</si>
  <si>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</si>
  <si>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</si>
  <si>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</si>
  <si>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</si>
  <si>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</si>
  <si>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</si>
  <si>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</si>
  <si>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</si>
  <si>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</si>
  <si>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</si>
  <si>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</si>
  <si>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</si>
  <si>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</si>
  <si>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</si>
  <si>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</si>
  <si>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</si>
  <si>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</si>
  <si>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</si>
  <si>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</si>
  <si>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</si>
  <si>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</si>
  <si>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</si>
  <si>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</si>
  <si>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</si>
  <si>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</si>
  <si>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</si>
  <si>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</si>
  <si>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</si>
  <si>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</si>
  <si>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</si>
  <si>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</si>
  <si>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</si>
  <si>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</si>
  <si>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</si>
  <si>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</si>
  <si>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</si>
  <si>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</si>
  <si>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</si>
  <si>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</si>
  <si>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</si>
  <si>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</si>
  <si>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</si>
  <si>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</si>
  <si>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</si>
  <si>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</si>
  <si>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</si>
  <si>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</si>
  <si>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</si>
  <si>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</si>
  <si>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</si>
  <si>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</si>
  <si>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</si>
  <si>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</si>
  <si>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</si>
  <si>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</si>
  <si>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</si>
  <si>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</si>
  <si>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</si>
  <si>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</si>
  <si>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</si>
  <si>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</si>
  <si>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</si>
  <si>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</si>
  <si>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</si>
  <si>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</si>
  <si>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</si>
  <si>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</si>
  <si>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</si>
  <si>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</si>
  <si>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</si>
  <si>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</si>
  <si>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</si>
  <si>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</si>
  <si>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</si>
  <si>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</si>
  <si>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</si>
  <si>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</si>
  <si>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</si>
  <si>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</si>
  <si>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</si>
  <si>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</si>
  <si>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</si>
  <si>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</si>
  <si>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</si>
  <si>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</si>
  <si>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</si>
  <si>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</si>
  <si>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</si>
  <si>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</si>
  <si>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</si>
  <si>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</si>
  <si>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</si>
  <si>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</si>
  <si>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</si>
  <si>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</si>
  <si>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</si>
  <si>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</si>
  <si>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</si>
  <si>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</si>
  <si>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</si>
  <si>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</si>
  <si>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</si>
  <si>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</si>
  <si>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</si>
  <si>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</si>
  <si>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</si>
  <si>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</si>
  <si>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</si>
  <si>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</si>
  <si>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</si>
  <si>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</si>
  <si>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</si>
  <si>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</si>
  <si>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</si>
  <si>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</si>
  <si>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</si>
  <si>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</si>
  <si>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</si>
  <si>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</si>
  <si>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</si>
  <si>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</si>
  <si>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</si>
  <si>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</si>
  <si>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</si>
  <si>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</si>
  <si>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</si>
  <si>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</si>
  <si>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</si>
  <si>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</si>
  <si>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</si>
  <si>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</si>
  <si>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</si>
  <si>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</si>
  <si>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</si>
  <si>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</si>
  <si>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</si>
  <si>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</si>
  <si>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</si>
  <si>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</si>
  <si>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</si>
  <si>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</si>
  <si>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</si>
  <si>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</si>
  <si>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</si>
  <si>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</si>
  <si>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</si>
  <si>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</si>
  <si>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</si>
  <si>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</si>
  <si>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</si>
  <si>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</si>
  <si>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</si>
  <si>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</si>
  <si>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</si>
  <si>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</si>
  <si>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</si>
  <si>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</si>
  <si>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</si>
  <si>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</si>
  <si>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</si>
  <si>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</si>
  <si>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</si>
  <si>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</si>
  <si>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</si>
  <si>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</si>
  <si>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</si>
  <si>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</si>
  <si>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</si>
  <si>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</si>
  <si>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</si>
  <si>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</si>
  <si>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</si>
  <si>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</si>
  <si>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</si>
  <si>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</si>
  <si>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</si>
  <si>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</si>
  <si>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</si>
  <si>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</si>
  <si>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</si>
  <si>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</si>
  <si>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</si>
  <si>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</si>
  <si>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</si>
  <si>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</si>
  <si>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</si>
  <si>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</si>
  <si>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</si>
  <si>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</si>
  <si>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</si>
  <si>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</si>
  <si>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</si>
  <si>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</si>
  <si>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</si>
  <si>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</si>
  <si>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</si>
  <si>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</si>
  <si>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</si>
  <si>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</si>
  <si>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</si>
  <si>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</si>
  <si>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</si>
  <si>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</si>
  <si>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</si>
  <si>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</si>
  <si>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</si>
  <si>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</si>
  <si>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</si>
  <si>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</si>
  <si>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</si>
  <si>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</si>
  <si>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</si>
  <si>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</si>
  <si>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</si>
  <si>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</si>
  <si>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</si>
  <si>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</si>
  <si>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</si>
  <si>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</si>
  <si>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</si>
  <si>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</si>
  <si>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</si>
  <si>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</si>
  <si>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</si>
  <si>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</si>
  <si>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</si>
  <si>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</si>
  <si>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</si>
  <si>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</si>
  <si>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</si>
  <si>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</si>
  <si>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</si>
  <si>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</si>
  <si>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</si>
  <si>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</si>
  <si>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</si>
  <si>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</si>
  <si>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</si>
  <si>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</si>
  <si>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</si>
  <si>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</si>
  <si>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</si>
  <si>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</si>
  <si>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</si>
  <si>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</si>
  <si>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</si>
  <si>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</si>
  <si>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</si>
  <si>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</si>
  <si>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</si>
  <si>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</si>
  <si>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</si>
  <si>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</si>
  <si>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</si>
  <si>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</si>
  <si>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</si>
  <si>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</si>
  <si>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</si>
  <si>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</si>
  <si>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</si>
  <si>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</si>
  <si>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</si>
  <si>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</si>
  <si>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</si>
  <si>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</si>
  <si>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</si>
  <si>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</si>
  <si>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</si>
  <si>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</si>
  <si>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</si>
  <si>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</si>
  <si>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</si>
  <si>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</si>
  <si>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</si>
  <si>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</si>
  <si>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</si>
  <si>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</si>
  <si>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</si>
  <si>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</si>
  <si>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</si>
  <si>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</si>
  <si>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</si>
  <si>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</si>
  <si>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</si>
  <si>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</si>
  <si>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</si>
  <si>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</si>
  <si>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</si>
  <si>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</si>
  <si>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</si>
  <si>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</si>
  <si>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</si>
  <si>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</si>
  <si>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</si>
  <si>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</si>
  <si>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</si>
  <si>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</si>
  <si>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</si>
  <si>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</si>
  <si>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</si>
  <si>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</si>
  <si>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</si>
  <si>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</si>
  <si>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</si>
  <si>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</si>
  <si>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</si>
  <si>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</si>
  <si>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</si>
  <si>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</si>
  <si>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</si>
  <si>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</si>
  <si>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</si>
  <si>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</si>
  <si>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</si>
  <si>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</si>
  <si>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</si>
  <si>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</si>
  <si>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</si>
  <si>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</si>
  <si>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</si>
  <si>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</si>
  <si>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</si>
  <si>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</si>
  <si>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</si>
  <si>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</si>
  <si>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</si>
  <si>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</si>
  <si>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</si>
  <si>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</si>
  <si>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</si>
  <si>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</si>
  <si>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</si>
  <si>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</si>
  <si>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</si>
  <si>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</si>
  <si>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</si>
  <si>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</si>
  <si>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</si>
  <si>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</si>
  <si>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</si>
  <si>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</si>
  <si>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</si>
  <si>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</si>
  <si>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</si>
  <si>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</si>
  <si>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</si>
  <si>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</si>
  <si>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</si>
  <si>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</si>
  <si>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</si>
  <si>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</si>
  <si>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</si>
  <si>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</si>
  <si>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</si>
  <si>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</si>
  <si>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</si>
  <si>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</si>
  <si>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</si>
  <si>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</si>
  <si>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</si>
  <si>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</si>
  <si>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</si>
  <si>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</si>
  <si>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</si>
  <si>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</si>
  <si>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</si>
  <si>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</si>
  <si>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</si>
  <si>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</si>
  <si>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</si>
  <si>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</si>
  <si>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</si>
  <si>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</si>
  <si>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</si>
  <si>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</si>
  <si>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</si>
  <si>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</si>
  <si>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</si>
  <si>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</si>
  <si>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</si>
  <si>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</si>
  <si>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</si>
  <si>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</si>
  <si>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</si>
  <si>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</si>
  <si>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</si>
  <si>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</si>
  <si>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</si>
  <si>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</si>
  <si>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</si>
  <si>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</si>
  <si>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</si>
  <si>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</si>
  <si>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</si>
  <si>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</si>
  <si>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</si>
  <si>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</si>
  <si>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</si>
  <si>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</si>
  <si>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</si>
  <si>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</si>
  <si>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</si>
  <si>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</si>
  <si>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</si>
  <si>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</si>
  <si>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</si>
  <si>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</si>
  <si>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</si>
  <si>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</si>
  <si>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</si>
  <si>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</si>
  <si>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</si>
  <si>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</si>
  <si>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</si>
  <si>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</si>
  <si>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</si>
  <si>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</si>
  <si>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</si>
  <si>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</si>
  <si>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</si>
  <si>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</si>
  <si>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</si>
  <si>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</si>
  <si>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</si>
  <si>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</si>
  <si>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</si>
  <si>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</si>
  <si>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</si>
  <si>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</si>
  <si>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</si>
  <si>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</si>
  <si>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</si>
  <si>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</si>
  <si>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</si>
  <si>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</si>
  <si>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</si>
  <si>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</si>
  <si>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</si>
  <si>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</si>
  <si>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</si>
  <si>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</si>
  <si>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</si>
  <si>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</si>
  <si>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</si>
  <si>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</si>
  <si>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</si>
  <si>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</si>
  <si>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</si>
  <si>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</si>
  <si>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</si>
  <si>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</si>
  <si>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</si>
  <si>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</si>
  <si>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</si>
  <si>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</si>
  <si>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</si>
  <si>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</si>
  <si>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</si>
  <si>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</si>
  <si>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</si>
  <si>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</si>
  <si>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</si>
  <si>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</si>
  <si>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</si>
  <si>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</si>
  <si>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</si>
  <si>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</si>
  <si>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</si>
  <si>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</si>
  <si>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</si>
  <si>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</si>
  <si>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</si>
  <si>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</si>
  <si>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</si>
  <si>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</si>
  <si>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</si>
  <si>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</si>
  <si>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</si>
  <si>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</si>
  <si>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</si>
  <si>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</si>
  <si>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</si>
  <si>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</si>
  <si>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</si>
  <si>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</si>
  <si>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</si>
  <si>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</si>
  <si>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</si>
  <si>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</si>
  <si>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</si>
  <si>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</si>
  <si>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</si>
  <si>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</si>
  <si>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</si>
  <si>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</si>
  <si>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</si>
  <si>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</si>
  <si>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</si>
  <si>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</si>
  <si>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</si>
  <si>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</si>
  <si>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</si>
  <si>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</si>
  <si>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</si>
  <si>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</si>
  <si>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</si>
  <si>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</si>
  <si>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</si>
  <si>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</si>
  <si>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</si>
  <si>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</si>
  <si>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</si>
  <si>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</si>
  <si>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</si>
  <si>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</si>
  <si>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</si>
  <si>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</si>
  <si>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</si>
  <si>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</si>
  <si>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</si>
  <si>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</si>
  <si>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</si>
  <si>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</si>
  <si>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</si>
  <si>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</si>
  <si>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</si>
  <si>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</si>
  <si>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</si>
  <si>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</si>
  <si>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</si>
  <si>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</si>
  <si>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</si>
  <si>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</si>
  <si>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</si>
  <si>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</si>
  <si>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</si>
  <si>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</si>
  <si>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</si>
  <si>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</si>
  <si>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</si>
  <si>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</si>
  <si>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</si>
  <si>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</si>
  <si>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</si>
  <si>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</si>
  <si>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</si>
  <si>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</si>
  <si>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</si>
  <si>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</si>
  <si>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</si>
  <si>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</si>
  <si>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</si>
  <si>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</si>
  <si>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</si>
  <si>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</si>
  <si>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</si>
  <si>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</si>
  <si>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</si>
  <si>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</si>
  <si>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</si>
  <si>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</si>
  <si>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</si>
  <si>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</si>
  <si>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</si>
  <si>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</si>
  <si>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</si>
  <si>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</si>
  <si>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</si>
  <si>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</si>
  <si>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</si>
  <si>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</si>
  <si>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</si>
  <si>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</si>
  <si>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</si>
  <si>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</si>
  <si>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</si>
  <si>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</si>
  <si>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</si>
  <si>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</si>
  <si>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</si>
  <si>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</si>
  <si>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</si>
  <si>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</si>
  <si>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</si>
  <si>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</si>
  <si>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</si>
  <si>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</si>
  <si>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</si>
  <si>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</si>
  <si>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</si>
  <si>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</si>
  <si>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</si>
  <si>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</si>
  <si>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</si>
  <si>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</si>
  <si>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</si>
  <si>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</si>
  <si>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</si>
  <si>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</si>
  <si>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</si>
  <si>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</si>
  <si>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</si>
  <si>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</si>
  <si>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</si>
  <si>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</si>
  <si>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</si>
  <si>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</si>
  <si>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</si>
  <si>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</si>
  <si>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</si>
  <si>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</si>
  <si>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</si>
  <si>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</si>
  <si>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</si>
  <si>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</si>
  <si>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</si>
  <si>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</si>
  <si>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</si>
  <si>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</si>
  <si>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</si>
  <si>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</si>
  <si>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</si>
  <si>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</si>
  <si>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</si>
  <si>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</si>
  <si>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</si>
  <si>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</si>
  <si>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</si>
  <si>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</si>
  <si>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</si>
  <si>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</si>
  <si>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</si>
  <si>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</si>
  <si>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</si>
  <si>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</si>
  <si>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</si>
  <si>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</si>
  <si>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</si>
  <si>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</si>
  <si>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</si>
  <si>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</si>
  <si>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</si>
  <si>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</si>
  <si>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</si>
  <si>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</si>
  <si>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</si>
  <si>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</si>
  <si>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</si>
  <si>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</si>
  <si>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</si>
  <si>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</si>
  <si>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</si>
  <si>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</si>
  <si>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</si>
  <si>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</si>
  <si>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</si>
  <si>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</si>
  <si>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</si>
  <si>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</si>
  <si>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</si>
  <si>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</si>
  <si>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</si>
  <si>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</si>
  <si>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</si>
  <si>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</si>
  <si>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</si>
  <si>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</si>
  <si>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</si>
  <si>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</si>
  <si>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</si>
  <si>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</si>
  <si>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</si>
  <si>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</si>
  <si>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</si>
  <si>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</si>
  <si>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</si>
  <si>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</si>
  <si>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</si>
  <si>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</si>
  <si>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</si>
  <si>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</si>
  <si>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</si>
  <si>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</si>
  <si>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</si>
  <si>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</si>
  <si>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</si>
  <si>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</si>
  <si>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</si>
  <si>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</si>
  <si>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</si>
  <si>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</si>
  <si>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</si>
  <si>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</si>
  <si>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</si>
  <si>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</si>
  <si>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</si>
  <si>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</si>
  <si>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</si>
  <si>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</si>
  <si>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</si>
  <si>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</si>
  <si>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</si>
  <si>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</si>
  <si>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</si>
  <si>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</si>
  <si>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</si>
  <si>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</si>
  <si>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</si>
  <si>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</si>
  <si>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</si>
  <si>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</si>
  <si>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</si>
  <si>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</si>
  <si>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</si>
  <si>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</si>
  <si>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</si>
  <si>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</si>
  <si>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</si>
  <si>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</si>
  <si>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</si>
  <si>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</si>
  <si>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</si>
  <si>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</si>
  <si>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</si>
  <si>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</si>
  <si>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</si>
  <si>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</si>
  <si>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</si>
  <si>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</si>
  <si>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</si>
  <si>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</si>
  <si>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</si>
  <si>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</si>
  <si>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</si>
  <si>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</si>
  <si>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</si>
  <si>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</si>
  <si>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</si>
  <si>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</si>
  <si>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</si>
  <si>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</si>
  <si>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</si>
  <si>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</si>
  <si>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</si>
  <si>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</si>
  <si>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</si>
  <si>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</si>
  <si>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</si>
  <si>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</si>
  <si>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</si>
  <si>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</si>
  <si>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</si>
  <si>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</si>
  <si>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</si>
  <si>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</si>
  <si>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</si>
  <si>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</si>
  <si>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</si>
  <si>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</si>
  <si>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</si>
  <si>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</si>
  <si>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</si>
  <si>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</si>
  <si>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</si>
  <si>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</si>
  <si>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</si>
  <si>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</si>
  <si>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</si>
  <si>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</si>
  <si>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</si>
  <si>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</si>
  <si>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</si>
  <si>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</si>
  <si>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</si>
  <si>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</si>
  <si>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</si>
  <si>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</si>
  <si>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</si>
  <si>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</si>
  <si>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</si>
  <si>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</si>
  <si>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</si>
  <si>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</si>
  <si>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</si>
  <si>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</si>
  <si>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</si>
  <si>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</si>
  <si>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</si>
  <si>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</si>
  <si>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</si>
  <si>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</si>
  <si>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</si>
  <si>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</si>
  <si>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</si>
  <si>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</si>
  <si>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</si>
  <si>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</si>
  <si>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</si>
  <si>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</si>
  <si>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</si>
  <si>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</si>
  <si>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</si>
  <si>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</si>
  <si>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</si>
  <si>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</si>
  <si>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</si>
  <si>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</si>
  <si>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</si>
  <si>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</si>
  <si>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</si>
  <si>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</si>
  <si>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</si>
  <si>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</si>
  <si>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</si>
  <si>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</si>
  <si>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</si>
  <si>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</si>
  <si>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</si>
  <si>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</si>
  <si>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</si>
  <si>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</si>
  <si>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</si>
  <si>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</si>
  <si>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</si>
  <si>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</si>
  <si>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</si>
  <si>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</si>
  <si>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</si>
  <si>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</si>
  <si>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</si>
  <si>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</si>
  <si>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</si>
  <si>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</si>
  <si>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</si>
  <si>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</si>
  <si>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</si>
  <si>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</si>
  <si>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</si>
  <si>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</si>
  <si>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</si>
  <si>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</si>
  <si>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</si>
  <si>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</si>
  <si>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</si>
  <si>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</si>
  <si>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</si>
  <si>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</si>
  <si>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</si>
  <si>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</si>
  <si>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</si>
  <si>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</si>
  <si>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</si>
  <si>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</si>
  <si>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</si>
  <si>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</si>
  <si>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</si>
  <si>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</si>
  <si>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</si>
  <si>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</si>
  <si>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</si>
  <si>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</si>
  <si>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</si>
  <si>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</si>
  <si>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</si>
  <si>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</si>
  <si>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</si>
  <si>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</si>
  <si>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</si>
  <si>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</si>
  <si>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</si>
  <si>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</si>
  <si>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</si>
  <si>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</si>
  <si>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</si>
  <si>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</si>
  <si>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</si>
  <si>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</si>
  <si>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</si>
  <si>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</si>
  <si>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</si>
  <si>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</si>
  <si>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</si>
  <si>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</si>
  <si>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</si>
  <si>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</si>
  <si>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</si>
  <si>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</si>
  <si>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</si>
  <si>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</si>
  <si>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</si>
  <si>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</si>
  <si>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</si>
  <si>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</si>
  <si>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</si>
  <si>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</si>
  <si>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</si>
  <si>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</si>
  <si>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</si>
  <si>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</si>
  <si>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</si>
  <si>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</si>
  <si>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</si>
  <si>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</si>
  <si>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</si>
  <si>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</si>
  <si>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</si>
  <si>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</si>
  <si>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</si>
  <si>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</si>
  <si>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</si>
  <si>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</si>
  <si>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</si>
  <si>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</si>
  <si>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</si>
  <si>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</si>
  <si>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</si>
  <si>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</si>
  <si>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</si>
  <si>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</si>
  <si>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</si>
  <si>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</si>
  <si>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</si>
  <si>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</si>
  <si>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</si>
  <si>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</si>
  <si>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</si>
  <si>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</si>
  <si>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</si>
  <si>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</si>
  <si>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</si>
  <si>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</si>
  <si>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</si>
  <si>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</si>
  <si>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</si>
  <si>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</si>
  <si>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</si>
  <si>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</si>
  <si>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</si>
  <si>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</si>
  <si>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</si>
  <si>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</si>
  <si>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</si>
  <si>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</si>
  <si>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</si>
  <si>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</si>
  <si>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</si>
  <si>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</si>
  <si>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</si>
  <si>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</si>
  <si>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</si>
  <si>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</si>
  <si>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</si>
  <si>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</si>
  <si>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</si>
  <si>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</si>
  <si>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</si>
  <si>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</si>
  <si>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</si>
  <si>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</si>
  <si>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</si>
  <si>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</si>
  <si>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</si>
  <si>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</si>
  <si>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</si>
  <si>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</si>
  <si>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</si>
  <si>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</si>
  <si>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</si>
  <si>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</si>
  <si>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</si>
  <si>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</si>
  <si>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</si>
  <si>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</si>
  <si>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</si>
  <si>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</si>
  <si>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</si>
  <si>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</si>
  <si>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</si>
  <si>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</si>
  <si>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</si>
  <si>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</si>
  <si>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</si>
  <si>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</si>
  <si>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</si>
  <si>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</si>
  <si>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</si>
  <si>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</si>
  <si>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</si>
  <si>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</si>
  <si>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</si>
  <si>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</si>
  <si>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</si>
  <si>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</si>
  <si>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</si>
  <si>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</si>
  <si>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</si>
  <si>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</si>
  <si>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</si>
  <si>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</si>
  <si>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</si>
  <si>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</si>
  <si>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</si>
  <si>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</si>
  <si>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</si>
  <si>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</si>
  <si>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</si>
  <si>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</si>
  <si>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</si>
  <si>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</si>
  <si>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</si>
  <si>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</si>
  <si>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</si>
  <si>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</si>
  <si>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</si>
  <si>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</si>
  <si>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</si>
  <si>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</si>
  <si>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</si>
  <si>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</si>
  <si>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</si>
  <si>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</si>
  <si>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</si>
  <si>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</si>
  <si>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</si>
  <si>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</si>
  <si>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</si>
  <si>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</si>
  <si>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</si>
  <si>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</si>
  <si>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</si>
  <si>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</si>
  <si>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</si>
  <si>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</si>
  <si>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</si>
  <si>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</si>
  <si>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</si>
  <si>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</si>
  <si>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</si>
  <si>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</si>
  <si>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</si>
  <si>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</si>
  <si>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</si>
  <si>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</si>
  <si>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</si>
  <si>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</si>
  <si>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</si>
  <si>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</si>
  <si>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</si>
  <si>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</si>
  <si>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</si>
  <si>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</si>
  <si>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</si>
  <si>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</si>
  <si>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</si>
  <si>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</si>
  <si>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</si>
  <si>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</si>
  <si>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</si>
  <si>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</si>
  <si>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</si>
  <si>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</si>
  <si>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</si>
  <si>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</si>
  <si>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</si>
  <si>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</si>
  <si>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</si>
  <si>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</si>
  <si>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</si>
  <si>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</si>
  <si>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</si>
  <si>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</si>
  <si>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</si>
  <si>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</si>
  <si>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</si>
  <si>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</si>
  <si>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</si>
  <si>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</si>
  <si>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</si>
  <si>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</si>
  <si>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</si>
  <si>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</si>
  <si>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</si>
  <si>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</si>
  <si>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</si>
  <si>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</si>
  <si>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</si>
  <si>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</si>
  <si>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</si>
  <si>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</si>
  <si>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</si>
  <si>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</si>
  <si>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</si>
  <si>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</si>
  <si>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</si>
  <si>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</si>
  <si>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</si>
  <si>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</si>
  <si>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</si>
  <si>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</si>
  <si>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</si>
  <si>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</si>
  <si>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</si>
  <si>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</si>
  <si>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</si>
  <si>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</si>
  <si>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</si>
  <si>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</si>
  <si>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</si>
  <si>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</si>
  <si>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</si>
  <si>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</si>
  <si>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</si>
  <si>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</si>
  <si>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</si>
  <si>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</si>
  <si>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</si>
  <si>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</si>
  <si>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</si>
  <si>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</si>
  <si>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</si>
  <si>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</si>
  <si>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</si>
  <si>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</si>
  <si>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</si>
  <si>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</si>
  <si>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</si>
  <si>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</si>
  <si>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</si>
  <si>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</si>
  <si>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</si>
  <si>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</si>
  <si>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</si>
  <si>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</si>
  <si>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</si>
  <si>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</si>
  <si>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</si>
  <si>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</si>
  <si>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</si>
  <si>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</si>
  <si>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</si>
  <si>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</si>
  <si>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</si>
  <si>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</si>
  <si>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</si>
  <si>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</si>
  <si>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</si>
  <si>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</si>
  <si>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</si>
  <si>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</si>
  <si>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</si>
  <si>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</si>
  <si>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</si>
  <si>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</si>
  <si>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</si>
  <si>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</si>
  <si>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</si>
  <si>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</si>
  <si>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</si>
  <si>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</si>
  <si>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</si>
  <si>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</si>
  <si>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</si>
  <si>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</si>
  <si>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</si>
  <si>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</si>
  <si>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</si>
  <si>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</si>
  <si>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</si>
  <si>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</si>
  <si>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</si>
  <si>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</si>
  <si>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</si>
  <si>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</si>
  <si>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</si>
  <si>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</si>
  <si>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</si>
  <si>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</si>
  <si>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</si>
  <si>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</si>
  <si>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</si>
  <si>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</si>
  <si>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</si>
  <si>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</si>
  <si>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</si>
  <si>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</si>
  <si>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</si>
  <si>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</si>
  <si>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</si>
  <si>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</si>
  <si>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</si>
  <si>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</si>
  <si>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</si>
  <si>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</si>
  <si>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</si>
  <si>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</si>
  <si>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</si>
  <si>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</si>
  <si>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</si>
  <si>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</si>
  <si>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</si>
  <si>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</si>
  <si>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</si>
  <si>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</si>
  <si>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</si>
  <si>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</si>
  <si>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</si>
  <si>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</si>
  <si>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</si>
  <si>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</si>
  <si>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</si>
  <si>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</si>
  <si>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</si>
  <si>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</si>
  <si>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</si>
  <si>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</si>
  <si>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</si>
  <si>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</si>
  <si>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</si>
  <si>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</si>
  <si>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</si>
  <si>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</si>
  <si>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</si>
  <si>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</si>
  <si>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</si>
  <si>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</si>
  <si>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</si>
  <si>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</si>
  <si>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</si>
  <si>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</si>
  <si>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</si>
  <si>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</si>
  <si>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</si>
  <si>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</si>
  <si>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</si>
  <si>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</si>
  <si>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</si>
  <si>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</si>
  <si>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</si>
  <si>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</si>
  <si>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</si>
  <si>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</si>
  <si>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</si>
  <si>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</si>
  <si>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</si>
  <si>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</si>
  <si>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</si>
  <si>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</si>
  <si>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</si>
  <si>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</si>
  <si>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</si>
  <si>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</si>
  <si>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</si>
  <si>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</si>
  <si>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</si>
  <si>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</si>
  <si>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</si>
  <si>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</si>
  <si>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</si>
  <si>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</si>
  <si>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</si>
  <si>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</si>
  <si>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</si>
  <si>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</si>
  <si>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</si>
  <si>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</si>
  <si>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</si>
  <si>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</si>
  <si>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</si>
  <si>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</si>
  <si>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</si>
  <si>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</si>
  <si>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</si>
  <si>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</si>
  <si>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</si>
  <si>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</si>
  <si>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</si>
  <si>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</si>
  <si>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</si>
  <si>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</si>
  <si>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</si>
  <si>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</si>
  <si>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</si>
  <si>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</si>
  <si>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</si>
  <si>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</si>
  <si>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</si>
  <si>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</si>
  <si>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</si>
  <si>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</si>
  <si>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</si>
  <si>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</si>
  <si>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</si>
  <si>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</si>
  <si>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</si>
  <si>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</si>
  <si>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</si>
  <si>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</si>
  <si>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</si>
  <si>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</si>
  <si>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</si>
  <si>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</si>
  <si>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</si>
  <si>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</si>
  <si>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</si>
  <si>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</si>
  <si>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</si>
  <si>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</si>
  <si>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</si>
  <si>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</si>
  <si>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</si>
  <si>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</si>
  <si>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</si>
  <si>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</si>
  <si>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</si>
  <si>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</si>
  <si>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</si>
  <si>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</si>
  <si>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</si>
  <si>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</si>
  <si>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</si>
  <si>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</si>
  <si>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</si>
  <si>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</si>
  <si>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</si>
  <si>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</si>
  <si>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</si>
  <si>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</si>
  <si>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</si>
  <si>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</si>
  <si>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</si>
  <si>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</si>
  <si>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</si>
  <si>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</si>
  <si>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</si>
  <si>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</si>
  <si>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</si>
  <si>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</si>
  <si>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</si>
  <si>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</si>
  <si>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</si>
  <si>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</si>
  <si>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</si>
  <si>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</si>
  <si>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</si>
  <si>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</si>
  <si>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</si>
  <si>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</si>
  <si>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</si>
  <si>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</si>
  <si>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</si>
  <si>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</si>
  <si>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</si>
  <si>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</si>
  <si>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</si>
  <si>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</si>
  <si>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</si>
  <si>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</si>
  <si>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</si>
  <si>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</si>
  <si>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</si>
  <si>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</si>
  <si>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</si>
  <si>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</si>
  <si>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</si>
  <si>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</si>
  <si>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</si>
  <si>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</si>
  <si>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</si>
  <si>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</si>
  <si>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</si>
  <si>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</si>
  <si>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</si>
  <si>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</si>
  <si>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</si>
  <si>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</si>
  <si>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</si>
  <si>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</si>
  <si>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</si>
  <si>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</si>
  <si>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</si>
  <si>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</si>
  <si>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</si>
  <si>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</si>
  <si>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</si>
  <si>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</si>
  <si>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</si>
  <si>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</si>
  <si>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</si>
  <si>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</si>
  <si>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</si>
  <si>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</si>
  <si>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</si>
  <si>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</si>
  <si>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</si>
  <si>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</si>
  <si>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</si>
  <si>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</si>
  <si>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</si>
  <si>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</si>
  <si>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</si>
  <si>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</si>
  <si>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</si>
  <si>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</si>
  <si>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</si>
  <si>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</si>
  <si>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</si>
  <si>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</si>
  <si>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</si>
  <si>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</si>
  <si>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</si>
  <si>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</si>
  <si>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</si>
  <si>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</si>
  <si>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</si>
  <si>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</si>
  <si>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</si>
  <si>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</si>
  <si>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</si>
  <si>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</si>
  <si>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</si>
  <si>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</si>
  <si>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</si>
  <si>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</si>
  <si>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</si>
  <si>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</si>
  <si>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</si>
  <si>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</si>
  <si>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</si>
  <si>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</si>
  <si>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</si>
  <si>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</si>
  <si>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</si>
  <si>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</si>
  <si>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</si>
  <si>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</si>
  <si>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</si>
  <si>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</si>
  <si>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</si>
  <si>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</si>
  <si>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</si>
  <si>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</si>
  <si>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</si>
  <si>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</si>
  <si>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</si>
  <si>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</si>
  <si>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</si>
  <si>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</si>
  <si>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</si>
  <si>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</si>
  <si>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</si>
  <si>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</si>
  <si>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</si>
  <si>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</si>
  <si>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</si>
  <si>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</si>
  <si>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</si>
  <si>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</si>
  <si>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</si>
  <si>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</si>
  <si>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</si>
  <si>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</si>
  <si>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</si>
  <si>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</si>
  <si>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</si>
  <si>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</si>
  <si>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</si>
  <si>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</si>
  <si>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</si>
  <si>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</si>
  <si>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</si>
  <si>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</si>
  <si>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</si>
  <si>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</si>
  <si>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</si>
  <si>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</si>
  <si>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</si>
  <si>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</si>
  <si>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</si>
  <si>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</si>
  <si>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</si>
  <si>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</si>
  <si>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</si>
  <si>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</si>
  <si>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</si>
  <si>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</si>
  <si>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</si>
  <si>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</si>
  <si>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</si>
  <si>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</si>
  <si>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</si>
  <si>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</si>
  <si>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</si>
  <si>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</si>
  <si>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</si>
  <si>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</si>
  <si>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</si>
  <si>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</si>
  <si>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</si>
  <si>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</si>
  <si>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</si>
  <si>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</si>
  <si>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</si>
  <si>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</si>
  <si>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</si>
  <si>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</si>
  <si>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</si>
  <si>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</si>
  <si>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</si>
  <si>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</si>
  <si>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</si>
  <si>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</si>
  <si>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</si>
  <si>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</si>
  <si>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</si>
  <si>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</si>
  <si>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</si>
  <si>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</si>
  <si>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</si>
  <si>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</si>
  <si>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</si>
  <si>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</si>
  <si>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</si>
  <si>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</si>
  <si>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</si>
  <si>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</si>
  <si>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</si>
  <si>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</si>
  <si>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</si>
  <si>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</si>
  <si>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</si>
  <si>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</si>
  <si>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</si>
  <si>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</si>
  <si>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</si>
  <si>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</si>
  <si>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</si>
  <si>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</si>
  <si>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</si>
  <si>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</si>
  <si>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</si>
  <si>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</si>
  <si>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</si>
  <si>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</si>
  <si>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</si>
  <si>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</si>
  <si>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</si>
  <si>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</si>
  <si>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</si>
  <si>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</si>
  <si>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</si>
  <si>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</si>
  <si>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</si>
  <si>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</si>
  <si>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</si>
  <si>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</si>
  <si>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</si>
  <si>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</si>
  <si>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</si>
  <si>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</si>
  <si>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</si>
  <si>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</si>
  <si>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</si>
  <si>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</si>
  <si>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</si>
  <si>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</si>
  <si>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</si>
  <si>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</si>
  <si>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</si>
  <si>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</si>
  <si>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</si>
  <si>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</si>
  <si>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</si>
  <si>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</si>
  <si>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</si>
  <si>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</si>
  <si>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</si>
  <si>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</si>
  <si>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</si>
  <si>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</si>
  <si>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</si>
  <si>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</si>
  <si>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</si>
  <si>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</si>
  <si>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</si>
  <si>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</si>
  <si>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</si>
  <si>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</si>
  <si>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</si>
  <si>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</si>
  <si>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</si>
  <si>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</si>
  <si>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</si>
  <si>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</si>
  <si>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</si>
  <si>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</si>
  <si>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</si>
  <si>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</si>
  <si>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</si>
  <si>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</si>
  <si>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</si>
  <si>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</si>
  <si>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</si>
  <si>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</si>
  <si>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</si>
  <si>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</si>
  <si>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</si>
  <si>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</si>
  <si>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</si>
  <si>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</si>
  <si>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</si>
  <si>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</si>
  <si>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</si>
  <si>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</si>
  <si>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</si>
  <si>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</si>
  <si>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</si>
  <si>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</si>
  <si>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</si>
  <si>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</si>
  <si>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</si>
  <si>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</si>
  <si>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</si>
  <si>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</si>
  <si>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</si>
  <si>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</si>
  <si>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</si>
  <si>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</si>
  <si>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</si>
  <si>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</si>
  <si>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</si>
  <si>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</si>
  <si>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</si>
  <si>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</si>
  <si>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</si>
  <si>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</si>
  <si>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</si>
  <si>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</si>
  <si>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</si>
  <si>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</si>
  <si>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</si>
  <si>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</si>
  <si>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</si>
  <si>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</si>
  <si>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</si>
  <si>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</si>
  <si>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</si>
  <si>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</si>
  <si>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</si>
  <si>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</si>
  <si>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</si>
  <si>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</si>
  <si>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</si>
  <si>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</si>
  <si>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</si>
  <si>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</si>
  <si>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</si>
  <si>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</si>
  <si>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</si>
  <si>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</si>
  <si>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</si>
  <si>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</si>
  <si>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</si>
  <si>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</si>
  <si>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</si>
  <si>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</si>
  <si>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</si>
  <si>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</si>
  <si>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</si>
  <si>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</si>
  <si>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</si>
  <si>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</si>
  <si>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</si>
  <si>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</si>
  <si>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</si>
  <si>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</si>
  <si>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</si>
  <si>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</si>
  <si>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</si>
  <si>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</si>
  <si>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</si>
  <si>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</si>
  <si>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</si>
  <si>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</si>
  <si>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</si>
  <si>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</si>
  <si>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</si>
  <si>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</si>
  <si>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</si>
  <si>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</si>
  <si>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</si>
  <si>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</si>
  <si>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</si>
  <si>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</si>
  <si>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</si>
  <si>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</si>
  <si>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</si>
  <si>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</si>
  <si>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</si>
  <si>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</si>
  <si>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</si>
  <si>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</si>
  <si>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</si>
  <si>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</si>
  <si>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</si>
  <si>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</si>
  <si>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</si>
  <si>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</si>
  <si>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</si>
  <si>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</si>
  <si>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</si>
  <si>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</si>
  <si>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</si>
  <si>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</si>
  <si>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</si>
  <si>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</si>
  <si>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</si>
  <si>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</si>
  <si>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</si>
  <si>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</si>
  <si>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</si>
  <si>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</si>
  <si>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</si>
  <si>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</si>
  <si>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</si>
  <si>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</si>
  <si>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</si>
  <si>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</si>
  <si>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</si>
  <si>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</si>
  <si>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</si>
  <si>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</si>
  <si>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</si>
  <si>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</si>
  <si>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</si>
  <si>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</si>
  <si>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</si>
  <si>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</si>
  <si>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</si>
  <si>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</si>
  <si>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</si>
  <si>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</si>
  <si>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</si>
  <si>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</si>
  <si>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</si>
  <si>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</si>
  <si>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</si>
  <si>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</si>
  <si>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</si>
  <si>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</si>
  <si>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</si>
  <si>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</si>
  <si>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</si>
  <si>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</si>
  <si>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</si>
  <si>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</si>
  <si>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</si>
  <si>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</si>
  <si>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</si>
  <si>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</si>
  <si>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</si>
  <si>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</si>
  <si>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</si>
  <si>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</si>
  <si>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</si>
  <si>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</si>
  <si>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</si>
  <si>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</si>
  <si>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</si>
  <si>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</si>
  <si>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</si>
  <si>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</si>
  <si>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</si>
  <si>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</si>
  <si>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</si>
  <si>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</si>
  <si>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</si>
  <si>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</si>
  <si>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</si>
  <si>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</si>
  <si>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</si>
  <si>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</si>
  <si>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</si>
  <si>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</si>
  <si>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</si>
  <si>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</si>
  <si>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</si>
  <si>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</si>
  <si>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</si>
  <si>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</si>
  <si>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</si>
  <si>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</si>
  <si>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</si>
  <si>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</si>
  <si>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</si>
  <si>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</si>
  <si>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</si>
  <si>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</si>
  <si>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</si>
  <si>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</si>
  <si>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</si>
  <si>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</si>
  <si>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</si>
  <si>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</si>
  <si>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</si>
  <si>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</si>
  <si>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</si>
  <si>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</si>
  <si>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</si>
  <si>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</si>
  <si>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</si>
  <si>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</si>
  <si>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</si>
  <si>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</si>
  <si>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</si>
  <si>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</si>
  <si>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</si>
  <si>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</si>
  <si>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</si>
  <si>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</si>
  <si>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</si>
  <si>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</si>
  <si>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</si>
  <si>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</si>
  <si>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</si>
  <si>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</si>
  <si>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</si>
  <si>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</si>
  <si>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</si>
  <si>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</si>
  <si>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</si>
  <si>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</si>
  <si>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</si>
  <si>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</si>
  <si>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</si>
  <si>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</si>
  <si>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</si>
  <si>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</si>
  <si>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</si>
  <si>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</si>
  <si>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</si>
  <si>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</si>
  <si>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</si>
  <si>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</si>
  <si>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</si>
  <si>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</si>
  <si>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</si>
  <si>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</si>
  <si>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</si>
  <si>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</si>
  <si>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</si>
  <si>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</si>
  <si>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</si>
  <si>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</si>
  <si>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</si>
  <si>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</si>
  <si>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</si>
  <si>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</si>
  <si>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</si>
  <si>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</si>
  <si>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</si>
  <si>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</si>
  <si>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</si>
  <si>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</si>
  <si>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</si>
  <si>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</si>
  <si>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</si>
  <si>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</si>
  <si>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</si>
  <si>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</si>
  <si>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</si>
  <si>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</si>
  <si>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</si>
  <si>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</si>
  <si>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</si>
  <si>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</si>
  <si>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</si>
  <si>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</si>
  <si>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</si>
  <si>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</si>
  <si>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</si>
  <si>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</si>
  <si>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</si>
  <si>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</si>
  <si>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</si>
  <si>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</si>
  <si>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</si>
  <si>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</si>
  <si>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</si>
  <si>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</si>
  <si>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</si>
  <si>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</si>
  <si>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</si>
  <si>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</si>
  <si>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</si>
  <si>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</si>
  <si>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</si>
  <si>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</si>
  <si>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</si>
  <si>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</si>
  <si>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</si>
  <si>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</si>
  <si>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</si>
  <si>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</si>
  <si>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</si>
  <si>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</si>
  <si>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</si>
  <si>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</si>
  <si>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</si>
  <si>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</si>
  <si>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</si>
  <si>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</si>
  <si>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</si>
  <si>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</si>
  <si>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</si>
  <si>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</si>
  <si>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</si>
  <si>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</si>
  <si>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</si>
  <si>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</si>
  <si>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</si>
  <si>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</si>
  <si>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</si>
  <si>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</si>
  <si>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</si>
  <si>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</si>
  <si>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</si>
  <si>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</si>
  <si>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</si>
  <si>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</si>
  <si>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</si>
  <si>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</si>
  <si>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</si>
  <si>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</si>
  <si>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</si>
  <si>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</si>
  <si>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</si>
  <si>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</si>
  <si>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</si>
  <si>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</si>
  <si>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</si>
  <si>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</si>
  <si>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</si>
  <si>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</si>
  <si>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</si>
  <si>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</si>
  <si>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</si>
  <si>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</si>
  <si>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</si>
  <si>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</si>
  <si>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</si>
  <si>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</si>
  <si>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</si>
  <si>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</si>
  <si>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</si>
  <si>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</si>
  <si>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</si>
  <si>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</si>
  <si>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</si>
  <si>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</si>
  <si>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</si>
  <si>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</si>
  <si>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</si>
  <si>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</si>
  <si>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</si>
  <si>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</si>
  <si>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</si>
  <si>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</si>
  <si>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</si>
  <si>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</si>
  <si>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</si>
  <si>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</si>
  <si>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</si>
  <si>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</si>
  <si>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</si>
  <si>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</si>
  <si>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</si>
  <si>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</si>
  <si>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</si>
  <si>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</si>
  <si>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</si>
  <si>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</si>
  <si>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</si>
  <si>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</si>
  <si>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</si>
  <si>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</si>
  <si>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</si>
  <si>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</si>
  <si>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</si>
  <si>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</si>
  <si>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</si>
  <si>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</si>
  <si>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</si>
  <si>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</si>
  <si>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</si>
  <si>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</si>
  <si>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</si>
  <si>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</si>
  <si>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</si>
  <si>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</si>
  <si>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</si>
  <si>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</si>
  <si>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</si>
  <si>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</si>
  <si>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</si>
  <si>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</si>
  <si>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</si>
  <si>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</si>
  <si>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</si>
  <si>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</si>
  <si>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</si>
  <si>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</si>
  <si>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</si>
  <si>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</si>
  <si>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</si>
  <si>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</si>
  <si>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</si>
  <si>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</si>
  <si>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</si>
  <si>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</si>
  <si>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</si>
  <si>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</si>
  <si>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</si>
  <si>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</si>
  <si>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</si>
  <si>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</si>
  <si>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</si>
  <si>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</si>
  <si>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</si>
  <si>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</si>
  <si>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</si>
  <si>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</si>
  <si>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</si>
  <si>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</si>
  <si>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</si>
  <si>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</si>
  <si>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</si>
  <si>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</si>
  <si>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</si>
  <si>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</si>
  <si>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</si>
  <si>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</si>
  <si>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</si>
  <si>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</si>
  <si>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</si>
  <si>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</si>
  <si>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</si>
  <si>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</si>
  <si>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</si>
  <si>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</si>
  <si>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</si>
  <si>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</si>
  <si>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</si>
  <si>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</si>
  <si>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</si>
  <si>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</si>
  <si>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</si>
  <si>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</si>
  <si>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</si>
  <si>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</si>
  <si>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</si>
  <si>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</si>
  <si>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</si>
  <si>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</si>
  <si>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</si>
  <si>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</si>
  <si>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</si>
  <si>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</si>
  <si>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</si>
  <si>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</si>
  <si>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</si>
  <si>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</si>
  <si>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</si>
  <si>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</si>
  <si>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</si>
  <si>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</si>
  <si>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</si>
  <si>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</si>
  <si>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</si>
  <si>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</si>
  <si>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</si>
  <si>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</si>
  <si>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</si>
  <si>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</si>
  <si>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</si>
  <si>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</si>
  <si>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</si>
  <si>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</si>
  <si>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</si>
  <si>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</si>
  <si>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</si>
  <si>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</si>
  <si>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</si>
  <si>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</si>
  <si>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</si>
  <si>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</si>
  <si>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</si>
  <si>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</si>
  <si>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</si>
  <si>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</si>
  <si>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</si>
  <si>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</si>
  <si>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</si>
  <si>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</si>
  <si>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</si>
  <si>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</si>
  <si>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</si>
  <si>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</si>
  <si>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</si>
  <si>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</si>
  <si>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</si>
  <si>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</si>
  <si>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</si>
  <si>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</si>
  <si>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</si>
  <si>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</si>
  <si>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</si>
  <si>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</si>
  <si>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</si>
  <si>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</si>
  <si>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</si>
  <si>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</si>
  <si>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</si>
  <si>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</si>
  <si>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</si>
  <si>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</si>
  <si>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</si>
  <si>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</si>
  <si>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</si>
  <si>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</si>
  <si>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</si>
  <si>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</si>
  <si>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</si>
  <si>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</si>
  <si>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</si>
  <si>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</si>
  <si>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</si>
  <si>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</si>
  <si>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</si>
  <si>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</si>
  <si>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</si>
  <si>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</si>
  <si>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</si>
  <si>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</si>
  <si>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</si>
  <si>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</si>
  <si>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</si>
  <si>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</si>
  <si>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</si>
  <si>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</si>
  <si>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</si>
  <si>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</si>
  <si>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</si>
  <si>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</si>
  <si>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</si>
  <si>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</si>
  <si>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</si>
  <si>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</si>
  <si>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</si>
  <si>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</si>
  <si>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</si>
  <si>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</si>
  <si>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</si>
  <si>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</si>
  <si>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</si>
  <si>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</si>
  <si>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</si>
  <si>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</si>
  <si>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</si>
  <si>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</si>
  <si>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</si>
  <si>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</si>
  <si>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</si>
  <si>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</si>
  <si>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</si>
  <si>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</si>
  <si>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</si>
  <si>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</si>
  <si>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</si>
  <si>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</si>
  <si>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</si>
  <si>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</si>
  <si>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</si>
  <si>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</si>
  <si>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</si>
  <si>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</si>
  <si>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</si>
  <si>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</si>
  <si>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</si>
  <si>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</si>
  <si>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</si>
  <si>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</si>
  <si>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</si>
  <si>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</si>
  <si>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</si>
  <si>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</si>
  <si>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</si>
  <si>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</si>
  <si>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</si>
  <si>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</si>
  <si>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</si>
  <si>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</si>
  <si>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</si>
  <si>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</si>
  <si>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</si>
  <si>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</si>
  <si>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</si>
  <si>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</si>
  <si>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</si>
  <si>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</si>
  <si>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</si>
  <si>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</si>
  <si>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</si>
  <si>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</si>
  <si>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</si>
  <si>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</si>
  <si>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</si>
  <si>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</si>
  <si>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</si>
  <si>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</si>
  <si>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</si>
  <si>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</si>
  <si>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</si>
  <si>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</si>
  <si>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</si>
  <si>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</si>
  <si>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</si>
  <si>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</si>
  <si>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</si>
  <si>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</si>
  <si>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</si>
  <si>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</si>
  <si>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</si>
  <si>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</si>
  <si>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</si>
  <si>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</si>
  <si>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</si>
  <si>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</si>
  <si>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</si>
  <si>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</si>
  <si>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</si>
  <si>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</si>
  <si>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</si>
  <si>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</si>
  <si>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</si>
  <si>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</si>
  <si>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</si>
  <si>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</si>
  <si>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</si>
  <si>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</si>
  <si>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</si>
  <si>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</si>
  <si>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</si>
  <si>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</si>
  <si>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</si>
  <si>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</si>
  <si>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</si>
  <si>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</si>
  <si>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</si>
  <si>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</si>
  <si>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</si>
  <si>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</si>
  <si>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</si>
  <si>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</si>
  <si>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</si>
  <si>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</si>
  <si>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</si>
  <si>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</si>
  <si>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</si>
  <si>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</si>
  <si>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</si>
  <si>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</si>
  <si>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</si>
  <si>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</si>
  <si>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</si>
  <si>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</si>
  <si>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</si>
  <si>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</si>
  <si>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</si>
  <si>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</si>
  <si>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</si>
  <si>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</si>
  <si>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</si>
  <si>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</si>
  <si>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</si>
  <si>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</si>
  <si>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</si>
  <si>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</si>
  <si>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</si>
  <si>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</si>
  <si>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</si>
  <si>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</si>
  <si>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</si>
  <si>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</si>
  <si>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</si>
  <si>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</si>
  <si>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</si>
  <si>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</si>
  <si>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</si>
  <si>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</si>
  <si>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</si>
  <si>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</si>
  <si>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</si>
  <si>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</si>
  <si>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</si>
  <si>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</si>
  <si>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</si>
  <si>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</si>
  <si>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</si>
  <si>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</si>
  <si>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</si>
  <si>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</si>
  <si>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</si>
  <si>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</si>
  <si>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</si>
  <si>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</si>
  <si>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</si>
  <si>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</si>
  <si>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</si>
  <si>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</si>
  <si>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</si>
  <si>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</si>
  <si>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</si>
  <si>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</si>
  <si>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</si>
  <si>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</si>
  <si>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</si>
  <si>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</si>
  <si>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</si>
  <si>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</si>
  <si>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</si>
  <si>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</si>
  <si>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</si>
  <si>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</si>
  <si>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</si>
  <si>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</si>
  <si>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</si>
  <si>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</si>
  <si>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</si>
  <si>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</si>
  <si>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</si>
  <si>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</si>
  <si>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</si>
  <si>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</si>
  <si>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</si>
  <si>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</si>
  <si>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</si>
  <si>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</si>
  <si>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</si>
  <si>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</si>
  <si>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</si>
  <si>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</si>
  <si>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</si>
  <si>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</si>
  <si>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</si>
  <si>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</si>
  <si>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</si>
  <si>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</si>
  <si>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</si>
  <si>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</si>
  <si>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</si>
  <si>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</si>
  <si>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</si>
  <si>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</si>
  <si>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</si>
  <si>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</si>
  <si>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</si>
  <si>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</si>
  <si>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</si>
  <si>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</si>
  <si>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</si>
  <si>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</si>
  <si>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</si>
  <si>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</si>
  <si>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</si>
  <si>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</si>
  <si>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</si>
  <si>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</si>
  <si>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</si>
  <si>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</si>
  <si>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</si>
  <si>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</si>
  <si>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</si>
  <si>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</si>
  <si>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</si>
  <si>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</si>
  <si>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</si>
  <si>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</si>
  <si>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</si>
  <si>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</si>
  <si>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</si>
  <si>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</si>
  <si>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</si>
  <si>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</si>
  <si>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</si>
  <si>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</si>
  <si>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</si>
  <si>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</si>
  <si>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</si>
  <si>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</si>
  <si>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</si>
  <si>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</si>
  <si>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</si>
  <si>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</si>
  <si>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</si>
  <si>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</si>
  <si>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</si>
  <si>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</si>
  <si>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</si>
  <si>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</si>
  <si>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</si>
  <si>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</si>
  <si>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</si>
  <si>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</si>
  <si>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</si>
  <si>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</si>
  <si>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</si>
  <si>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</si>
  <si>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</si>
  <si>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</si>
  <si>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</si>
  <si>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</si>
  <si>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</si>
  <si>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</si>
  <si>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</si>
  <si>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</si>
  <si>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</si>
  <si>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</si>
  <si>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</si>
  <si>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</si>
  <si>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</si>
  <si>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</si>
  <si>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</si>
  <si>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</si>
  <si>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</si>
  <si>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</si>
  <si>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</si>
  <si>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</si>
  <si>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</si>
  <si>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</si>
  <si>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</si>
  <si>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</si>
  <si>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</si>
  <si>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</si>
  <si>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</si>
  <si>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</si>
  <si>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</si>
  <si>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</si>
  <si>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</si>
  <si>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</si>
  <si>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</si>
  <si>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</si>
  <si>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</si>
  <si>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</si>
  <si>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</si>
  <si>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</si>
  <si>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</si>
  <si>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</si>
  <si>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</si>
  <si>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</si>
  <si>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</si>
  <si>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</si>
  <si>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</si>
  <si>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</si>
  <si>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</si>
  <si>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</si>
  <si>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</si>
  <si>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</si>
  <si>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</si>
  <si>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</si>
  <si>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</si>
  <si>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</si>
  <si>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</si>
  <si>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</si>
  <si>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</si>
  <si>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</si>
  <si>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</si>
  <si>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</si>
  <si>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</si>
  <si>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</si>
  <si>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</si>
  <si>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</si>
  <si>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</si>
  <si>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</si>
  <si>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</si>
  <si>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</si>
  <si>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</si>
  <si>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</si>
  <si>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</si>
  <si>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</si>
  <si>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</si>
  <si>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</si>
  <si>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</si>
  <si>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</si>
  <si>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</si>
  <si>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</si>
  <si>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</si>
  <si>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</si>
  <si>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</si>
  <si>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</si>
  <si>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</si>
  <si>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</si>
  <si>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</si>
  <si>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</si>
  <si>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</si>
  <si>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</si>
  <si>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</si>
  <si>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</si>
  <si>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</si>
  <si>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</si>
  <si>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</si>
  <si>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</si>
  <si>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</si>
  <si>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</si>
  <si>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</si>
  <si>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</si>
  <si>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</si>
  <si>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</si>
  <si>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</si>
  <si>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</si>
  <si>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</si>
  <si>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</si>
  <si>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</si>
  <si>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</si>
  <si>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</si>
  <si>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</si>
  <si>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</si>
  <si>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</si>
  <si>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</si>
  <si>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</si>
  <si>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</si>
  <si>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</si>
  <si>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</si>
  <si>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</si>
  <si>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</si>
  <si>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</si>
  <si>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</si>
  <si>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</si>
  <si>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</si>
  <si>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</si>
  <si>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</si>
  <si>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</si>
  <si>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</si>
  <si>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</si>
  <si>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</si>
  <si>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</si>
  <si>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</si>
  <si>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</si>
  <si>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</si>
  <si>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</si>
  <si>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</si>
  <si>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</si>
  <si>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</si>
  <si>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</si>
  <si>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</si>
  <si>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</si>
  <si>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</si>
  <si>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</si>
  <si>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</si>
  <si>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</si>
  <si>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</si>
  <si>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</si>
  <si>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</si>
  <si>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</si>
  <si>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</si>
  <si>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</si>
  <si>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</si>
  <si>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</si>
  <si>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</si>
  <si>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</si>
  <si>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</si>
  <si>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</si>
  <si>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</si>
  <si>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</si>
  <si>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</si>
  <si>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</si>
  <si>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</si>
  <si>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</si>
  <si>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</si>
  <si>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</si>
  <si>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</si>
  <si>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</si>
  <si>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</si>
  <si>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</si>
  <si>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</si>
  <si>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</si>
  <si>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</si>
  <si>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</si>
  <si>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</si>
  <si>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</si>
  <si>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</si>
  <si>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</si>
  <si>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</si>
  <si>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</si>
  <si>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</si>
  <si>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</si>
  <si>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</si>
  <si>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</si>
  <si>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</si>
  <si>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</si>
  <si>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</si>
  <si>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</si>
  <si>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</si>
  <si>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</si>
  <si>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</si>
  <si>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</si>
  <si>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</si>
  <si>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</si>
  <si>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</si>
  <si>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</si>
  <si>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</si>
  <si>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</si>
  <si>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</si>
  <si>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</si>
  <si>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</si>
  <si>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</si>
  <si>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</si>
  <si>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</si>
  <si>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</si>
  <si>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</si>
  <si>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</si>
  <si>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</si>
  <si>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</si>
  <si>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</si>
  <si>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</si>
  <si>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</si>
  <si>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</si>
  <si>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</si>
  <si>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</si>
  <si>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</si>
  <si>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</si>
  <si>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</si>
  <si>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</si>
  <si>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</si>
  <si>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</si>
  <si>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</si>
  <si>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</si>
  <si>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</si>
  <si>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</si>
  <si>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</si>
  <si>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</si>
  <si>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</si>
  <si>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</si>
  <si>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</si>
  <si>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</si>
  <si>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</si>
  <si>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</si>
  <si>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</si>
  <si>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</si>
  <si>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</si>
  <si>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</si>
  <si>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</si>
  <si>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</si>
  <si>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</si>
  <si>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</si>
  <si>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</si>
  <si>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</si>
  <si>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</si>
  <si>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</si>
  <si>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</si>
  <si>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</si>
  <si>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</si>
  <si>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</si>
  <si>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</si>
  <si>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</si>
  <si>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</si>
  <si>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</si>
  <si>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</si>
  <si>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</si>
  <si>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</si>
  <si>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</si>
  <si>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</si>
  <si>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</si>
  <si>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</si>
  <si>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</si>
  <si>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</si>
  <si>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</si>
  <si>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</si>
  <si>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</si>
  <si>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</si>
  <si>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</si>
  <si>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</si>
  <si>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</si>
  <si>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</si>
  <si>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</si>
  <si>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</si>
  <si>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</si>
  <si>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</si>
  <si>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</si>
  <si>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</si>
  <si>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</si>
  <si>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</si>
  <si>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</si>
  <si>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</si>
  <si>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</si>
  <si>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</si>
  <si>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</si>
  <si>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</si>
  <si>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</si>
  <si>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</si>
  <si>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</si>
  <si>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</si>
  <si>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</si>
  <si>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</si>
  <si>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</si>
  <si>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</si>
  <si>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</si>
  <si>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</si>
  <si>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</si>
  <si>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</si>
  <si>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</si>
  <si>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</si>
  <si>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</si>
  <si>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</si>
  <si>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</si>
  <si>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</si>
  <si>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</si>
  <si>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</si>
  <si>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</si>
  <si>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</si>
  <si>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</si>
  <si>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</si>
  <si>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</si>
  <si>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</si>
  <si>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</si>
  <si>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</si>
  <si>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</si>
  <si>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</si>
  <si>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</si>
  <si>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</si>
  <si>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</si>
  <si>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</si>
  <si>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</si>
  <si>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</si>
  <si>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</si>
  <si>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</si>
  <si>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</si>
  <si>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</si>
  <si>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</si>
  <si>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</si>
  <si>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</si>
  <si>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</si>
  <si>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</si>
  <si>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</si>
  <si>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</si>
  <si>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</si>
  <si>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</si>
  <si>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</si>
  <si>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</si>
  <si>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</si>
  <si>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</si>
  <si>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</si>
  <si>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</si>
  <si>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</si>
  <si>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</si>
  <si>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</si>
  <si>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</si>
  <si>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</si>
  <si>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</si>
  <si>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</si>
  <si>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</si>
  <si>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</si>
  <si>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</si>
  <si>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</si>
  <si>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</si>
  <si>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</si>
  <si>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</si>
  <si>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</si>
  <si>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</si>
  <si>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</si>
  <si>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</si>
  <si>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</si>
  <si>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</si>
  <si>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</si>
  <si>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</si>
  <si>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</si>
  <si>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</si>
  <si>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</si>
  <si>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</si>
  <si>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</si>
  <si>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</si>
  <si>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</si>
  <si>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</si>
  <si>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</si>
  <si>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</si>
  <si>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</si>
  <si>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</si>
  <si>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</si>
  <si>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</si>
  <si>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</si>
  <si>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</si>
  <si>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</si>
  <si>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</si>
  <si>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</si>
  <si>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</si>
  <si>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</si>
  <si>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</si>
  <si>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</si>
  <si>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</si>
  <si>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</si>
  <si>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</si>
  <si>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</si>
  <si>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</si>
  <si>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</si>
  <si>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</si>
  <si>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</si>
  <si>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</si>
  <si>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</si>
  <si>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</si>
  <si>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</si>
  <si>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</si>
  <si>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</si>
  <si>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</si>
  <si>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</si>
  <si>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</si>
  <si>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</si>
  <si>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</si>
  <si>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</si>
  <si>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</si>
  <si>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</si>
  <si>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</si>
  <si>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</si>
  <si>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</si>
  <si>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</si>
  <si>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</si>
  <si>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</si>
  <si>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</si>
  <si>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</si>
  <si>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</si>
  <si>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</si>
  <si>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</si>
  <si>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</si>
  <si>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</si>
  <si>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</si>
  <si>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</si>
  <si>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</si>
  <si>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</si>
  <si>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</si>
  <si>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</si>
  <si>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</si>
  <si>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</si>
  <si>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</si>
  <si>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</si>
  <si>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</si>
  <si>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</si>
  <si>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</si>
  <si>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</si>
  <si>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</si>
  <si>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</si>
  <si>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</si>
  <si>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</si>
  <si>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</si>
  <si>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</si>
  <si>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</si>
  <si>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</si>
  <si>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</si>
  <si>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</si>
  <si>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</si>
  <si>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</si>
  <si>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</si>
  <si>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</si>
  <si>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</si>
  <si>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</si>
  <si>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</si>
  <si>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</si>
  <si>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</si>
  <si>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</si>
  <si>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</si>
  <si>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</si>
  <si>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</si>
  <si>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</si>
  <si>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</si>
  <si>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</si>
  <si>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</si>
  <si>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</si>
  <si>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</si>
  <si>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</si>
  <si>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</si>
  <si>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</si>
  <si>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</si>
  <si>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</si>
  <si>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</si>
  <si>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</si>
  <si>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</si>
  <si>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</si>
  <si>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</si>
  <si>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</si>
  <si>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</si>
  <si>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</si>
  <si>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</si>
  <si>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</si>
  <si>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</si>
  <si>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</si>
  <si>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</si>
  <si>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</si>
  <si>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</si>
  <si>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</si>
  <si>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</si>
  <si>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</si>
  <si>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</si>
  <si>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</si>
  <si>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</si>
  <si>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</si>
  <si>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</si>
  <si>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</si>
  <si>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</si>
  <si>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</si>
  <si>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</si>
  <si>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</si>
  <si>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</si>
  <si>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</si>
  <si>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</si>
  <si>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</si>
  <si>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</si>
  <si>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</si>
  <si>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</si>
  <si>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</si>
  <si>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</si>
  <si>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</si>
  <si>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</si>
  <si>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</si>
  <si>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</si>
  <si>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</si>
  <si>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</si>
  <si>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</si>
  <si>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</si>
  <si>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</si>
  <si>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</si>
  <si>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</si>
  <si>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</si>
  <si>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</si>
  <si>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</si>
  <si>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</si>
  <si>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</si>
  <si>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</si>
  <si>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</si>
  <si>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</si>
  <si>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</si>
  <si>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</si>
  <si>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</si>
  <si>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</si>
  <si>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</si>
  <si>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</si>
  <si>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</si>
  <si>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</si>
  <si>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</si>
  <si>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</si>
  <si>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</si>
  <si>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</si>
  <si>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</si>
  <si>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</si>
  <si>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</si>
  <si>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</si>
  <si>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</si>
  <si>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</si>
  <si>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</si>
  <si>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</si>
  <si>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</si>
  <si>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</si>
  <si>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</si>
  <si>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</si>
  <si>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</si>
  <si>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</si>
  <si>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</si>
  <si>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</si>
  <si>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</si>
  <si>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</si>
  <si>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</si>
  <si>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</si>
  <si>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</si>
  <si>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</si>
  <si>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</si>
  <si>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</si>
  <si>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</si>
  <si>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</si>
  <si>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</si>
  <si>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</si>
  <si>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</si>
  <si>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</si>
  <si>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</si>
  <si>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</si>
  <si>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</si>
  <si>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</si>
  <si>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</si>
  <si>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</si>
  <si>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</si>
  <si>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</si>
  <si>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</si>
  <si>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</si>
  <si>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</si>
  <si>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</si>
  <si>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</si>
  <si>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</si>
  <si>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</si>
  <si>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</si>
  <si>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</si>
  <si>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</si>
  <si>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</si>
  <si>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</si>
  <si>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</si>
  <si>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</si>
  <si>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</si>
  <si>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</si>
  <si>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</si>
  <si>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</si>
  <si>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</si>
  <si>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</si>
  <si>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</si>
  <si>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</si>
  <si>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</si>
  <si>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</si>
  <si>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</si>
  <si>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</si>
  <si>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</si>
  <si>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</si>
  <si>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</si>
  <si>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</si>
  <si>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</si>
  <si>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</si>
  <si>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</si>
  <si>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</si>
  <si>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</si>
  <si>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</si>
  <si>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</si>
  <si>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</si>
  <si>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</si>
  <si>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</si>
  <si>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</si>
  <si>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</si>
  <si>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</si>
  <si>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</si>
  <si>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</si>
  <si>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</si>
  <si>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</si>
  <si>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</si>
  <si>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</si>
  <si>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</si>
  <si>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</si>
  <si>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</si>
  <si>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</si>
  <si>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</si>
  <si>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</si>
  <si>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</si>
  <si>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</si>
  <si>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</si>
  <si>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</si>
  <si>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</si>
  <si>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</si>
  <si>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</si>
  <si>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</si>
  <si>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</si>
  <si>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</si>
  <si>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</si>
  <si>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</si>
  <si>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</si>
  <si>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</si>
  <si>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</si>
  <si>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</si>
  <si>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</si>
  <si>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</si>
  <si>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</si>
  <si>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</si>
  <si>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</si>
  <si>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</si>
  <si>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</si>
  <si>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</si>
  <si>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</si>
  <si>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</si>
  <si>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</si>
  <si>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</si>
  <si>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</si>
  <si>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</si>
  <si>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</si>
  <si>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</si>
  <si>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</si>
  <si>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</si>
  <si>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</si>
  <si>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</si>
  <si>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</si>
  <si>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</si>
  <si>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</si>
  <si>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</si>
  <si>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</si>
  <si>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</si>
  <si>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</si>
  <si>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</si>
  <si>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</si>
  <si>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</si>
  <si>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</si>
  <si>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</si>
  <si>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</si>
  <si>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</si>
  <si>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</si>
  <si>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</si>
  <si>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</si>
  <si>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</si>
  <si>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</si>
  <si>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</si>
  <si>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</si>
  <si>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</si>
  <si>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</si>
  <si>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</si>
  <si>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</si>
  <si>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</si>
  <si>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</si>
  <si>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</si>
  <si>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</si>
  <si>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</si>
  <si>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</si>
  <si>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</si>
  <si>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</si>
  <si>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</si>
  <si>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</si>
  <si>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</si>
  <si>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</si>
  <si>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</si>
  <si>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</si>
  <si>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</si>
  <si>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</si>
  <si>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</si>
  <si>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</si>
  <si>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</si>
  <si>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</si>
  <si>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</si>
  <si>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</si>
  <si>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</si>
  <si>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</si>
  <si>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</si>
  <si>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</si>
  <si>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</si>
  <si>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</si>
  <si>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</si>
  <si>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</si>
  <si>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</si>
  <si>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</si>
  <si>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</si>
  <si>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</si>
  <si>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</si>
  <si>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</si>
  <si>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</si>
  <si>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</si>
  <si>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</si>
  <si>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</si>
  <si>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</si>
  <si>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</si>
  <si>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</si>
  <si>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</si>
  <si>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</si>
  <si>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</si>
  <si>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</si>
  <si>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</si>
  <si>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</si>
  <si>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</si>
  <si>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</si>
  <si>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</si>
  <si>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</si>
  <si>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</si>
  <si>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</si>
  <si>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</si>
  <si>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</si>
  <si>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</si>
  <si>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</si>
  <si>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</si>
  <si>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</si>
  <si>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</si>
  <si>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</si>
  <si>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</si>
  <si>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</si>
  <si>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</si>
  <si>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</si>
  <si>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</si>
  <si>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</si>
  <si>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</si>
  <si>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</si>
  <si>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</si>
  <si>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</si>
  <si>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</si>
  <si>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</si>
  <si>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</si>
  <si>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</si>
  <si>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</si>
  <si>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</si>
  <si>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</si>
  <si>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</si>
  <si>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</si>
  <si>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</si>
  <si>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</si>
  <si>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</si>
  <si>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</si>
  <si>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</si>
  <si>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</si>
  <si>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</si>
  <si>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</si>
  <si>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</si>
  <si>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</si>
  <si>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</si>
  <si>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</si>
  <si>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</si>
  <si>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</si>
  <si>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</si>
  <si>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</si>
  <si>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</si>
  <si>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</si>
  <si>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</si>
  <si>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</si>
  <si>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</si>
  <si>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</si>
  <si>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</si>
  <si>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</si>
  <si>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</si>
  <si>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</si>
  <si>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</si>
  <si>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</si>
  <si>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</si>
  <si>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</si>
  <si>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</si>
  <si>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</si>
  <si>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</si>
  <si>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</si>
  <si>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</si>
  <si>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</si>
  <si>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</si>
  <si>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</si>
  <si>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</si>
  <si>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</si>
  <si>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</si>
  <si>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</si>
  <si>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</si>
  <si>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</si>
  <si>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</si>
  <si>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</si>
  <si>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</si>
  <si>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</si>
  <si>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</si>
  <si>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</si>
  <si>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</si>
  <si>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</si>
  <si>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</si>
  <si>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</si>
  <si>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</si>
  <si>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</si>
  <si>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</si>
  <si>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</si>
  <si>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</si>
  <si>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</si>
  <si>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</si>
  <si>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</si>
  <si>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</si>
  <si>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</si>
  <si>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</si>
  <si>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</si>
  <si>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</si>
  <si>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</si>
  <si>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</si>
  <si>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</si>
  <si>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</si>
  <si>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</si>
  <si>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</si>
  <si>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</si>
  <si>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</si>
  <si>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</si>
  <si>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</si>
  <si>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</si>
  <si>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</si>
  <si>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</si>
  <si>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</si>
  <si>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</si>
  <si>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</si>
  <si>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</si>
  <si>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</si>
  <si>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</si>
  <si>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</si>
  <si>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</si>
  <si>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</si>
  <si>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</si>
  <si>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</si>
  <si>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</si>
  <si>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</si>
  <si>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</si>
  <si>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</si>
  <si>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</si>
  <si>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</si>
  <si>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</si>
  <si>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</si>
  <si>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</si>
  <si>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</si>
  <si>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</si>
  <si>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</si>
  <si>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</si>
  <si>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</si>
  <si>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</si>
  <si>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</si>
  <si>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</si>
  <si>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</si>
  <si>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</si>
  <si>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</si>
  <si>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</si>
  <si>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</si>
  <si>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</si>
  <si>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</si>
  <si>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</si>
  <si>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</si>
  <si>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</si>
  <si>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</si>
  <si>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</si>
  <si>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</si>
  <si>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</si>
  <si>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</si>
  <si>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</si>
  <si>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</si>
  <si>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</si>
  <si>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</si>
  <si>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</si>
  <si>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</si>
  <si>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</si>
  <si>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</si>
  <si>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</si>
  <si>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</si>
  <si>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</si>
  <si>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</si>
  <si>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</si>
  <si>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</si>
  <si>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</si>
  <si>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</si>
  <si>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</si>
  <si>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</si>
  <si>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</si>
  <si>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</si>
  <si>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</si>
  <si>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</si>
  <si>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</si>
  <si>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</si>
  <si>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</si>
  <si>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</si>
  <si>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</si>
  <si>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</si>
  <si>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</si>
  <si>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</si>
  <si>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</si>
  <si>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</si>
  <si>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</si>
  <si>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</si>
  <si>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</si>
  <si>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</si>
  <si>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</si>
  <si>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</si>
  <si>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</si>
  <si>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</si>
  <si>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</si>
  <si>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</si>
  <si>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</si>
  <si>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</si>
  <si>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</si>
  <si>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</si>
  <si>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</si>
  <si>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</si>
  <si>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</si>
  <si>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</si>
  <si>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</si>
  <si>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</si>
  <si>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</si>
  <si>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</si>
  <si>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</si>
  <si>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</si>
  <si>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</si>
  <si>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</si>
  <si>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</si>
  <si>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</si>
  <si>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</si>
  <si>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</si>
  <si>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</si>
  <si>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</si>
  <si>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</si>
  <si>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</si>
  <si>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</si>
  <si>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</si>
  <si>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</si>
  <si>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</si>
  <si>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</si>
  <si>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</si>
  <si>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</si>
  <si>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</si>
  <si>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</si>
  <si>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</si>
  <si>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</si>
  <si>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</si>
  <si>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</si>
  <si>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</si>
  <si>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</si>
  <si>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</si>
  <si>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</si>
  <si>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</si>
  <si>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</si>
  <si>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</si>
  <si>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</si>
  <si>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</si>
  <si>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</si>
  <si>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</si>
  <si>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</si>
  <si>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</si>
  <si>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</si>
  <si>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</si>
  <si>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</si>
  <si>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</si>
  <si>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</si>
  <si>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</si>
  <si>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</si>
  <si>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</si>
  <si>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</si>
  <si>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</si>
  <si>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</si>
  <si>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</si>
  <si>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</si>
  <si>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</si>
  <si>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</si>
  <si>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</si>
  <si>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</si>
  <si>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</si>
  <si>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</si>
  <si>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</si>
  <si>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</si>
  <si>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</si>
  <si>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</si>
  <si>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</si>
  <si>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</si>
  <si>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</si>
  <si>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</si>
  <si>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</si>
  <si>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</si>
  <si>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</si>
  <si>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</si>
  <si>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</si>
  <si>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</si>
  <si>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</si>
  <si>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</si>
  <si>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</si>
  <si>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</si>
  <si>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</si>
  <si>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</si>
  <si>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</si>
  <si>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</si>
  <si>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</si>
  <si>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</si>
  <si>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</si>
  <si>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</si>
  <si>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</si>
  <si>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</si>
  <si>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</si>
  <si>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</si>
  <si>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</si>
  <si>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</si>
  <si>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</si>
  <si>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</si>
  <si>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</si>
  <si>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</si>
  <si>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</si>
  <si>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</si>
  <si>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</si>
  <si>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</si>
  <si>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</si>
  <si>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</si>
  <si>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</si>
  <si>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</si>
  <si>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</si>
  <si>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</si>
  <si>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</si>
  <si>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</si>
  <si>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</si>
  <si>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</si>
  <si>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</si>
  <si>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</si>
  <si>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</si>
  <si>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</si>
  <si>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</si>
  <si>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</si>
  <si>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</si>
  <si>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</si>
  <si>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</si>
  <si>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</si>
  <si>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</si>
  <si>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</si>
  <si>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</si>
  <si>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</si>
  <si>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</si>
  <si>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</si>
  <si>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</si>
  <si>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</si>
  <si>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</si>
  <si>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</si>
  <si>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</si>
  <si>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</si>
  <si>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</si>
  <si>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</si>
  <si>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</si>
  <si>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</si>
  <si>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</si>
  <si>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</si>
  <si>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</si>
  <si>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</si>
  <si>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</si>
  <si>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</si>
  <si>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</si>
  <si>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</si>
  <si>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</si>
  <si>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</si>
  <si>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</si>
  <si>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</si>
  <si>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</si>
  <si>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</si>
  <si>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</si>
  <si>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</si>
  <si>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</si>
  <si>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</si>
  <si>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</si>
  <si>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</si>
  <si>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</si>
  <si>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</si>
  <si>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</si>
  <si>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</si>
  <si>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</si>
  <si>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</si>
  <si>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</si>
  <si>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</si>
  <si>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</si>
  <si>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</si>
  <si>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</si>
  <si>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</si>
  <si>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</si>
  <si>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</si>
  <si>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</si>
  <si>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</si>
  <si>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</si>
  <si>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</si>
  <si>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</si>
  <si>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</si>
  <si>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</si>
  <si>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</si>
  <si>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</si>
  <si>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</si>
  <si>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</si>
  <si>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</si>
  <si>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</si>
  <si>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</si>
  <si>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</si>
  <si>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</si>
  <si>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</si>
  <si>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</si>
  <si>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</si>
  <si>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</si>
  <si>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</si>
  <si>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</si>
  <si>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</si>
  <si>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</si>
  <si>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</si>
  <si>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</si>
  <si>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</si>
  <si>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</si>
  <si>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</si>
  <si>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</si>
  <si>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</si>
  <si>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</si>
  <si>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</si>
  <si>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</si>
  <si>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</si>
  <si>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</si>
  <si>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</si>
  <si>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</si>
  <si>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</si>
  <si>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</si>
  <si>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</si>
  <si>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</si>
  <si>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</si>
  <si>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</si>
  <si>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</si>
  <si>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</si>
  <si>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</si>
  <si>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</si>
  <si>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</si>
  <si>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</si>
  <si>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</si>
  <si>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</si>
  <si>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</si>
  <si>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</si>
  <si>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</si>
  <si>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</si>
  <si>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</si>
  <si>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</si>
  <si>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</si>
  <si>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</si>
  <si>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</si>
  <si>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</si>
  <si>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</si>
  <si>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</si>
  <si>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</si>
  <si>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</si>
  <si>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</si>
  <si>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</si>
  <si>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</si>
  <si>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</si>
  <si>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</si>
  <si>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</si>
  <si>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</si>
  <si>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</si>
  <si>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</si>
  <si>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</si>
  <si>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</si>
  <si>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</si>
  <si>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</si>
  <si>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</si>
  <si>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</si>
  <si>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</si>
  <si>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</si>
  <si>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</si>
  <si>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</si>
  <si>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</si>
  <si>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</si>
  <si>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</si>
  <si>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</si>
  <si>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</si>
  <si>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</si>
  <si>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</si>
  <si>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</si>
  <si>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</si>
  <si>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</si>
  <si>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</si>
  <si>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</si>
  <si>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</si>
  <si>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</si>
  <si>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</si>
  <si>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</si>
  <si>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</si>
  <si>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</si>
  <si>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</si>
  <si>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</si>
  <si>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</si>
  <si>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</si>
  <si>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</si>
  <si>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</si>
  <si>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</si>
  <si>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</si>
  <si>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</si>
  <si>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</si>
  <si>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</si>
  <si>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</si>
  <si>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</si>
  <si>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</si>
  <si>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</si>
  <si>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</si>
  <si>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</si>
  <si>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</si>
  <si>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</si>
  <si>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</si>
  <si>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</si>
  <si>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</si>
  <si>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</si>
  <si>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</si>
  <si>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</si>
  <si>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</si>
  <si>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</si>
  <si>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</si>
  <si>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</si>
  <si>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</si>
  <si>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</si>
  <si>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</si>
  <si>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</si>
  <si>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</si>
  <si>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</si>
  <si>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</si>
  <si>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</si>
  <si>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</si>
  <si>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</si>
  <si>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</si>
  <si>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</si>
  <si>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</si>
  <si>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</si>
  <si>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</si>
  <si>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</si>
  <si>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</si>
  <si>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</si>
  <si>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</si>
  <si>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</si>
  <si>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</si>
  <si>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</si>
  <si>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</si>
  <si>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</si>
  <si>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</si>
  <si>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</si>
  <si>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</si>
  <si>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</si>
  <si>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</si>
  <si>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</si>
  <si>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</si>
  <si>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</si>
  <si>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</si>
  <si>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</si>
  <si>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</si>
  <si>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</si>
  <si>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</si>
  <si>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</si>
  <si>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</si>
  <si>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</si>
  <si>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</si>
  <si>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</si>
  <si>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</si>
  <si>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</si>
  <si>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</si>
  <si>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</si>
  <si>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</si>
  <si>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</si>
  <si>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</si>
  <si>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</si>
  <si>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</si>
  <si>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</si>
  <si>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</si>
  <si>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</si>
  <si>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</si>
  <si>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</si>
  <si>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</si>
  <si>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</si>
  <si>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</si>
  <si>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</si>
  <si>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</si>
  <si>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</si>
  <si>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</si>
  <si>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</si>
  <si>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</si>
  <si>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</si>
  <si>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</si>
  <si>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</si>
  <si>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</si>
  <si>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</si>
  <si>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</si>
  <si>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</si>
  <si>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</si>
  <si>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</si>
  <si>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</si>
  <si>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</si>
  <si>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</si>
  <si>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</si>
  <si>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</si>
  <si>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</si>
  <si>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</si>
  <si>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</si>
  <si>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</si>
  <si>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</si>
  <si>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</si>
  <si>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</si>
  <si>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</si>
  <si>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</si>
  <si>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</si>
  <si>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</si>
  <si>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</si>
  <si>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</si>
  <si>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</si>
  <si>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</si>
  <si>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</si>
  <si>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</si>
  <si>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</si>
  <si>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</si>
  <si>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</si>
  <si>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</si>
  <si>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</si>
  <si>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</si>
  <si>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</si>
  <si>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</si>
  <si>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</si>
  <si>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</si>
  <si>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</si>
  <si>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</si>
  <si>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</si>
  <si>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</si>
  <si>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</si>
  <si>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</si>
  <si>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</si>
  <si>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</si>
  <si>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</si>
  <si>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</si>
  <si>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</si>
  <si>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</si>
  <si>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</si>
  <si>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</si>
  <si>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</si>
  <si>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</si>
  <si>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</si>
  <si>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</si>
  <si>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</si>
  <si>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</si>
  <si>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</si>
  <si>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</si>
  <si>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</si>
  <si>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</si>
  <si>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</si>
  <si>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</si>
  <si>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</si>
  <si>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</si>
  <si>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</si>
  <si>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</si>
  <si>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</si>
  <si>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</si>
  <si>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</si>
  <si>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</si>
  <si>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</si>
  <si>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</si>
  <si>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</si>
  <si>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</si>
  <si>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</si>
  <si>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</si>
  <si>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</si>
  <si>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</si>
  <si>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</si>
  <si>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</si>
  <si>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</si>
  <si>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</si>
  <si>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</si>
  <si>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</si>
  <si>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</si>
  <si>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</si>
  <si>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</si>
  <si>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</si>
  <si>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</si>
  <si>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</si>
  <si>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</si>
  <si>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</si>
  <si>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</si>
  <si>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</si>
  <si>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</si>
  <si>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</si>
  <si>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</si>
  <si>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</si>
  <si>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</si>
  <si>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</si>
  <si>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</si>
  <si>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</si>
  <si>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</si>
  <si>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</si>
  <si>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</si>
  <si>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</si>
  <si>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</si>
  <si>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</si>
  <si>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</si>
  <si>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</si>
  <si>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</si>
  <si>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</si>
  <si>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</si>
  <si>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</si>
  <si>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</si>
  <si>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</si>
  <si>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</si>
  <si>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</si>
  <si>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</si>
  <si>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</si>
  <si>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</si>
  <si>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</si>
  <si>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</si>
  <si>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</si>
  <si>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</si>
  <si>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</si>
  <si>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</si>
  <si>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</si>
  <si>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</si>
  <si>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</si>
  <si>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</si>
  <si>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</si>
  <si>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</si>
  <si>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</si>
  <si>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</si>
  <si>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</si>
  <si>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</si>
  <si>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</si>
  <si>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</si>
  <si>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</si>
  <si>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</si>
  <si>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</si>
  <si>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</si>
  <si>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</si>
  <si>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</si>
  <si>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</si>
  <si>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</si>
  <si>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</si>
  <si>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</si>
  <si>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</si>
  <si>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</si>
  <si>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</si>
  <si>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</si>
  <si>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</si>
  <si>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</si>
  <si>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</si>
  <si>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</si>
  <si>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</si>
  <si>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</si>
  <si>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</si>
  <si>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</si>
  <si>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</si>
  <si>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</si>
  <si>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</si>
  <si>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</si>
  <si>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</si>
  <si>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</si>
  <si>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</si>
  <si>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</si>
  <si>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</si>
  <si>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</si>
  <si>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</si>
  <si>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</si>
  <si>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</si>
  <si>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</si>
  <si>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</si>
  <si>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</si>
  <si>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</si>
  <si>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</si>
  <si>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</si>
  <si>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</si>
  <si>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</si>
  <si>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</si>
  <si>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</si>
  <si>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</si>
  <si>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</si>
  <si>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</si>
  <si>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</si>
  <si>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</si>
  <si>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</si>
  <si>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</si>
  <si>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</si>
  <si>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</si>
  <si>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</si>
  <si>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</si>
  <si>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</si>
  <si>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</si>
  <si>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</si>
  <si>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</si>
  <si>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</si>
  <si>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</si>
  <si>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</si>
  <si>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</si>
  <si>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</si>
  <si>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</si>
  <si>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</si>
  <si>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</si>
  <si>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</si>
  <si>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</si>
  <si>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</si>
  <si>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</si>
  <si>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</si>
  <si>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</si>
  <si>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</si>
  <si>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</si>
  <si>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</si>
  <si>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</si>
  <si>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</si>
  <si>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</si>
  <si>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</si>
  <si>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</si>
  <si>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</si>
  <si>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</si>
  <si>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</si>
  <si>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</si>
  <si>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</si>
  <si>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</si>
  <si>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</si>
  <si>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</si>
  <si>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</si>
  <si>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</si>
  <si>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</si>
  <si>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</si>
  <si>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</si>
  <si>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</si>
  <si>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</si>
  <si>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</si>
  <si>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</si>
  <si>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</si>
  <si>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</si>
  <si>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</si>
  <si>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</si>
  <si>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</si>
  <si>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</si>
  <si>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</si>
  <si>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</si>
  <si>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</si>
  <si>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</si>
  <si>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</si>
  <si>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</si>
  <si>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</si>
  <si>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</si>
  <si>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</si>
  <si>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</si>
  <si>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</si>
  <si>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</si>
  <si>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</si>
  <si>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</si>
  <si>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</si>
  <si>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</si>
  <si>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</si>
  <si>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</si>
  <si>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</si>
  <si>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</si>
  <si>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</si>
  <si>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</si>
  <si>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</si>
  <si>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</si>
  <si>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</si>
  <si>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</si>
  <si>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</si>
  <si>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</si>
  <si>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</si>
  <si>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</si>
  <si>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</si>
  <si>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</si>
  <si>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</si>
  <si>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</si>
  <si>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</si>
  <si>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</si>
  <si>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</si>
  <si>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</si>
  <si>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</si>
  <si>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</si>
  <si>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</si>
  <si>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</si>
  <si>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</si>
  <si>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</si>
  <si>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</si>
  <si>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</si>
  <si>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</si>
  <si>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</si>
  <si>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</si>
  <si>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</si>
  <si>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</si>
  <si>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</si>
  <si>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</si>
  <si>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</si>
  <si>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</si>
  <si>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</si>
  <si>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</si>
  <si>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</si>
  <si>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</si>
  <si>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</si>
  <si>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</si>
  <si>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</si>
  <si>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</si>
  <si>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</si>
  <si>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</si>
  <si>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</si>
  <si>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</si>
  <si>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</si>
  <si>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</si>
  <si>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</si>
  <si>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</si>
  <si>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</si>
  <si>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</si>
  <si>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</si>
  <si>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</si>
  <si>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</si>
  <si>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</si>
  <si>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</si>
  <si>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</si>
  <si>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</si>
  <si>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</si>
  <si>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</si>
  <si>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</si>
  <si>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</si>
  <si>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</si>
  <si>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</si>
  <si>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</si>
  <si>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</si>
  <si>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</si>
  <si>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</si>
  <si>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</si>
  <si>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</si>
  <si>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</si>
  <si>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</si>
  <si>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</si>
  <si>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</si>
  <si>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</si>
  <si>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</si>
  <si>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</si>
  <si>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</si>
  <si>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</si>
  <si>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</si>
  <si>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</si>
  <si>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</si>
  <si>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</si>
  <si>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</si>
  <si>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</si>
  <si>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</si>
  <si>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</si>
  <si>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</si>
  <si>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</si>
  <si>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</si>
  <si>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</si>
  <si>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</si>
  <si>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</si>
  <si>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</si>
  <si>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</si>
  <si>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</si>
  <si>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</si>
  <si>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</si>
  <si>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</si>
  <si>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</si>
  <si>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</si>
  <si>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</si>
  <si>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</si>
  <si>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</si>
  <si>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</si>
  <si>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</si>
  <si>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</si>
  <si>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</si>
  <si>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</si>
  <si>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</si>
  <si>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</si>
  <si>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</si>
  <si>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</si>
  <si>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</si>
  <si>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</si>
  <si>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</si>
  <si>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</si>
  <si>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</si>
  <si>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</si>
  <si>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</si>
  <si>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</si>
  <si>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</si>
  <si>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</si>
  <si>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</si>
  <si>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</si>
  <si>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</si>
  <si>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</si>
  <si>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</si>
  <si>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</si>
  <si>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</si>
  <si>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</si>
  <si>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</si>
  <si>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</si>
  <si>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</si>
  <si>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</si>
  <si>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</si>
  <si>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</si>
  <si>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</si>
  <si>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</si>
  <si>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</si>
  <si>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</si>
  <si>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</si>
  <si>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</si>
  <si>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</si>
  <si>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</si>
  <si>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</si>
  <si>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</si>
  <si>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</si>
  <si>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</si>
  <si>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</si>
  <si>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</si>
  <si>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</si>
  <si>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</si>
  <si>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</si>
  <si>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</si>
  <si>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</si>
  <si>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</si>
  <si>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</si>
  <si>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</si>
  <si>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</si>
  <si>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</si>
  <si>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</si>
  <si>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</si>
  <si>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</si>
  <si>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</si>
  <si>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</si>
  <si>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</si>
  <si>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</si>
  <si>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</si>
  <si>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</si>
  <si>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</si>
  <si>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</si>
  <si>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</si>
  <si>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</si>
  <si>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</si>
  <si>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</si>
  <si>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</si>
  <si>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</si>
  <si>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</si>
  <si>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</si>
  <si>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</si>
  <si>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</si>
  <si>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</si>
  <si>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</si>
  <si>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</si>
  <si>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</si>
  <si>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</si>
  <si>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</si>
  <si>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</si>
  <si>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</si>
  <si>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</si>
  <si>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</si>
  <si>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</si>
  <si>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</si>
  <si>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</si>
  <si>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</si>
  <si>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</si>
  <si>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</si>
  <si>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</si>
  <si>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</si>
  <si>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</si>
  <si>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</si>
  <si>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</si>
  <si>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</si>
  <si>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</si>
  <si>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</si>
  <si>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</si>
  <si>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</si>
  <si>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</si>
  <si>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</si>
  <si>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</si>
  <si>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</si>
  <si>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</si>
  <si>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</si>
  <si>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</si>
  <si>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</si>
  <si>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</si>
  <si>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</si>
  <si>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</si>
  <si>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</si>
  <si>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</si>
  <si>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</si>
  <si>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</si>
  <si>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</si>
  <si>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</si>
  <si>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</si>
  <si>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</si>
  <si>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</si>
  <si>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</si>
  <si>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</si>
  <si>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</si>
  <si>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</si>
  <si>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</si>
  <si>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</si>
  <si>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</si>
  <si>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</si>
  <si>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</si>
  <si>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</si>
  <si>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</si>
  <si>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</si>
  <si>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</si>
  <si>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</si>
  <si>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</si>
  <si>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</si>
  <si>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</si>
  <si>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</si>
  <si>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</si>
  <si>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</si>
  <si>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</si>
  <si>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</si>
  <si>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</si>
  <si>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</si>
  <si>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</si>
  <si>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</si>
  <si>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</si>
  <si>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</si>
  <si>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</si>
  <si>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</si>
  <si>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</si>
  <si>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</si>
  <si>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</si>
  <si>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</si>
  <si>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</si>
  <si>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</si>
  <si>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</si>
  <si>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</si>
  <si>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</si>
  <si>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</si>
  <si>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</si>
  <si>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</si>
  <si>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</si>
  <si>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</si>
  <si>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</si>
  <si>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</si>
  <si>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</si>
  <si>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</si>
  <si>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</si>
  <si>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</si>
  <si>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</si>
  <si>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</si>
  <si>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</si>
  <si>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</si>
  <si>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</si>
  <si>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</si>
  <si>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</si>
  <si>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</si>
  <si>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</si>
  <si>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</si>
  <si>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</si>
  <si>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</si>
  <si>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</si>
  <si>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</si>
  <si>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</si>
  <si>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</si>
  <si>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</si>
  <si>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</si>
  <si>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</si>
  <si>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</si>
  <si>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</si>
  <si>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</si>
  <si>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</si>
  <si>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</si>
  <si>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</si>
  <si>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</si>
  <si>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</si>
  <si>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</si>
  <si>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</si>
  <si>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</si>
  <si>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</si>
  <si>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</si>
  <si>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</si>
  <si>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</si>
  <si>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</si>
  <si>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</si>
  <si>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</si>
  <si>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</si>
  <si>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</si>
  <si>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</si>
  <si>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</si>
  <si>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</si>
  <si>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</si>
  <si>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</si>
  <si>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</si>
  <si>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</si>
  <si>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</si>
  <si>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</si>
  <si>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</si>
  <si>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</si>
  <si>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</si>
  <si>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</si>
  <si>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</si>
  <si>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</si>
  <si>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</si>
  <si>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</si>
  <si>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</si>
  <si>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</si>
  <si>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</si>
  <si>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</si>
  <si>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</si>
  <si>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</si>
  <si>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</si>
  <si>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</si>
  <si>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</si>
  <si>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</si>
  <si>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</si>
  <si>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</si>
  <si>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</si>
  <si>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</si>
  <si>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</si>
  <si>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</si>
  <si>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</si>
  <si>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</si>
  <si>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</si>
  <si>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</si>
  <si>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</si>
  <si>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</si>
  <si>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</si>
  <si>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</si>
  <si>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</si>
  <si>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</si>
  <si>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</si>
  <si>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</si>
  <si>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</si>
  <si>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</si>
  <si>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</si>
  <si>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</si>
  <si>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</si>
  <si>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</si>
  <si>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</si>
  <si>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</si>
  <si>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</si>
  <si>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</si>
  <si>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</si>
  <si>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</si>
  <si>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</si>
  <si>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</si>
  <si>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</si>
  <si>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</si>
  <si>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</si>
  <si>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</si>
  <si>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</si>
  <si>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</si>
  <si>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</si>
  <si>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</si>
  <si>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</si>
  <si>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</si>
  <si>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</si>
  <si>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</si>
  <si>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</si>
  <si>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</si>
  <si>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</si>
  <si>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</si>
  <si>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</si>
  <si>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</si>
  <si>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</si>
  <si>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</si>
  <si>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</si>
  <si>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</si>
  <si>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</si>
  <si>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</si>
  <si>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</si>
  <si>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</si>
  <si>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</si>
  <si>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</si>
  <si>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</si>
  <si>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</si>
  <si>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</si>
  <si>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</si>
  <si>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</si>
  <si>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</si>
  <si>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</si>
  <si>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</si>
  <si>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</si>
  <si>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</si>
  <si>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</si>
  <si>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</si>
  <si>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</si>
  <si>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</si>
  <si>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</si>
  <si>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</si>
  <si>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</si>
  <si>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</si>
  <si>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</si>
  <si>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</si>
  <si>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</si>
  <si>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</si>
  <si>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</si>
  <si>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</si>
  <si>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</si>
  <si>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</si>
  <si>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</si>
  <si>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</si>
  <si>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</si>
  <si>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</si>
  <si>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</si>
  <si>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</si>
  <si>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</si>
  <si>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</si>
  <si>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</si>
  <si>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</si>
  <si>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</si>
  <si>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</si>
  <si>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</si>
  <si>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</si>
  <si>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</si>
  <si>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</si>
  <si>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</si>
  <si>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</si>
  <si>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</si>
  <si>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</si>
  <si>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</si>
  <si>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</si>
  <si>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</si>
  <si>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</si>
  <si>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</si>
  <si>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</si>
  <si>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</si>
  <si>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</si>
  <si>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</si>
  <si>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</si>
  <si>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</si>
  <si>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</si>
  <si>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</si>
  <si>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</si>
  <si>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</si>
  <si>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</si>
  <si>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</si>
  <si>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</si>
  <si>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</si>
  <si>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</si>
  <si>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</si>
  <si>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</si>
  <si>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</si>
  <si>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</si>
  <si>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</si>
  <si>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</si>
  <si>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</si>
  <si>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</si>
  <si>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</si>
  <si>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</si>
  <si>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</si>
  <si>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</si>
  <si>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</si>
  <si>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</si>
  <si>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</si>
  <si>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</si>
  <si>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</si>
  <si>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</si>
  <si>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</si>
  <si>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</si>
  <si>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</si>
  <si>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</si>
  <si>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</si>
  <si>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</si>
  <si>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</si>
  <si>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</si>
  <si>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</si>
  <si>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</si>
  <si>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</si>
  <si>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</si>
  <si>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</si>
  <si>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</si>
  <si>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</si>
  <si>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</si>
  <si>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</si>
  <si>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</si>
  <si>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</si>
  <si>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</si>
  <si>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</si>
  <si>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</si>
  <si>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</si>
  <si>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</si>
  <si>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</si>
  <si>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</si>
  <si>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</si>
  <si>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</si>
  <si>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</si>
  <si>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</si>
  <si>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</si>
  <si>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</si>
  <si>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</si>
  <si>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</si>
  <si>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</si>
  <si>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</si>
  <si>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</si>
  <si>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</si>
  <si>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</si>
  <si>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</si>
  <si>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</si>
  <si>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</si>
  <si>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</si>
  <si>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</si>
  <si>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</si>
  <si>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</si>
  <si>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</si>
  <si>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</si>
  <si>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</si>
  <si>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</si>
  <si>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</si>
  <si>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</si>
  <si>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</si>
  <si>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</si>
  <si>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</si>
  <si>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</si>
  <si>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</si>
  <si>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</si>
  <si>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</si>
  <si>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</si>
  <si>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</si>
  <si>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</si>
  <si>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</si>
  <si>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</si>
  <si>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</si>
  <si>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</si>
  <si>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</si>
  <si>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</si>
  <si>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</si>
  <si>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</si>
  <si>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</si>
  <si>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</si>
  <si>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</si>
  <si>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</si>
  <si>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</si>
  <si>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</si>
  <si>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</si>
  <si>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</si>
  <si>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</si>
  <si>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</si>
  <si>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</si>
  <si>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</si>
  <si>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</si>
  <si>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</si>
  <si>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</si>
  <si>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</si>
  <si>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</si>
  <si>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</si>
  <si>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</si>
  <si>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</si>
  <si>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</si>
  <si>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</si>
  <si>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</si>
  <si>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</si>
  <si>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</si>
  <si>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</si>
  <si>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</si>
  <si>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</si>
  <si>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</si>
  <si>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</si>
  <si>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</si>
  <si>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</si>
  <si>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</si>
  <si>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</si>
  <si>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</si>
  <si>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</si>
  <si>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</si>
  <si>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</si>
  <si>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</si>
  <si>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</si>
  <si>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</si>
  <si>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</si>
  <si>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</si>
  <si>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</si>
  <si>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</si>
  <si>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</si>
  <si>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</si>
  <si>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</si>
  <si>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</si>
  <si>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</si>
  <si>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</si>
  <si>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</si>
  <si>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</si>
  <si>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</si>
  <si>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</si>
  <si>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</si>
  <si>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</si>
  <si>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</si>
  <si>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</si>
  <si>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</si>
  <si>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</si>
  <si>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</si>
  <si>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</si>
  <si>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</si>
  <si>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</si>
  <si>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</si>
  <si>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</si>
  <si>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</si>
  <si>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</si>
  <si>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</si>
  <si>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</si>
  <si>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</si>
  <si>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</si>
  <si>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</si>
  <si>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</si>
  <si>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</si>
  <si>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</si>
  <si>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</si>
  <si>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</si>
  <si>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</si>
  <si>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</si>
  <si>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</si>
  <si>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</si>
  <si>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</si>
  <si>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</si>
  <si>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</si>
  <si>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</si>
  <si>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</si>
  <si>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</si>
  <si>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</si>
  <si>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</si>
  <si>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</si>
  <si>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</si>
  <si>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</si>
  <si>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</si>
  <si>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</si>
  <si>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</si>
  <si>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</si>
  <si>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</si>
  <si>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</si>
  <si>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</si>
  <si>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</si>
  <si>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</si>
  <si>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</si>
  <si>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</si>
  <si>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</si>
  <si>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</si>
  <si>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</si>
  <si>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</si>
  <si>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</si>
  <si>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</si>
  <si>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</si>
  <si>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</si>
  <si>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</si>
  <si>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</si>
  <si>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</si>
  <si>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</si>
  <si>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</si>
  <si>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</si>
  <si>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</si>
  <si>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</si>
  <si>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</si>
  <si>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</si>
  <si>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</si>
  <si>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</si>
  <si>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</si>
  <si>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</si>
  <si>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</si>
  <si>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</si>
  <si>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</si>
  <si>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</si>
  <si>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</si>
  <si>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</si>
  <si>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</si>
  <si>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</si>
  <si>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</si>
  <si>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</si>
  <si>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</si>
  <si>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</si>
  <si>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</si>
  <si>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</si>
  <si>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</si>
  <si>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</si>
  <si>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</si>
  <si>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</si>
  <si>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</si>
  <si>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</si>
  <si>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</si>
  <si>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</si>
  <si>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</si>
  <si>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</si>
  <si>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</si>
  <si>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</si>
  <si>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</si>
  <si>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</si>
  <si>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</si>
  <si>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</si>
  <si>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</si>
  <si>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</si>
  <si>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</si>
  <si>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</si>
  <si>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</si>
  <si>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</si>
  <si>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</si>
  <si>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</si>
  <si>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</si>
  <si>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</si>
  <si>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</si>
  <si>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</si>
  <si>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</si>
  <si>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</si>
  <si>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</si>
  <si>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</si>
  <si>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</si>
  <si>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</si>
  <si>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</si>
  <si>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</si>
  <si>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</si>
  <si>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</si>
  <si>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</si>
  <si>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</si>
  <si>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</si>
  <si>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</si>
  <si>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</si>
  <si>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</si>
  <si>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</si>
  <si>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</si>
  <si>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</si>
  <si>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</si>
  <si>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</si>
  <si>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</si>
  <si>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</si>
  <si>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</si>
  <si>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</si>
  <si>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</si>
  <si>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</si>
  <si>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</si>
  <si>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</si>
  <si>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</si>
  <si>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</si>
  <si>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</si>
  <si>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</si>
  <si>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</si>
  <si>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</si>
  <si>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</si>
  <si>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</si>
  <si>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</si>
  <si>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</si>
  <si>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</si>
  <si>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</si>
  <si>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</si>
  <si>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</si>
  <si>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</si>
  <si>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</si>
  <si>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</si>
  <si>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</si>
  <si>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</si>
  <si>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</si>
  <si>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</si>
  <si>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</si>
  <si>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</si>
  <si>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</si>
  <si>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</si>
  <si>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</si>
  <si>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</si>
  <si>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</si>
  <si>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</si>
  <si>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</si>
  <si>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</si>
  <si>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</si>
  <si>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</si>
  <si>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</si>
  <si>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</si>
  <si>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</si>
  <si>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</si>
  <si>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</si>
  <si>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</si>
  <si>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</si>
  <si>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</si>
  <si>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</si>
  <si>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</si>
  <si>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</si>
  <si>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</si>
  <si>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</si>
  <si>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</si>
  <si>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</si>
  <si>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</si>
  <si>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</si>
  <si>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</si>
  <si>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</si>
  <si>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</si>
  <si>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</si>
  <si>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</si>
  <si>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</si>
  <si>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</si>
  <si>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</si>
  <si>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</si>
  <si>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</si>
  <si>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</si>
  <si>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</si>
  <si>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</si>
  <si>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</si>
  <si>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</si>
  <si>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</si>
  <si>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</si>
  <si>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</si>
  <si>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</si>
  <si>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</si>
  <si>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</si>
  <si>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</si>
  <si>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</si>
  <si>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</si>
  <si>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</si>
  <si>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</si>
  <si>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</si>
  <si>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</si>
  <si>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</si>
  <si>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</si>
  <si>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</si>
  <si>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</si>
  <si>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</si>
  <si>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</si>
  <si>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</si>
  <si>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</si>
  <si>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</si>
  <si>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</si>
  <si>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</si>
  <si>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</si>
  <si>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</si>
  <si>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</si>
  <si>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</si>
  <si>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</si>
  <si>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</si>
  <si>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</si>
  <si>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</si>
  <si>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</si>
  <si>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</si>
  <si>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</si>
  <si>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</si>
  <si>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</si>
  <si>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</si>
  <si>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</si>
  <si>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</si>
  <si>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</si>
  <si>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</si>
  <si>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</si>
  <si>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</si>
  <si>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</si>
  <si>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</si>
  <si>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</si>
  <si>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</si>
  <si>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</si>
  <si>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</si>
  <si>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</si>
  <si>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</si>
  <si>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</si>
  <si>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</si>
  <si>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</si>
  <si>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</si>
  <si>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</si>
  <si>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</si>
  <si>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</si>
  <si>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</si>
  <si>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</si>
  <si>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</si>
  <si>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</si>
  <si>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</si>
  <si>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</si>
  <si>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</si>
  <si>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</si>
  <si>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</si>
  <si>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</si>
  <si>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</si>
  <si>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</si>
  <si>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</si>
  <si>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</si>
  <si>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</si>
  <si>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</si>
  <si>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</si>
  <si>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</si>
  <si>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</si>
  <si>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</si>
  <si>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</si>
  <si>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</si>
  <si>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</si>
  <si>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</si>
  <si>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</si>
  <si>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</si>
  <si>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</si>
  <si>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</si>
  <si>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</si>
  <si>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</si>
  <si>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</si>
  <si>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</si>
  <si>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</si>
  <si>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</si>
  <si>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</si>
  <si>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</si>
  <si>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</si>
  <si>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</si>
  <si>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</si>
  <si>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</si>
  <si>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</si>
  <si>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</si>
  <si>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</si>
  <si>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</si>
  <si>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</si>
  <si>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</si>
  <si>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</si>
  <si>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</si>
  <si>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</si>
  <si>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</si>
  <si>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</si>
  <si>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</si>
  <si>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</si>
  <si>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</si>
  <si>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</si>
  <si>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</si>
  <si>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</si>
  <si>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</si>
  <si>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</si>
  <si>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</si>
  <si>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</si>
  <si>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</si>
  <si>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</si>
  <si>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</si>
  <si>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</si>
  <si>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</si>
  <si>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</si>
  <si>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</si>
  <si>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</si>
  <si>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</si>
  <si>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</si>
  <si>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</si>
  <si>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</si>
  <si>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</si>
  <si>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</si>
  <si>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</si>
  <si>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</si>
  <si>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</si>
  <si>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</si>
  <si>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</si>
  <si>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</si>
  <si>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</si>
  <si>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</si>
  <si>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</si>
  <si>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</si>
  <si>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</si>
  <si>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</si>
  <si>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</si>
  <si>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</si>
  <si>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</si>
  <si>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</si>
  <si>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</si>
  <si>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</si>
  <si>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</si>
  <si>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</si>
  <si>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</si>
  <si>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</si>
  <si>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</si>
  <si>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</si>
  <si>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</si>
  <si>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</si>
  <si>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</si>
  <si>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</si>
  <si>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</si>
  <si>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</si>
  <si>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</si>
  <si>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</si>
  <si>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</si>
  <si>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</si>
  <si>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</si>
  <si>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</si>
  <si>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</si>
  <si>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</si>
  <si>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</si>
  <si>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</si>
  <si>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</si>
  <si>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</si>
  <si>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</si>
  <si>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</si>
  <si>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</si>
  <si>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</si>
  <si>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</si>
  <si>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</si>
  <si>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</si>
  <si>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</si>
  <si>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</si>
  <si>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</si>
  <si>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</si>
  <si>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</si>
  <si>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</si>
  <si>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</si>
  <si>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</si>
  <si>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</si>
  <si>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</si>
  <si>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</si>
  <si>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</si>
  <si>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</si>
  <si>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</si>
  <si>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</si>
  <si>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</si>
  <si>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</si>
  <si>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</si>
  <si>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</si>
  <si>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</si>
  <si>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</si>
  <si>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</si>
  <si>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</si>
  <si>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</si>
  <si>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</si>
  <si>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</si>
  <si>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</si>
  <si>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</si>
  <si>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</si>
  <si>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</si>
  <si>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</si>
  <si>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</si>
  <si>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</si>
  <si>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</si>
  <si>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</si>
  <si>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</si>
  <si>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</si>
  <si>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</si>
  <si>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</si>
  <si>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</si>
  <si>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</si>
  <si>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</si>
  <si>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</si>
  <si>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</si>
  <si>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</si>
  <si>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</si>
  <si>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</si>
  <si>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</si>
  <si>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</si>
  <si>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</si>
  <si>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</si>
  <si>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</si>
  <si>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</si>
  <si>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</si>
  <si>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</si>
  <si>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</si>
  <si>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</si>
  <si>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</si>
  <si>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</si>
  <si>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</si>
  <si>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</si>
  <si>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</si>
  <si>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</si>
  <si>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</si>
  <si>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</si>
  <si>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</si>
  <si>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</si>
  <si>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</si>
  <si>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</si>
  <si>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</si>
  <si>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</si>
  <si>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</si>
  <si>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</si>
  <si>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</si>
  <si>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</si>
  <si>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</si>
  <si>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</si>
  <si>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</si>
  <si>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</si>
  <si>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</si>
  <si>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</si>
  <si>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</si>
  <si>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</si>
  <si>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</si>
  <si>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</si>
  <si>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</si>
  <si>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</si>
  <si>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</si>
  <si>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</si>
  <si>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</si>
  <si>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</si>
  <si>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</si>
  <si>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</si>
  <si>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</si>
  <si>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</si>
  <si>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</si>
  <si>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</si>
  <si>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</si>
  <si>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</si>
  <si>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</si>
  <si>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</si>
  <si>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</si>
  <si>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</si>
  <si>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</si>
  <si>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</si>
  <si>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</si>
  <si>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</si>
  <si>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</si>
  <si>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</si>
  <si>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</si>
  <si>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</si>
  <si>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</si>
  <si>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</si>
  <si>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</si>
  <si>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</si>
  <si>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</si>
  <si>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</si>
  <si>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</si>
  <si>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</si>
  <si>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</si>
  <si>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</si>
  <si>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</si>
  <si>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</si>
  <si>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</si>
  <si>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</si>
  <si>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</si>
  <si>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</si>
  <si>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</si>
  <si>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</si>
  <si>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</si>
  <si>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</si>
  <si>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</si>
  <si>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</si>
  <si>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</si>
  <si>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</si>
  <si>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</si>
  <si>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</si>
  <si>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</si>
  <si>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</si>
  <si>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</si>
  <si>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</si>
  <si>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</si>
  <si>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</si>
  <si>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</si>
  <si>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</si>
  <si>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</si>
  <si>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</si>
  <si>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</si>
  <si>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</si>
  <si>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</si>
  <si>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</si>
  <si>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</si>
  <si>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</si>
  <si>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</si>
  <si>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</si>
  <si>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</si>
  <si>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</si>
  <si>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</si>
  <si>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</si>
  <si>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</si>
  <si>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</si>
  <si>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</si>
  <si>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</si>
  <si>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</si>
  <si>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</si>
  <si>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</si>
  <si>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</si>
  <si>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</si>
  <si>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</si>
  <si>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</si>
  <si>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</si>
  <si>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</si>
  <si>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</si>
  <si>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</si>
  <si>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</si>
  <si>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</si>
  <si>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</si>
  <si>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</si>
  <si>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</si>
  <si>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</si>
  <si>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</si>
  <si>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</si>
  <si>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</si>
  <si>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</si>
  <si>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</si>
  <si>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</si>
  <si>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</si>
  <si>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</si>
  <si>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</si>
  <si>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</si>
  <si>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</si>
  <si>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</si>
  <si>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</si>
  <si>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</si>
  <si>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</si>
  <si>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</si>
  <si>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</si>
  <si>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</si>
  <si>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</si>
  <si>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</si>
  <si>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</si>
  <si>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</si>
  <si>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</si>
  <si>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</si>
  <si>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</si>
  <si>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</si>
  <si>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</si>
  <si>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</si>
  <si>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</si>
  <si>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</si>
  <si>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</si>
  <si>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</si>
  <si>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</si>
  <si>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</si>
  <si>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</si>
  <si>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</si>
  <si>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</si>
  <si>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</si>
  <si>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</si>
  <si>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</si>
  <si>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</si>
  <si>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</si>
  <si>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</si>
  <si>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</si>
  <si>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</si>
  <si>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</si>
  <si>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</si>
  <si>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</si>
  <si>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</si>
  <si>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</si>
  <si>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</si>
  <si>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</si>
  <si>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</si>
  <si>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</si>
  <si>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</si>
  <si>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</si>
  <si>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</si>
  <si>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</si>
  <si>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</si>
  <si>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</si>
  <si>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</si>
  <si>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</si>
  <si>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</si>
  <si>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</si>
  <si>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</si>
  <si>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</si>
  <si>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</si>
  <si>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</si>
  <si>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</si>
  <si>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</si>
  <si>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</si>
  <si>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</si>
  <si>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</si>
  <si>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</si>
  <si>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</si>
  <si>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</si>
  <si>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</si>
  <si>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</si>
  <si>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</si>
  <si>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</si>
  <si>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</si>
  <si>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</si>
  <si>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</si>
  <si>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</si>
  <si>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</si>
  <si>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</si>
  <si>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</si>
  <si>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</si>
  <si>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</si>
  <si>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</si>
  <si>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</si>
  <si>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</si>
  <si>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</si>
  <si>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</si>
  <si>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</si>
  <si>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</si>
  <si>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</si>
  <si>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</si>
  <si>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</si>
  <si>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</si>
  <si>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</si>
  <si>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</si>
  <si>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</si>
  <si>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</si>
  <si>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</si>
  <si>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</si>
  <si>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</si>
  <si>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</si>
  <si>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</si>
  <si>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</si>
  <si>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</si>
  <si>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</si>
  <si>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</si>
  <si>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</si>
  <si>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</si>
  <si>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</si>
  <si>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</si>
  <si>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</si>
  <si>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</si>
  <si>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</si>
  <si>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</si>
  <si>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</si>
  <si>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</si>
  <si>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</si>
  <si>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</si>
  <si>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</si>
  <si>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</si>
  <si>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</si>
  <si>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</si>
  <si>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</si>
  <si>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</si>
  <si>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</si>
  <si>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</si>
  <si>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</si>
  <si>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</si>
  <si>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</si>
  <si>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</si>
  <si>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</si>
  <si>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</si>
  <si>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</si>
  <si>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</si>
  <si>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</si>
  <si>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</si>
  <si>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</si>
  <si>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</si>
  <si>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</si>
  <si>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</si>
  <si>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</si>
  <si>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</si>
  <si>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</si>
  <si>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</si>
  <si>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</si>
  <si>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</si>
  <si>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</si>
  <si>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</si>
  <si>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</si>
  <si>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</si>
  <si>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</si>
  <si>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</si>
  <si>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</si>
  <si>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</si>
  <si>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</si>
  <si>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</si>
  <si>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</si>
  <si>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</si>
  <si>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</si>
  <si>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</si>
  <si>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</si>
  <si>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</si>
  <si>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</si>
  <si>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</si>
  <si>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</si>
  <si>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</si>
  <si>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</si>
  <si>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</si>
  <si>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</si>
  <si>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</si>
  <si>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</si>
  <si>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</si>
  <si>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</si>
  <si>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</si>
  <si>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</si>
  <si>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</si>
  <si>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</si>
  <si>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</si>
  <si>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</si>
  <si>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</si>
  <si>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</si>
  <si>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</si>
  <si>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</si>
  <si>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</si>
  <si>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</si>
  <si>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</si>
  <si>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</si>
  <si>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</si>
  <si>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</si>
  <si>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</si>
  <si>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</si>
  <si>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</si>
  <si>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</si>
  <si>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</si>
  <si>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</si>
  <si>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</si>
  <si>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</si>
  <si>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</si>
  <si>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</si>
  <si>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</si>
  <si>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</si>
  <si>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</si>
  <si>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</si>
  <si>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</si>
  <si>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</si>
  <si>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</si>
  <si>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</si>
  <si>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</si>
  <si>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</si>
  <si>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</si>
  <si>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</si>
  <si>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</si>
  <si>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</si>
  <si>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</si>
  <si>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</si>
  <si>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</si>
  <si>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</si>
  <si>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</si>
  <si>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</si>
  <si>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</si>
  <si>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</si>
  <si>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</si>
  <si>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</si>
  <si>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</si>
  <si>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</si>
  <si>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</si>
  <si>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</si>
  <si>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</si>
  <si>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</si>
  <si>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</si>
  <si>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</si>
  <si>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</si>
  <si>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</si>
  <si>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</si>
  <si>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</si>
  <si>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</si>
  <si>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</si>
  <si>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</si>
  <si>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</si>
  <si>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</si>
  <si>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</si>
  <si>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</si>
  <si>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</si>
  <si>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</si>
  <si>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</si>
  <si>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</si>
  <si>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</si>
  <si>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</si>
  <si>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</si>
  <si>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</si>
  <si>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</si>
  <si>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</si>
  <si>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</si>
  <si>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</si>
  <si>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</si>
  <si>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</si>
  <si>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</si>
  <si>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</si>
  <si>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</si>
  <si>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</si>
  <si>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</si>
  <si>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</si>
  <si>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</si>
  <si>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</si>
  <si>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</si>
  <si>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</si>
  <si>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</si>
  <si>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</si>
  <si>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</si>
  <si>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</si>
  <si>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</si>
  <si>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</si>
  <si>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</si>
  <si>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</si>
  <si>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</si>
  <si>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</si>
  <si>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</si>
  <si>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</si>
  <si>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</si>
  <si>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</si>
  <si>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</si>
  <si>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</si>
  <si>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</si>
  <si>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</si>
  <si>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</si>
  <si>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</si>
  <si>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</si>
  <si>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</si>
  <si>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</si>
  <si>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</si>
  <si>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</si>
  <si>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</si>
  <si>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</si>
  <si>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</si>
  <si>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</si>
  <si>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</si>
  <si>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</si>
  <si>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</si>
  <si>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</si>
  <si>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</si>
  <si>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</si>
  <si>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</si>
  <si>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</si>
  <si>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</si>
  <si>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</si>
  <si>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</si>
  <si>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</si>
  <si>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</si>
  <si>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</si>
  <si>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</si>
  <si>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</si>
  <si>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</si>
  <si>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</si>
  <si>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</si>
  <si>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</si>
  <si>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</si>
  <si>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</si>
  <si>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</si>
  <si>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</si>
  <si>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</si>
  <si>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</si>
  <si>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</si>
  <si>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</si>
  <si>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</si>
  <si>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</si>
  <si>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</si>
  <si>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</si>
  <si>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</si>
  <si>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</si>
  <si>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</si>
  <si>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</si>
  <si>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</si>
  <si>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</si>
  <si>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</si>
  <si>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</si>
  <si>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</si>
  <si>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</si>
  <si>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</si>
  <si>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</si>
  <si>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</si>
  <si>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</si>
  <si>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</si>
  <si>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</si>
  <si>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</si>
  <si>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</si>
  <si>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</si>
  <si>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</si>
  <si>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</si>
  <si>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</si>
  <si>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</si>
  <si>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</si>
  <si>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</si>
  <si>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</si>
  <si>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</si>
  <si>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</si>
  <si>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</si>
  <si>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</si>
  <si>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</si>
  <si>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</si>
  <si>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</si>
  <si>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</si>
  <si>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</si>
  <si>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</si>
  <si>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</si>
  <si>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</si>
  <si>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</si>
  <si>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</si>
  <si>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</si>
  <si>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</si>
  <si>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</si>
  <si>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</si>
  <si>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</si>
  <si>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</si>
  <si>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</si>
  <si>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</si>
  <si>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</si>
  <si>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</si>
  <si>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</si>
  <si>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</si>
  <si>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</si>
  <si>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</si>
  <si>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</si>
  <si>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</si>
  <si>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</si>
  <si>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</si>
  <si>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</si>
  <si>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</si>
  <si>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</si>
  <si>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</si>
  <si>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</si>
  <si>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</si>
  <si>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</si>
  <si>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</si>
  <si>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</si>
  <si>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</si>
  <si>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</si>
  <si>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</si>
  <si>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</si>
  <si>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</si>
  <si>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</si>
  <si>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</si>
  <si>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</si>
  <si>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</si>
  <si>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</si>
  <si>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</si>
  <si>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</si>
  <si>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</si>
  <si>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</si>
  <si>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</si>
  <si>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</si>
  <si>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</si>
  <si>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</si>
  <si>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</si>
  <si>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</si>
  <si>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</si>
  <si>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</si>
  <si>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</si>
  <si>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</si>
  <si>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</si>
  <si>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</si>
  <si>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</si>
  <si>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</si>
  <si>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</si>
  <si>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</si>
  <si>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</si>
  <si>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</si>
  <si>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</si>
  <si>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</si>
  <si>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</si>
  <si>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</si>
  <si>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</si>
  <si>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</si>
  <si>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</si>
  <si>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</si>
  <si>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</si>
  <si>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</si>
  <si>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</si>
  <si>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</si>
  <si>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</si>
  <si>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</si>
  <si>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</si>
  <si>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</si>
  <si>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</si>
  <si>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</si>
  <si>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</si>
  <si>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</si>
  <si>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</si>
  <si>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</si>
  <si>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</si>
  <si>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</si>
  <si>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</si>
  <si>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</si>
  <si>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</si>
  <si>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</si>
  <si>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</si>
  <si>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</si>
  <si>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</si>
  <si>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</si>
  <si>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</si>
  <si>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</si>
  <si>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</si>
  <si>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</si>
  <si>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</si>
  <si>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</si>
  <si>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</si>
  <si>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</si>
  <si>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</si>
  <si>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</si>
  <si>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</si>
  <si>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</si>
  <si>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</si>
  <si>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</si>
  <si>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</si>
  <si>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</si>
  <si>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</si>
  <si>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</si>
  <si>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</si>
  <si>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</si>
  <si>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</si>
  <si>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</si>
  <si>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</si>
  <si>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</si>
  <si>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</si>
  <si>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</si>
  <si>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</si>
  <si>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</si>
  <si>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</si>
  <si>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</si>
  <si>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</si>
  <si>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</si>
  <si>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</si>
  <si>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</si>
  <si>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</si>
  <si>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</si>
  <si>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</si>
  <si>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</si>
  <si>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</si>
  <si>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</si>
  <si>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</si>
  <si>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</si>
  <si>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</si>
  <si>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</si>
  <si>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</si>
  <si>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</si>
  <si>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</si>
  <si>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</si>
  <si>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</si>
  <si>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</si>
  <si>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</si>
  <si>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</si>
  <si>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</si>
  <si>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</si>
  <si>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</si>
  <si>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</si>
  <si>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</si>
  <si>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</si>
  <si>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</si>
  <si>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</si>
  <si>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</si>
  <si>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</si>
  <si>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</si>
  <si>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</si>
  <si>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</si>
  <si>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</si>
  <si>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</si>
  <si>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</si>
  <si>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</si>
  <si>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</si>
  <si>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</si>
  <si>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</si>
  <si>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</si>
  <si>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</si>
  <si>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</si>
  <si>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</si>
  <si>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</si>
  <si>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</si>
  <si>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</si>
  <si>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</si>
  <si>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</si>
  <si>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</si>
  <si>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</si>
  <si>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</si>
  <si>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</si>
  <si>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</si>
  <si>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</si>
  <si>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</si>
  <si>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</si>
  <si>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</si>
  <si>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</si>
  <si>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</si>
  <si>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</si>
  <si>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</si>
  <si>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</si>
  <si>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</si>
  <si>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</si>
  <si>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</si>
  <si>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</si>
  <si>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</si>
  <si>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</si>
  <si>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</si>
  <si>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</si>
  <si>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</si>
  <si>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</si>
  <si>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</si>
  <si>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</si>
  <si>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</si>
  <si>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</si>
  <si>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</si>
  <si>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</si>
  <si>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</si>
  <si>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</si>
  <si>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</si>
  <si>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</si>
  <si>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</si>
  <si>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</si>
  <si>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</si>
  <si>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</si>
  <si>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</si>
  <si>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</si>
  <si>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</si>
  <si>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</si>
  <si>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</si>
  <si>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</si>
  <si>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</si>
  <si>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</si>
  <si>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</si>
  <si>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</si>
  <si>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</si>
  <si>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</si>
  <si>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</si>
  <si>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</si>
  <si>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</si>
  <si>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</si>
  <si>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</si>
  <si>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</si>
  <si>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</si>
  <si>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</si>
  <si>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</si>
  <si>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</si>
  <si>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</si>
  <si>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</si>
  <si>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</si>
  <si>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</si>
  <si>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</si>
  <si>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</si>
  <si>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</si>
  <si>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</si>
  <si>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</si>
  <si>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</si>
  <si>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</si>
  <si>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</si>
  <si>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</si>
  <si>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</si>
  <si>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</si>
  <si>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</si>
  <si>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</si>
  <si>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</si>
  <si>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</si>
  <si>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</si>
  <si>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</si>
  <si>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</si>
  <si>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</si>
  <si>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</si>
  <si>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</si>
  <si>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</si>
  <si>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</si>
  <si>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</si>
  <si>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</si>
  <si>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</si>
  <si>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</si>
  <si>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</si>
  <si>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</si>
  <si>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</si>
  <si>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</si>
  <si>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</si>
  <si>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</si>
  <si>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</si>
  <si>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</si>
  <si>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</si>
  <si>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</si>
  <si>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</si>
  <si>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</si>
  <si>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</si>
  <si>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</si>
  <si>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</si>
  <si>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</si>
  <si>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</si>
  <si>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</si>
  <si>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</si>
  <si>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</si>
  <si>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</si>
  <si>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</si>
  <si>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</si>
  <si>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</si>
  <si>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</si>
  <si>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</si>
  <si>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</si>
  <si>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</si>
  <si>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</si>
  <si>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</si>
  <si>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</si>
  <si>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</si>
  <si>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</si>
  <si>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</si>
  <si>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</si>
  <si>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</si>
  <si>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</si>
  <si>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</si>
  <si>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</si>
  <si>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</si>
  <si>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</si>
  <si>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</si>
  <si>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</si>
  <si>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</si>
  <si>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</si>
  <si>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</si>
  <si>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</si>
  <si>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</si>
  <si>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</si>
  <si>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</si>
  <si>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</si>
  <si>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</si>
  <si>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</si>
  <si>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</si>
  <si>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</si>
  <si>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</si>
  <si>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</si>
  <si>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</si>
  <si>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</si>
  <si>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</si>
  <si>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</si>
  <si>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</si>
  <si>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</si>
  <si>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</si>
  <si>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</si>
  <si>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</si>
  <si>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</si>
  <si>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</si>
  <si>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</si>
  <si>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</si>
  <si>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</si>
  <si>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</si>
  <si>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</si>
  <si>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</si>
  <si>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</si>
  <si>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</si>
  <si>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</si>
  <si>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</si>
  <si>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</si>
  <si>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</si>
  <si>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</si>
  <si>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</si>
  <si>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</si>
  <si>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</si>
  <si>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</si>
  <si>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</si>
  <si>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</si>
  <si>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</si>
  <si>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</si>
  <si>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</si>
  <si>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</si>
  <si>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</si>
  <si>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</si>
  <si>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</si>
  <si>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</si>
  <si>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</si>
  <si>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</si>
  <si>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</si>
  <si>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</si>
  <si>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</si>
  <si>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</si>
  <si>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</si>
  <si>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</si>
  <si>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</si>
  <si>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</si>
  <si>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</si>
  <si>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</si>
  <si>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</si>
  <si>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</si>
  <si>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</si>
  <si>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</si>
  <si>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</si>
  <si>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</si>
  <si>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</si>
  <si>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</si>
  <si>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</si>
  <si>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</si>
  <si>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</si>
  <si>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</si>
  <si>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</si>
  <si>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</si>
  <si>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</si>
  <si>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</si>
  <si>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</si>
  <si>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</si>
  <si>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</si>
  <si>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</si>
  <si>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</si>
  <si>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</si>
  <si>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</si>
  <si>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</si>
  <si>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</si>
  <si>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</si>
  <si>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</si>
  <si>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</si>
  <si>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</si>
  <si>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</si>
  <si>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</si>
  <si>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</si>
  <si>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</si>
  <si>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</si>
  <si>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</si>
  <si>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</si>
  <si>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</si>
  <si>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</si>
  <si>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</si>
  <si>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</si>
  <si>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</si>
  <si>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</si>
  <si>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</si>
  <si>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</si>
  <si>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</si>
  <si>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</si>
  <si>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</si>
  <si>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</si>
  <si>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</si>
  <si>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</si>
  <si>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</si>
  <si>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</si>
  <si>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</si>
  <si>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</si>
  <si>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</si>
  <si>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</si>
  <si>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</si>
  <si>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</si>
  <si>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</si>
  <si>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</si>
  <si>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</si>
  <si>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</si>
  <si>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</si>
  <si>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</si>
  <si>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</si>
  <si>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</si>
  <si>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</si>
  <si>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</si>
  <si>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</si>
  <si>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</si>
  <si>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</si>
  <si>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</si>
  <si>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</si>
  <si>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</si>
  <si>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</si>
  <si>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</si>
  <si>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</si>
  <si>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</si>
  <si>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</si>
  <si>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</si>
  <si>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</si>
  <si>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</si>
  <si>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</si>
  <si>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</si>
  <si>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</si>
  <si>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</si>
  <si>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</si>
  <si>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</si>
  <si>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</si>
  <si>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</si>
  <si>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</si>
  <si>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</si>
  <si>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</si>
  <si>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</si>
  <si>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</si>
  <si>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</si>
  <si>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</si>
  <si>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</si>
  <si>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</si>
  <si>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</si>
  <si>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</si>
  <si>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</si>
  <si>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</si>
  <si>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</si>
  <si>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</si>
  <si>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</si>
  <si>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</si>
  <si>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</si>
  <si>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</si>
  <si>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</si>
  <si>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</si>
  <si>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</si>
  <si>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</si>
  <si>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</si>
  <si>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</si>
  <si>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</si>
  <si>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</si>
  <si>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</si>
  <si>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</si>
  <si>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</si>
  <si>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</si>
  <si>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</si>
  <si>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</si>
  <si>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</si>
  <si>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</si>
  <si>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</si>
  <si>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</si>
  <si>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</si>
  <si>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</si>
  <si>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</si>
  <si>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</si>
  <si>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</si>
  <si>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</si>
  <si>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</si>
  <si>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</si>
  <si>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</si>
  <si>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</si>
  <si>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</si>
  <si>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</si>
  <si>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</si>
  <si>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</si>
  <si>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</si>
  <si>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</si>
  <si>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</si>
  <si>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</si>
  <si>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</si>
  <si>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</si>
  <si>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</si>
  <si>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</si>
  <si>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</si>
  <si>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</si>
  <si>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</si>
  <si>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</si>
  <si>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</si>
  <si>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</si>
  <si>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</si>
  <si>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</si>
  <si>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</si>
  <si>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</si>
  <si>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</si>
  <si>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</si>
  <si>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</si>
  <si>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</si>
  <si>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</si>
  <si>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</si>
  <si>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</si>
  <si>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</si>
  <si>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</si>
  <si>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</si>
  <si>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</si>
  <si>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</si>
  <si>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</si>
  <si>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</si>
  <si>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</si>
  <si>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</si>
  <si>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</si>
  <si>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</si>
  <si>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</si>
  <si>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</si>
  <si>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</si>
  <si>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</si>
  <si>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</si>
  <si>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</si>
  <si>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</si>
  <si>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</si>
  <si>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</si>
  <si>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</si>
  <si>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</si>
  <si>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</si>
  <si>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</si>
  <si>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</si>
  <si>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</si>
  <si>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</si>
  <si>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</si>
  <si>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</si>
  <si>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</si>
  <si>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</si>
  <si>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</si>
  <si>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</si>
  <si>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</si>
  <si>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</si>
  <si>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</si>
  <si>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</si>
  <si>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</si>
  <si>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</si>
  <si>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</si>
  <si>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</si>
  <si>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</si>
  <si>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</si>
  <si>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</si>
  <si>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</si>
  <si>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</si>
  <si>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</si>
  <si>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</si>
  <si>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</si>
  <si>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</si>
  <si>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</si>
  <si>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</si>
  <si>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</si>
  <si>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</si>
  <si>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</si>
  <si>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</si>
  <si>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</si>
  <si>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</si>
  <si>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</si>
  <si>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</si>
  <si>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</si>
  <si>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</si>
  <si>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</si>
  <si>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</si>
  <si>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</si>
  <si>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</si>
  <si>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</si>
  <si>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</si>
  <si>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</si>
  <si>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</si>
  <si>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</si>
  <si>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</si>
  <si>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</si>
  <si>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</si>
  <si>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</si>
  <si>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</si>
  <si>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</si>
  <si>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</si>
  <si>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</si>
  <si>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</si>
  <si>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</si>
  <si>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</si>
  <si>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</si>
  <si>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</si>
  <si>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</si>
  <si>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</si>
  <si>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</si>
  <si>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</si>
  <si>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</si>
  <si>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</si>
  <si>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</si>
  <si>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</si>
  <si>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</si>
  <si>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</si>
  <si>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</si>
  <si>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</si>
  <si>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</si>
  <si>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</si>
  <si>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</si>
  <si>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</si>
  <si>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</si>
  <si>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</si>
  <si>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</si>
  <si>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</si>
  <si>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</si>
  <si>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</si>
  <si>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</si>
  <si>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</si>
  <si>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</si>
  <si>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</si>
  <si>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</si>
  <si>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</si>
  <si>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</si>
  <si>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</si>
  <si>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</si>
  <si>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</si>
  <si>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</si>
  <si>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</si>
  <si>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</si>
  <si>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</si>
  <si>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</si>
  <si>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</si>
  <si>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</si>
  <si>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</si>
  <si>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</si>
  <si>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</si>
  <si>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</si>
  <si>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</si>
  <si>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</si>
  <si>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</si>
  <si>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</si>
  <si>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</si>
  <si>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</si>
  <si>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</si>
  <si>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</si>
  <si>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</si>
  <si>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</si>
  <si>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</si>
  <si>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</si>
  <si>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</si>
  <si>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</si>
  <si>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</si>
  <si>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</si>
  <si>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</si>
  <si>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</si>
  <si>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</si>
  <si>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</si>
  <si>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</si>
  <si>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</si>
  <si>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</si>
  <si>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</si>
  <si>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</si>
  <si>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</si>
  <si>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</si>
  <si>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</si>
  <si>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</si>
  <si>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</si>
  <si>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</si>
  <si>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</si>
  <si>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</si>
  <si>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</si>
  <si>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</si>
  <si>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</si>
  <si>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</si>
  <si>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</si>
  <si>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</si>
  <si>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</si>
  <si>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</si>
  <si>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</si>
  <si>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</si>
  <si>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</si>
  <si>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</si>
  <si>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</si>
  <si>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</si>
  <si>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</si>
  <si>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</si>
  <si>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</si>
  <si>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</si>
  <si>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</si>
  <si>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</si>
  <si>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</si>
  <si>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</si>
  <si>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</si>
  <si>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</si>
  <si>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</si>
  <si>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</si>
  <si>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</si>
  <si>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</si>
  <si>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</si>
  <si>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</si>
  <si>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</si>
  <si>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</si>
  <si>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</si>
  <si>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</si>
  <si>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</si>
  <si>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</si>
  <si>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</si>
  <si>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</si>
  <si>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</si>
  <si>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</si>
  <si>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</si>
  <si>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</si>
  <si>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</si>
  <si>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</si>
  <si>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</si>
  <si>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</si>
  <si>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</si>
  <si>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</si>
  <si>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</si>
  <si>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</si>
  <si>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</si>
  <si>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</si>
  <si>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</si>
  <si>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</si>
  <si>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</si>
  <si>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</si>
  <si>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</si>
  <si>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</si>
  <si>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</si>
  <si>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</si>
  <si>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</si>
  <si>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</si>
  <si>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</si>
  <si>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</si>
  <si>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</si>
  <si>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</si>
  <si>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</si>
  <si>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</si>
  <si>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</si>
  <si>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</si>
  <si>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</si>
  <si>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</si>
  <si>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</si>
  <si>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</si>
  <si>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</si>
  <si>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</si>
  <si>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</si>
  <si>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</si>
  <si>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</si>
  <si>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</si>
  <si>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</si>
  <si>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</si>
  <si>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</si>
  <si>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</si>
  <si>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</si>
  <si>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</si>
  <si>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</si>
  <si>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</si>
  <si>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</si>
  <si>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</si>
  <si>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</si>
  <si>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</si>
  <si>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</si>
  <si>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</si>
  <si>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</si>
  <si>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</si>
  <si>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</si>
  <si>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</si>
  <si>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</si>
  <si>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</si>
  <si>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</si>
  <si>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</si>
  <si>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</si>
  <si>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</si>
  <si>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</si>
  <si>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</si>
  <si>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</si>
  <si>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</si>
  <si>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</si>
  <si>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</si>
  <si>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</si>
  <si>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</si>
  <si>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</si>
  <si>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</si>
  <si>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</si>
  <si>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</si>
  <si>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</si>
  <si>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</si>
  <si>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</si>
  <si>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</si>
  <si>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</si>
  <si>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</si>
  <si>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</si>
  <si>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</si>
  <si>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</si>
  <si>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</si>
  <si>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</si>
  <si>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</si>
  <si>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</si>
  <si>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</si>
  <si>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</si>
  <si>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</si>
  <si>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</si>
  <si>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</si>
  <si>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</si>
  <si>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</si>
  <si>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</si>
  <si>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</si>
  <si>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</si>
  <si>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</si>
  <si>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</si>
  <si>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</si>
  <si>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</si>
  <si>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</si>
  <si>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</si>
  <si>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</si>
  <si>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</si>
  <si>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</si>
  <si>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</si>
  <si>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</si>
  <si>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</si>
  <si>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</si>
  <si>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</si>
  <si>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</si>
  <si>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</si>
  <si>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</si>
  <si>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</si>
  <si>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</si>
  <si>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</si>
  <si>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</si>
  <si>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</si>
  <si>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</si>
  <si>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</si>
  <si>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</si>
  <si>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</si>
  <si>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</si>
  <si>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</si>
  <si>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</si>
  <si>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</si>
  <si>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</si>
  <si>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</si>
  <si>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</si>
  <si>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</si>
  <si>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</si>
  <si>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</si>
  <si>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</si>
  <si>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</si>
  <si>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</si>
  <si>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</si>
  <si>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</si>
  <si>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</si>
  <si>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</si>
  <si>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</si>
  <si>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</si>
  <si>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</si>
  <si>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</si>
  <si>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</si>
  <si>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</si>
  <si>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</si>
  <si>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</si>
  <si>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</si>
  <si>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</si>
  <si>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</si>
  <si>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</si>
  <si>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</si>
  <si>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</si>
  <si>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</si>
  <si>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</si>
  <si>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</si>
  <si>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</si>
  <si>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</si>
  <si>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</si>
  <si>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</si>
  <si>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</si>
  <si>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</si>
  <si>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</si>
  <si>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</si>
  <si>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</si>
  <si>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</si>
  <si>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</si>
  <si>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</si>
  <si>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</si>
  <si>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</si>
  <si>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</si>
  <si>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</si>
  <si>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</si>
  <si>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</si>
  <si>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</si>
  <si>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</si>
  <si>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</si>
  <si>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</si>
  <si>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</si>
  <si>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</si>
  <si>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</si>
  <si>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</si>
  <si>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</si>
  <si>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</si>
  <si>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</si>
  <si>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</si>
  <si>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</si>
  <si>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</si>
  <si>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</si>
  <si>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</si>
  <si>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</si>
  <si>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</si>
  <si>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</si>
  <si>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</si>
  <si>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</si>
  <si>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</si>
  <si>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</si>
  <si>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</si>
  <si>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</si>
  <si>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</si>
  <si>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</si>
  <si>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</si>
  <si>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</si>
  <si>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</si>
  <si>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</si>
  <si>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</si>
  <si>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</si>
  <si>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</si>
  <si>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</si>
  <si>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</si>
  <si>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</si>
  <si>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</si>
  <si>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</si>
  <si>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</si>
  <si>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</si>
  <si>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</si>
  <si>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</si>
  <si>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</si>
  <si>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</si>
  <si>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</si>
  <si>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</si>
  <si>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</si>
  <si>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</si>
  <si>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</si>
  <si>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</si>
  <si>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</si>
  <si>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</si>
  <si>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</si>
  <si>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</si>
  <si>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</si>
  <si>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</si>
  <si>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</si>
  <si>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</si>
  <si>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</si>
  <si>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</si>
  <si>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</si>
  <si>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</si>
  <si>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</si>
  <si>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</si>
  <si>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</si>
  <si>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</si>
  <si>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</si>
  <si>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</si>
  <si>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</si>
  <si>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</si>
  <si>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</si>
  <si>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</si>
  <si>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</si>
  <si>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</si>
  <si>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</si>
  <si>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</si>
  <si>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</si>
  <si>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</si>
  <si>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</si>
  <si>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</si>
  <si>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</si>
  <si>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</si>
  <si>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</si>
  <si>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</si>
  <si>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</si>
  <si>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</si>
  <si>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</si>
  <si>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</si>
  <si>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</si>
  <si>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</si>
  <si>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</si>
  <si>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</si>
  <si>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</si>
  <si>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</si>
  <si>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</si>
  <si>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</si>
  <si>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</si>
  <si>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</si>
  <si>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</si>
  <si>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</si>
  <si>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</si>
  <si>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</si>
  <si>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</si>
  <si>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</si>
  <si>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</si>
  <si>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</si>
  <si>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</si>
  <si>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</si>
  <si>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</si>
  <si>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</si>
  <si>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</si>
  <si>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</si>
  <si>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</si>
  <si>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</si>
  <si>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</si>
  <si>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</si>
  <si>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</si>
  <si>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</si>
  <si>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</si>
  <si>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</si>
  <si>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</si>
  <si>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</si>
  <si>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</si>
  <si>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</si>
  <si>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</si>
  <si>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</si>
  <si>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</si>
  <si>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</si>
  <si>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</si>
  <si>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</si>
  <si>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</si>
  <si>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</si>
  <si>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</si>
  <si>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</si>
  <si>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</si>
  <si>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</si>
  <si>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</si>
  <si>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</si>
  <si>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</si>
  <si>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</si>
  <si>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</si>
  <si>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</si>
  <si>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</si>
  <si>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</si>
  <si>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</si>
  <si>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</si>
  <si>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</si>
  <si>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</si>
  <si>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</si>
  <si>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</si>
  <si>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</si>
  <si>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</si>
  <si>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</si>
  <si>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</si>
  <si>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</si>
  <si>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</si>
  <si>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</si>
  <si>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</si>
  <si>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</si>
  <si>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</si>
  <si>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</si>
  <si>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</si>
  <si>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</si>
  <si>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</si>
  <si>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</si>
  <si>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</si>
  <si>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</si>
  <si>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</si>
  <si>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</si>
  <si>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</si>
  <si>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</si>
  <si>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</si>
  <si>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</si>
  <si>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</si>
  <si>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</si>
  <si>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</si>
  <si>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</si>
  <si>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</si>
  <si>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</si>
  <si>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</si>
  <si>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</si>
  <si>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</si>
  <si>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</si>
  <si>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</si>
  <si>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</si>
  <si>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</si>
  <si>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</si>
  <si>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</si>
  <si>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</si>
  <si>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</si>
  <si>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</si>
  <si>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</si>
  <si>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</si>
  <si>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</si>
  <si>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</si>
  <si>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</si>
  <si>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</si>
  <si>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</si>
  <si>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</si>
  <si>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</si>
  <si>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</si>
  <si>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</si>
  <si>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</si>
  <si>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</si>
  <si>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</si>
  <si>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</si>
  <si>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</si>
  <si>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</si>
  <si>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</si>
  <si>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</si>
  <si>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</si>
  <si>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</si>
  <si>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</si>
  <si>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</si>
  <si>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</si>
  <si>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</si>
  <si>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</si>
  <si>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</si>
  <si>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</si>
  <si>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</si>
  <si>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</si>
  <si>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</si>
  <si>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</si>
  <si>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</si>
  <si>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</si>
  <si>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</si>
  <si>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</si>
  <si>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</si>
  <si>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</si>
  <si>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</si>
  <si>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</si>
  <si>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</si>
  <si>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</si>
  <si>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</si>
  <si>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</si>
  <si>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</si>
  <si>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</si>
  <si>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</si>
  <si>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</si>
  <si>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</si>
  <si>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</si>
  <si>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</si>
  <si>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</si>
  <si>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</si>
  <si>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</si>
  <si>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</si>
  <si>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</si>
  <si>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</si>
  <si>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</si>
  <si>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</si>
  <si>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</si>
  <si>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</si>
  <si>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</si>
  <si>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</si>
  <si>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</si>
  <si>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</si>
  <si>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</si>
  <si>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</si>
  <si>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</si>
  <si>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</si>
  <si>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</si>
  <si>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</si>
  <si>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</si>
  <si>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</si>
  <si>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</si>
  <si>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</si>
  <si>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</si>
  <si>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</si>
  <si>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</si>
  <si>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</si>
  <si>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</si>
  <si>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</si>
  <si>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</si>
  <si>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</si>
  <si>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</si>
  <si>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</si>
  <si>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</si>
  <si>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</si>
  <si>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</si>
  <si>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</si>
  <si>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</si>
  <si>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</si>
  <si>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</si>
  <si>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</si>
  <si>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</si>
  <si>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</si>
  <si>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</si>
  <si>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</si>
  <si>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</si>
  <si>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</si>
  <si>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</si>
  <si>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</si>
  <si>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</si>
  <si>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</si>
  <si>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</si>
  <si>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</si>
  <si>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</si>
  <si>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</si>
  <si>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</si>
  <si>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</si>
  <si>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</si>
  <si>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</si>
  <si>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</si>
  <si>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</si>
  <si>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</si>
  <si>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</si>
  <si>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</si>
  <si>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</si>
  <si>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</si>
  <si>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</si>
  <si>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</si>
  <si>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</si>
  <si>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</si>
  <si>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</si>
  <si>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</si>
  <si>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</si>
  <si>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</si>
  <si>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</si>
  <si>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</si>
  <si>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</si>
  <si>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</si>
  <si>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</si>
  <si>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</si>
  <si>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</si>
  <si>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</si>
  <si>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</si>
  <si>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</si>
  <si>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</si>
  <si>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</si>
  <si>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</si>
  <si>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</si>
  <si>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</si>
  <si>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</si>
  <si>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</si>
  <si>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</si>
  <si>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</si>
  <si>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</si>
  <si>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</si>
  <si>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</si>
  <si>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</si>
  <si>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</si>
  <si>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</si>
  <si>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</si>
  <si>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</si>
  <si>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</si>
  <si>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</si>
  <si>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</si>
  <si>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</si>
  <si>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</si>
  <si>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</si>
  <si>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</si>
  <si>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</si>
  <si>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</si>
  <si>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</si>
  <si>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</si>
  <si>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</si>
  <si>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</si>
  <si>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</si>
  <si>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</si>
  <si>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</si>
  <si>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</si>
  <si>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</si>
  <si>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</si>
  <si>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</si>
  <si>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</si>
  <si>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</si>
  <si>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</si>
  <si>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</si>
  <si>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</si>
  <si>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</si>
  <si>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</si>
  <si>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</si>
  <si>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</si>
  <si>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</si>
  <si>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</si>
  <si>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</si>
  <si>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</si>
  <si>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</si>
  <si>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</si>
  <si>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</si>
  <si>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</si>
  <si>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</si>
  <si>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</si>
  <si>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</si>
  <si>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</si>
  <si>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</si>
  <si>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</si>
  <si>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</si>
  <si>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</si>
  <si>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</si>
  <si>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</si>
  <si>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</si>
  <si>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</si>
  <si>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</si>
  <si>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</si>
  <si>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</si>
  <si>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</si>
  <si>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</si>
  <si>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</si>
  <si>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</si>
  <si>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</si>
  <si>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</si>
  <si>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</si>
  <si>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</si>
  <si>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</si>
  <si>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</si>
  <si>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</si>
  <si>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</si>
  <si>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</si>
  <si>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</si>
  <si>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</si>
  <si>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</si>
  <si>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</si>
  <si>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</si>
  <si>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</si>
  <si>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</si>
  <si>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</si>
  <si>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</si>
  <si>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</si>
  <si>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</si>
  <si>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</si>
  <si>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</si>
  <si>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</si>
  <si>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</si>
  <si>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</si>
  <si>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</si>
  <si>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</si>
  <si>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</si>
  <si>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</si>
  <si>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</si>
  <si>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</si>
  <si>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</si>
  <si>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</si>
  <si>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</si>
  <si>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</si>
  <si>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</si>
  <si>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</si>
  <si>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</si>
  <si>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</si>
  <si>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</si>
  <si>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</si>
  <si>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</si>
  <si>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</si>
  <si>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</si>
  <si>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</si>
  <si>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</si>
  <si>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</si>
  <si>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</si>
  <si>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</si>
  <si>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</si>
  <si>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</si>
  <si>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</si>
  <si>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</si>
  <si>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</si>
  <si>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</si>
  <si>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</si>
  <si>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</si>
  <si>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</si>
  <si>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</si>
  <si>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</si>
  <si>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</si>
  <si>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</si>
  <si>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</si>
  <si>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</si>
  <si>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</si>
  <si>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</si>
  <si>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</si>
  <si>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</si>
  <si>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</si>
  <si>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</si>
  <si>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</si>
  <si>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</si>
  <si>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</si>
  <si>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</si>
  <si>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</si>
  <si>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</si>
  <si>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</si>
  <si>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</si>
  <si>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</si>
  <si>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</si>
  <si>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</si>
  <si>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</si>
  <si>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</si>
  <si>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</si>
  <si>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</si>
  <si>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</si>
  <si>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</si>
  <si>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</si>
  <si>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</si>
  <si>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</si>
  <si>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</si>
  <si>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</si>
  <si>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</si>
  <si>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</si>
  <si>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</si>
  <si>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</si>
  <si>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</si>
  <si>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</si>
  <si>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</si>
  <si>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</si>
  <si>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</si>
  <si>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</si>
  <si>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</si>
  <si>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</si>
  <si>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</si>
  <si>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</si>
  <si>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</si>
  <si>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</si>
  <si>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</si>
  <si>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</si>
  <si>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</si>
  <si>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</si>
  <si>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</si>
  <si>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</si>
  <si>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</si>
  <si>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</si>
  <si>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</si>
  <si>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</si>
  <si>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</si>
  <si>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</si>
  <si>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</si>
  <si>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</si>
  <si>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</si>
  <si>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</si>
  <si>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</si>
  <si>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</si>
  <si>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</si>
  <si>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</si>
  <si>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</si>
  <si>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</si>
  <si>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</si>
  <si>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</si>
  <si>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</si>
  <si>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</si>
  <si>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</si>
  <si>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</si>
  <si>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</si>
  <si>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</si>
  <si>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</si>
  <si>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</si>
  <si>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</si>
  <si>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</si>
  <si>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</si>
  <si>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</si>
  <si>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</si>
  <si>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</si>
  <si>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</si>
  <si>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</si>
  <si>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</si>
  <si>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</si>
  <si>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</si>
  <si>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</si>
  <si>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</si>
  <si>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</si>
  <si>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</si>
  <si>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</si>
  <si>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</si>
  <si>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</si>
  <si>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</si>
  <si>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</si>
  <si>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</si>
  <si>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</si>
  <si>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</si>
  <si>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</si>
  <si>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</si>
  <si>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</si>
  <si>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</si>
  <si>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</si>
  <si>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</si>
  <si>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</si>
  <si>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</si>
  <si>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</si>
  <si>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</si>
  <si>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</si>
  <si>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</si>
  <si>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</si>
  <si>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</si>
  <si>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</si>
  <si>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</si>
  <si>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</si>
  <si>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</si>
  <si>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</si>
  <si>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</si>
  <si>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</si>
  <si>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</si>
  <si>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</si>
  <si>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</si>
  <si>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</si>
  <si>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</si>
  <si>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</si>
  <si>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</si>
  <si>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</si>
  <si>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</si>
  <si>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</si>
  <si>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</si>
  <si>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</si>
  <si>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</si>
  <si>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</si>
  <si>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</si>
  <si>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</si>
  <si>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</si>
  <si>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</si>
  <si>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</si>
  <si>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</si>
  <si>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</si>
  <si>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</si>
  <si>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</si>
  <si>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</si>
  <si>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</si>
  <si>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</si>
  <si>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</si>
  <si>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</si>
  <si>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</si>
  <si>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</si>
  <si>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</si>
  <si>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</si>
  <si>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</si>
  <si>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</si>
  <si>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</si>
  <si>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</si>
  <si>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</si>
  <si>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</si>
  <si>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</si>
  <si>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</si>
  <si>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</si>
  <si>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</si>
  <si>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</si>
  <si>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</si>
  <si>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</si>
  <si>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</si>
  <si>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</si>
  <si>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</si>
  <si>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</si>
  <si>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</si>
  <si>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</si>
  <si>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</si>
  <si>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</si>
  <si>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</si>
  <si>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</si>
  <si>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</si>
  <si>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</si>
  <si>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</si>
  <si>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</si>
  <si>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</si>
  <si>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</si>
  <si>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</si>
  <si>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</si>
  <si>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</si>
  <si>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</si>
  <si>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</si>
  <si>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</si>
  <si>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</si>
  <si>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</si>
  <si>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</si>
  <si>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</si>
  <si>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</si>
  <si>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</si>
  <si>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</si>
  <si>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</si>
  <si>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</si>
  <si>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</si>
  <si>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</si>
  <si>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</si>
  <si>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</si>
  <si>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</si>
  <si>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</si>
  <si>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</si>
  <si>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</si>
  <si>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</si>
  <si>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</si>
  <si>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</si>
  <si>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</si>
  <si>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</si>
  <si>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</si>
  <si>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</si>
  <si>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</si>
  <si>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</si>
  <si>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</si>
  <si>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</si>
  <si>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</si>
  <si>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</si>
  <si>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</si>
  <si>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</si>
  <si>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</si>
  <si>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</si>
  <si>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</si>
  <si>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</si>
  <si>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</si>
  <si>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</si>
  <si>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</si>
  <si>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</si>
  <si>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</si>
  <si>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</si>
  <si>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</si>
  <si>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</si>
  <si>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</si>
  <si>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</si>
  <si>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</si>
  <si>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</si>
  <si>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</si>
  <si>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</si>
  <si>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</si>
  <si>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</si>
  <si>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</si>
  <si>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</si>
  <si>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</si>
  <si>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</si>
  <si>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</si>
  <si>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</si>
  <si>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</si>
  <si>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</si>
  <si>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</si>
  <si>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</si>
  <si>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</si>
  <si>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</si>
  <si>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</si>
  <si>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</si>
  <si>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</si>
  <si>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</si>
  <si>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</si>
  <si>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</si>
  <si>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</si>
  <si>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</si>
  <si>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</si>
  <si>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</si>
  <si>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</si>
  <si>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</si>
  <si>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</si>
  <si>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</si>
  <si>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</si>
  <si>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</si>
  <si>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</si>
  <si>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</si>
  <si>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</si>
  <si>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</si>
  <si>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</si>
  <si>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</si>
  <si>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</si>
  <si>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</si>
  <si>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</si>
  <si>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</si>
  <si>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</si>
  <si>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</si>
  <si>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</si>
  <si>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</si>
  <si>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</si>
  <si>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</si>
  <si>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</si>
  <si>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</si>
  <si>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</si>
  <si>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</si>
  <si>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</si>
  <si>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</si>
  <si>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</si>
  <si>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</si>
  <si>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</si>
  <si>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</si>
  <si>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</si>
  <si>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</si>
  <si>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</si>
  <si>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</si>
  <si>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</si>
  <si>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</si>
  <si>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</si>
  <si>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</si>
  <si>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</si>
  <si>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</si>
  <si>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</si>
  <si>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</si>
  <si>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</si>
  <si>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</si>
  <si>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</si>
  <si>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</si>
  <si>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</si>
  <si>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</si>
  <si>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</si>
  <si>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</si>
  <si>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</si>
  <si>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</si>
  <si>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</si>
  <si>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</si>
  <si>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</si>
  <si>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</si>
  <si>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</si>
  <si>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</si>
  <si>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</si>
  <si>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</si>
  <si>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</si>
  <si>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</si>
  <si>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</si>
  <si>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</si>
  <si>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</si>
  <si>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</si>
  <si>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</si>
  <si>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</si>
  <si>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</si>
  <si>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</si>
  <si>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</si>
  <si>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</si>
  <si>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</si>
  <si>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</si>
  <si>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</si>
  <si>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</si>
  <si>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</si>
  <si>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</si>
  <si>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</si>
  <si>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</si>
  <si>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</si>
  <si>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</si>
  <si>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</si>
  <si>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</si>
  <si>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</si>
  <si>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</si>
  <si>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</si>
  <si>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</si>
  <si>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</si>
  <si>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</si>
  <si>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</si>
  <si>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</si>
  <si>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</si>
  <si>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</si>
  <si>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</si>
  <si>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</si>
  <si>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</si>
  <si>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</si>
  <si>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</si>
  <si>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</si>
  <si>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</si>
  <si>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</si>
  <si>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</si>
  <si>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</si>
  <si>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</si>
  <si>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</si>
  <si>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</si>
  <si>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</si>
  <si>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</si>
  <si>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</si>
  <si>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</si>
  <si>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</si>
  <si>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</si>
  <si>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</si>
  <si>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</si>
  <si>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</si>
  <si>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</si>
  <si>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</si>
  <si>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</si>
  <si>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</si>
  <si>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</si>
  <si>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</si>
  <si>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</si>
  <si>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</si>
  <si>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</si>
  <si>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</si>
  <si>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</si>
  <si>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</si>
  <si>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</si>
  <si>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</si>
  <si>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</si>
  <si>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</si>
  <si>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</si>
  <si>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</si>
  <si>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</si>
  <si>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</si>
  <si>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</si>
  <si>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</si>
  <si>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</si>
  <si>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</si>
  <si>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</si>
  <si>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</si>
  <si>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</si>
  <si>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</si>
  <si>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</si>
  <si>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</si>
  <si>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</si>
  <si>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</si>
  <si>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</si>
  <si>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</si>
  <si>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</si>
  <si>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</si>
  <si>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</si>
  <si>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</si>
  <si>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</si>
  <si>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</si>
  <si>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</si>
  <si>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</si>
  <si>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</si>
  <si>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</si>
  <si>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</si>
  <si>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</si>
  <si>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</si>
  <si>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</si>
  <si>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</si>
  <si>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</si>
  <si>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</si>
  <si>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</si>
  <si>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</si>
  <si>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</si>
  <si>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</si>
  <si>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</si>
  <si>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</si>
  <si>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</si>
  <si>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</si>
  <si>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</si>
  <si>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</si>
  <si>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</si>
  <si>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</si>
  <si>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</si>
  <si>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</si>
  <si>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</si>
  <si>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</si>
  <si>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</si>
  <si>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</si>
  <si>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</si>
  <si>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</si>
  <si>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</si>
  <si>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</si>
  <si>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</si>
  <si>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</si>
  <si>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</si>
  <si>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</si>
  <si>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</si>
  <si>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</si>
  <si>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</si>
  <si>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</si>
  <si>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</si>
  <si>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</si>
  <si>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</si>
  <si>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</si>
  <si>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</si>
  <si>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</si>
  <si>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</si>
  <si>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</si>
  <si>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</si>
  <si>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</si>
  <si>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</si>
  <si>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</si>
  <si>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</si>
  <si>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</si>
  <si>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</si>
  <si>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</si>
  <si>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</si>
  <si>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</si>
  <si>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</si>
  <si>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</si>
  <si>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</si>
  <si>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</si>
  <si>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</si>
  <si>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</si>
  <si>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</si>
  <si>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</si>
  <si>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</si>
  <si>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</si>
  <si>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</si>
  <si>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</si>
  <si>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</si>
  <si>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</si>
  <si>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</si>
  <si>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</si>
  <si>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</si>
  <si>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</si>
  <si>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</si>
  <si>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</si>
  <si>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</si>
  <si>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</si>
  <si>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</si>
  <si>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</si>
  <si>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</si>
  <si>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</si>
  <si>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</si>
  <si>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</si>
  <si>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</si>
  <si>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</si>
  <si>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</si>
  <si>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</si>
  <si>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</si>
  <si>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</si>
  <si>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</si>
  <si>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</si>
  <si>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</si>
  <si>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</si>
  <si>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</si>
  <si>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</si>
  <si>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</si>
  <si>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</si>
  <si>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</si>
  <si>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</si>
  <si>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</si>
  <si>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</si>
  <si>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</si>
  <si>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</si>
  <si>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</si>
  <si>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</si>
  <si>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</si>
  <si>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</si>
  <si>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</si>
  <si>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</si>
  <si>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</si>
  <si>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</si>
  <si>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</si>
  <si>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</si>
  <si>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</si>
  <si>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</si>
  <si>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</si>
  <si>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</si>
  <si>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</si>
  <si>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</si>
  <si>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</si>
  <si>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</si>
  <si>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</si>
  <si>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</si>
  <si>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</si>
  <si>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</si>
  <si>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</si>
  <si>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</si>
  <si>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</si>
  <si>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</si>
  <si>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</si>
  <si>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</si>
  <si>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</si>
  <si>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</si>
  <si>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</si>
  <si>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</si>
  <si>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</si>
  <si>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</si>
  <si>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</si>
  <si>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</si>
  <si>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</si>
  <si>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</si>
  <si>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</si>
  <si>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</si>
  <si>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</si>
  <si>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</si>
  <si>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</si>
  <si>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</si>
  <si>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</si>
  <si>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</si>
  <si>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</si>
  <si>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</si>
  <si>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</si>
  <si>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</si>
  <si>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</si>
  <si>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</si>
  <si>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</si>
  <si>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</si>
  <si>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</si>
  <si>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</si>
  <si>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</si>
  <si>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</si>
  <si>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</si>
  <si>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</si>
  <si>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</si>
  <si>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</si>
  <si>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</si>
  <si>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</si>
  <si>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</si>
  <si>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</si>
  <si>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</si>
  <si>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</si>
  <si>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</si>
  <si>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</si>
  <si>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</si>
  <si>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</si>
  <si>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</si>
  <si>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</si>
  <si>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</si>
  <si>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</si>
  <si>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</si>
  <si>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</si>
  <si>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</si>
  <si>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</si>
  <si>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</si>
  <si>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</si>
  <si>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</si>
  <si>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</si>
  <si>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</si>
  <si>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</si>
  <si>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</si>
  <si>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</si>
  <si>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</si>
  <si>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</si>
  <si>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</si>
  <si>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</si>
  <si>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</si>
  <si>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</si>
  <si>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</si>
  <si>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</si>
  <si>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</si>
  <si>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</si>
  <si>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</si>
  <si>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</si>
  <si>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</si>
  <si>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</si>
  <si>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</si>
  <si>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</si>
  <si>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</si>
  <si>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</si>
  <si>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</si>
  <si>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</si>
  <si>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</si>
  <si>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</si>
  <si>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</si>
  <si>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</si>
  <si>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</si>
  <si>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</si>
  <si>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</si>
  <si>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</si>
  <si>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</si>
  <si>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</si>
  <si>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</si>
  <si>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</si>
  <si>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</si>
  <si>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</si>
  <si>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</si>
  <si>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</si>
  <si>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</si>
  <si>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</si>
  <si>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</si>
  <si>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</si>
  <si>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</si>
  <si>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</si>
  <si>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</si>
  <si>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</si>
  <si>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</si>
  <si>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</si>
  <si>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</si>
  <si>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</si>
  <si>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</si>
  <si>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</si>
  <si>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</si>
  <si>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</si>
  <si>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</si>
  <si>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</si>
  <si>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</si>
  <si>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</si>
  <si>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</si>
  <si>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</si>
  <si>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</si>
  <si>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</si>
  <si>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</si>
  <si>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</si>
  <si>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</si>
  <si>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</si>
  <si>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</si>
  <si>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</si>
  <si>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</si>
  <si>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</si>
  <si>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</si>
  <si>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</si>
  <si>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</si>
  <si>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</si>
  <si>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</si>
  <si>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</si>
  <si>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</si>
  <si>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</si>
  <si>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</si>
  <si>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</si>
  <si>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</si>
  <si>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</si>
  <si>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</si>
  <si>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</si>
  <si>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</si>
  <si>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</si>
  <si>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</si>
  <si>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</si>
  <si>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</si>
  <si>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</si>
  <si>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</si>
  <si>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</si>
  <si>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</si>
  <si>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</si>
  <si>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</si>
  <si>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</si>
  <si>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</si>
  <si>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</si>
  <si>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</si>
  <si>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</si>
  <si>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</si>
  <si>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</si>
  <si>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</si>
  <si>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</si>
  <si>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</si>
  <si>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</si>
  <si>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</si>
  <si>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</si>
  <si>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</si>
  <si>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</si>
  <si>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</si>
  <si>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</si>
  <si>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</si>
  <si>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</si>
  <si>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</si>
  <si>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</si>
  <si>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</si>
  <si>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</si>
  <si>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</si>
  <si>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</si>
  <si>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</si>
  <si>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</si>
  <si>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</si>
  <si>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</si>
  <si>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</si>
  <si>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</si>
  <si>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</si>
  <si>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</si>
  <si>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</si>
  <si>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</si>
  <si>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</si>
  <si>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</si>
  <si>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</si>
  <si>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</si>
  <si>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</si>
  <si>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</si>
  <si>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</si>
  <si>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</si>
  <si>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</si>
  <si>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</si>
  <si>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</si>
  <si>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</si>
  <si>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</si>
  <si>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</si>
  <si>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</si>
  <si>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</si>
  <si>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</si>
  <si>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</si>
  <si>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</si>
  <si>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</si>
  <si>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</si>
  <si>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</si>
  <si>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</si>
  <si>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</si>
  <si>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</si>
  <si>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</si>
  <si>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</si>
  <si>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</si>
  <si>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</si>
  <si>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</si>
  <si>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</si>
  <si>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</si>
  <si>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</si>
  <si>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</si>
  <si>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</si>
  <si>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</si>
  <si>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</si>
  <si>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</si>
  <si>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</si>
  <si>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</si>
  <si>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</si>
  <si>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</si>
  <si>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</si>
  <si>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</si>
  <si>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</si>
  <si>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</si>
  <si>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</si>
  <si>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</si>
  <si>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</si>
  <si>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</si>
  <si>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</si>
  <si>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</si>
  <si>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</si>
  <si>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</si>
  <si>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</si>
  <si>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</si>
  <si>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</si>
  <si>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</si>
  <si>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</si>
  <si>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</si>
  <si>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</si>
  <si>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</si>
  <si>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</si>
  <si>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</si>
  <si>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</si>
  <si>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</si>
  <si>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</si>
  <si>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</si>
  <si>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</si>
  <si>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</si>
  <si>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</si>
  <si>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</si>
  <si>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</si>
  <si>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</si>
  <si>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</si>
  <si>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</si>
  <si>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</si>
  <si>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</si>
  <si>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</si>
  <si>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</si>
  <si>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</si>
  <si>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</si>
  <si>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</si>
  <si>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</si>
  <si>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</si>
  <si>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</si>
  <si>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</si>
  <si>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</si>
  <si>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</si>
  <si>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</si>
  <si>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</si>
  <si>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</si>
  <si>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</si>
  <si>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</si>
  <si>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</si>
  <si>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</si>
  <si>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</si>
  <si>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</si>
  <si>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</si>
  <si>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</si>
  <si>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</si>
  <si>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</si>
  <si>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</si>
  <si>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</si>
  <si>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</si>
  <si>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</si>
  <si>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</si>
  <si>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</si>
  <si>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</si>
  <si>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</si>
  <si>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</si>
  <si>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</si>
  <si>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</si>
  <si>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</si>
  <si>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</si>
  <si>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</si>
  <si>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</si>
  <si>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</si>
  <si>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</si>
  <si>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</si>
  <si>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</si>
  <si>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</si>
  <si>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</si>
  <si>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</si>
  <si>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</si>
  <si>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</si>
  <si>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</si>
  <si>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</si>
  <si>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</si>
  <si>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</si>
  <si>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</si>
  <si>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</si>
  <si>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</si>
  <si>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</si>
  <si>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</si>
  <si>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</si>
  <si>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</si>
  <si>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</si>
  <si>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</si>
  <si>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</si>
  <si>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</si>
  <si>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</si>
  <si>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</si>
  <si>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</si>
  <si>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</si>
  <si>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</si>
  <si>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</si>
  <si>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</si>
  <si>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</si>
  <si>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</si>
  <si>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</si>
  <si>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</si>
  <si>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</si>
  <si>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</si>
  <si>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</si>
  <si>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</si>
  <si>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</si>
  <si>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</si>
  <si>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</si>
  <si>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</si>
  <si>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</si>
  <si>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</si>
  <si>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</si>
  <si>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</si>
  <si>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</si>
  <si>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</si>
  <si>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</si>
  <si>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</si>
  <si>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</si>
  <si>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</si>
  <si>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</si>
  <si>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</si>
  <si>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</si>
  <si>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</si>
  <si>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</si>
  <si>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</si>
  <si>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</si>
  <si>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</si>
  <si>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</si>
  <si>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</si>
  <si>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</si>
  <si>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</si>
  <si>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</si>
  <si>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</si>
  <si>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</si>
  <si>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</si>
  <si>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</si>
  <si>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</si>
  <si>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</si>
  <si>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</si>
  <si>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</si>
  <si>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</si>
  <si>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</si>
  <si>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</si>
  <si>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</si>
  <si>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</si>
  <si>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</si>
  <si>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</si>
  <si>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</si>
  <si>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</si>
  <si>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</si>
  <si>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</si>
  <si>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</si>
  <si>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</si>
  <si>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</si>
  <si>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</si>
  <si>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</si>
  <si>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</si>
  <si>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</si>
  <si>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</si>
  <si>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</si>
  <si>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</si>
  <si>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</si>
  <si>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</si>
  <si>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</si>
  <si>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</si>
  <si>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</si>
  <si>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</si>
  <si>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</si>
  <si>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</si>
  <si>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</si>
  <si>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</si>
  <si>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</si>
  <si>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</si>
  <si>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</si>
  <si>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</si>
  <si>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</si>
  <si>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</si>
  <si>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</si>
  <si>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</si>
  <si>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</si>
  <si>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</si>
  <si>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</si>
  <si>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</si>
  <si>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</si>
  <si>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</si>
  <si>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</si>
  <si>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</si>
  <si>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</si>
  <si>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</si>
  <si>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</si>
  <si>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</si>
  <si>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</si>
  <si>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</si>
  <si>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</si>
  <si>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</si>
  <si>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</si>
  <si>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</si>
  <si>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</si>
  <si>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</si>
  <si>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</si>
  <si>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</si>
  <si>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</si>
  <si>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</si>
  <si>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</si>
  <si>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</si>
  <si>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</si>
  <si>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</si>
  <si>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</si>
  <si>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</si>
  <si>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</si>
  <si>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</si>
  <si>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</si>
  <si>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</si>
  <si>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</si>
  <si>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</si>
  <si>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</si>
  <si>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</si>
  <si>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</si>
  <si>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</si>
  <si>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</si>
  <si>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</si>
  <si>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</si>
  <si>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</si>
  <si>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</si>
  <si>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</si>
  <si>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</si>
  <si>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</si>
  <si>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</si>
  <si>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</si>
  <si>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</si>
  <si>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</si>
  <si>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</si>
  <si>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</si>
  <si>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</si>
  <si>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</si>
  <si>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</si>
  <si>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</si>
  <si>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</si>
  <si>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</si>
  <si>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</si>
  <si>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</si>
  <si>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</si>
  <si>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</si>
  <si>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</si>
  <si>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</si>
  <si>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</si>
  <si>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</si>
  <si>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</si>
  <si>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</si>
  <si>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</si>
  <si>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</si>
  <si>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</si>
  <si>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</si>
  <si>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</si>
  <si>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</si>
  <si>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</si>
  <si>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</si>
  <si>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</si>
  <si>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</si>
  <si>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</si>
  <si>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</si>
  <si>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</si>
  <si>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</si>
  <si>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</si>
  <si>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</si>
  <si>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</si>
  <si>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</si>
  <si>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</si>
  <si>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</si>
  <si>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</si>
  <si>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</si>
  <si>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</si>
  <si>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</si>
  <si>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</si>
  <si>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</si>
  <si>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</si>
  <si>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</si>
  <si>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</si>
  <si>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</si>
  <si>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</si>
  <si>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</si>
  <si>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</si>
  <si>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</si>
  <si>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</si>
  <si>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</si>
  <si>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</si>
  <si>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</si>
  <si>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</si>
  <si>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</si>
  <si>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</si>
  <si>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</si>
  <si>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</si>
  <si>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</si>
  <si>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</si>
  <si>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</si>
  <si>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</si>
  <si>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</si>
  <si>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</si>
  <si>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</si>
  <si>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</si>
  <si>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</si>
  <si>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</si>
  <si>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</si>
  <si>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</si>
  <si>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</si>
  <si>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</si>
  <si>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</si>
  <si>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</si>
  <si>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</si>
  <si>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</si>
  <si>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</si>
  <si>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</si>
  <si>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</si>
  <si>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</si>
  <si>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</si>
  <si>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</si>
  <si>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</si>
  <si>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</si>
  <si>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</si>
  <si>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</si>
  <si>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</si>
  <si>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</si>
  <si>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</si>
  <si>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</si>
  <si>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</si>
  <si>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</si>
  <si>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</si>
  <si>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</si>
  <si>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</si>
  <si>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</si>
  <si>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</si>
  <si>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</si>
  <si>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</si>
  <si>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</si>
  <si>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</si>
  <si>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</si>
  <si>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</si>
  <si>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</si>
  <si>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</si>
  <si>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</si>
  <si>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</si>
  <si>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</si>
  <si>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</si>
  <si>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</si>
  <si>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</si>
  <si>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</si>
  <si>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</si>
  <si>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</si>
  <si>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</si>
  <si>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</si>
  <si>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</si>
  <si>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</si>
  <si>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</si>
  <si>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</si>
  <si>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</si>
  <si>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</si>
  <si>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</si>
  <si>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</si>
  <si>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</si>
  <si>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</si>
  <si>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</si>
  <si>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</si>
  <si>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</si>
  <si>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</si>
  <si>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</si>
  <si>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</si>
  <si>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</si>
  <si>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</si>
  <si>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</si>
  <si>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</si>
  <si>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</si>
  <si>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</si>
  <si>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</si>
  <si>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</si>
  <si>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</si>
  <si>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</si>
  <si>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</si>
  <si>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</si>
  <si>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</si>
  <si>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</si>
  <si>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</si>
  <si>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</si>
  <si>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</si>
  <si>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</si>
  <si>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</si>
  <si>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</si>
  <si>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</si>
  <si>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</si>
  <si>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</si>
  <si>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</si>
  <si>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</si>
  <si>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</si>
  <si>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</si>
  <si>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</si>
  <si>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</si>
  <si>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</si>
  <si>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</si>
  <si>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</si>
  <si>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</si>
  <si>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</si>
  <si>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</si>
  <si>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</si>
  <si>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</si>
  <si>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</si>
  <si>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</si>
  <si>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</si>
  <si>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</si>
  <si>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</si>
  <si>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</si>
  <si>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</si>
  <si>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</si>
  <si>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</si>
  <si>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</si>
  <si>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</si>
  <si>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</si>
  <si>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</si>
  <si>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</si>
  <si>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</si>
  <si>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</si>
  <si>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</si>
  <si>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</si>
  <si>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</si>
  <si>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</si>
  <si>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</si>
  <si>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</si>
  <si>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</si>
  <si>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</si>
  <si>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</si>
  <si>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</si>
  <si>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</si>
  <si>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</si>
  <si>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</si>
  <si>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</si>
  <si>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</si>
  <si>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</si>
  <si>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</si>
  <si>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</si>
  <si>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</si>
  <si>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</si>
  <si>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</si>
  <si>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</si>
  <si>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</si>
  <si>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</si>
  <si>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</si>
  <si>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</si>
  <si>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</si>
  <si>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</si>
  <si>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</si>
  <si>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</si>
  <si>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</si>
  <si>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</si>
  <si>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</si>
  <si>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</si>
  <si>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</si>
  <si>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</si>
  <si>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</si>
  <si>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</si>
  <si>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</si>
  <si>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</si>
  <si>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</si>
  <si>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</si>
  <si>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</si>
  <si>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</si>
  <si>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</si>
  <si>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</si>
  <si>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</si>
  <si>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</si>
  <si>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</si>
  <si>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</si>
  <si>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</si>
  <si>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</si>
  <si>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</si>
  <si>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</si>
  <si>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</si>
  <si>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</si>
  <si>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</si>
  <si>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</si>
  <si>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</si>
  <si>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</si>
  <si>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</si>
  <si>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</si>
  <si>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</si>
  <si>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</si>
  <si>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</si>
  <si>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</si>
  <si>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</si>
  <si>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</si>
  <si>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</si>
  <si>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</si>
  <si>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</si>
  <si>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</si>
  <si>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</si>
  <si>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</si>
  <si>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</si>
  <si>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</si>
  <si>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</si>
  <si>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</si>
  <si>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</si>
  <si>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</si>
  <si>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</si>
  <si>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</si>
  <si>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</si>
  <si>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</si>
  <si>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</si>
  <si>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</si>
  <si>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</si>
  <si>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</si>
  <si>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</si>
  <si>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</si>
  <si>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</si>
  <si>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</si>
  <si>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</si>
  <si>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</si>
  <si>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</si>
  <si>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</si>
  <si>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</si>
  <si>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</si>
  <si>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</si>
  <si>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</si>
  <si>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</si>
  <si>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</si>
  <si>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</si>
  <si>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</si>
  <si>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</si>
  <si>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</si>
  <si>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</si>
  <si>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</si>
  <si>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</si>
  <si>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</si>
  <si>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</si>
  <si>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</si>
  <si>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</si>
  <si>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</si>
  <si>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</si>
  <si>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</si>
  <si>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</si>
  <si>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</si>
  <si>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</si>
  <si>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</si>
  <si>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</si>
  <si>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</si>
  <si>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</si>
  <si>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</si>
  <si>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</si>
  <si>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</si>
  <si>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</si>
  <si>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</si>
  <si>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</si>
  <si>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</si>
  <si>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</si>
  <si>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</si>
  <si>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</si>
  <si>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</si>
  <si>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</si>
  <si>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</si>
  <si>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</si>
  <si>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</si>
  <si>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</si>
  <si>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</si>
  <si>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</si>
  <si>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</si>
  <si>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</si>
  <si>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</si>
  <si>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</si>
  <si>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</si>
  <si>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</si>
  <si>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</si>
  <si>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</si>
  <si>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</si>
  <si>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</si>
  <si>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</si>
  <si>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</si>
  <si>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</si>
  <si>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</si>
  <si>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</si>
  <si>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</si>
  <si>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</si>
  <si>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</si>
  <si>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</si>
  <si>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</si>
  <si>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</si>
  <si>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</si>
  <si>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</si>
  <si>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</si>
  <si>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</si>
  <si>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</si>
  <si>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</si>
  <si>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</si>
  <si>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</si>
  <si>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</si>
  <si>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</si>
  <si>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</si>
  <si>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</si>
  <si>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</si>
  <si>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</si>
  <si>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</si>
  <si>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</si>
  <si>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</si>
  <si>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</si>
  <si>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</si>
  <si>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</si>
  <si>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</si>
  <si>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</si>
  <si>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</si>
  <si>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</si>
  <si>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</si>
  <si>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</si>
  <si>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</si>
  <si>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</si>
  <si>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</si>
  <si>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</si>
  <si>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</si>
  <si>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</si>
  <si>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</si>
  <si>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</si>
  <si>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</si>
  <si>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</si>
  <si>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</si>
  <si>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</si>
  <si>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</si>
  <si>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</si>
  <si>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</si>
  <si>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</si>
  <si>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</si>
  <si>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</si>
  <si>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</si>
  <si>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</si>
  <si>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</si>
  <si>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</si>
  <si>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</si>
  <si>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</si>
  <si>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</si>
  <si>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</si>
  <si>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</si>
  <si>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</si>
  <si>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</si>
  <si>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</si>
  <si>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</si>
  <si>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</si>
  <si>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</si>
  <si>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</si>
  <si>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</si>
  <si>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</si>
  <si>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</si>
  <si>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</si>
  <si>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</si>
  <si>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</si>
  <si>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</si>
  <si>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</si>
  <si>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</si>
  <si>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</si>
  <si>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</si>
  <si>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</si>
  <si>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</si>
  <si>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</si>
  <si>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</si>
  <si>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</si>
  <si>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</si>
  <si>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</si>
  <si>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</si>
  <si>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</si>
  <si>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</si>
  <si>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</si>
  <si>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</si>
  <si>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</si>
  <si>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</si>
  <si>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</si>
  <si>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</si>
  <si>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</si>
  <si>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</si>
  <si>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</si>
  <si>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</si>
  <si>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</si>
  <si>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</si>
  <si>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</si>
  <si>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</si>
  <si>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</si>
  <si>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</si>
  <si>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</si>
  <si>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</si>
  <si>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</si>
  <si>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</si>
  <si>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</si>
  <si>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</si>
  <si>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</si>
  <si>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</si>
  <si>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</si>
  <si>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</si>
  <si>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</si>
  <si>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</si>
  <si>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</si>
  <si>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</si>
  <si>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</si>
  <si>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</si>
  <si>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</si>
  <si>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</si>
  <si>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</si>
  <si>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</si>
  <si>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</si>
  <si>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</si>
  <si>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</si>
  <si>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</si>
  <si>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</si>
  <si>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</si>
  <si>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</si>
  <si>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</si>
  <si>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</si>
  <si>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</si>
  <si>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</si>
  <si>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</si>
  <si>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</si>
  <si>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</si>
  <si>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</si>
  <si>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</si>
  <si>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</si>
  <si>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</si>
  <si>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</si>
  <si>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</si>
  <si>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</si>
  <si>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</si>
  <si>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</si>
  <si>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</si>
  <si>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</si>
  <si>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</si>
  <si>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</si>
  <si>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</si>
  <si>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</si>
  <si>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</si>
  <si>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</si>
  <si>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</si>
  <si>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</si>
  <si>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</si>
  <si>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</si>
  <si>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</si>
  <si>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</si>
  <si>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</si>
  <si>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</si>
  <si>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</si>
  <si>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</si>
  <si>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</si>
  <si>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</si>
  <si>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</si>
  <si>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</si>
  <si>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</si>
  <si>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</si>
  <si>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</si>
  <si>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</si>
  <si>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</si>
  <si>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</si>
  <si>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</si>
  <si>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</si>
  <si>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</si>
  <si>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</si>
  <si>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</si>
  <si>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</si>
  <si>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</si>
  <si>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</si>
  <si>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</si>
  <si>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</si>
  <si>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</si>
  <si>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</si>
  <si>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</si>
  <si>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</si>
  <si>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</si>
  <si>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</si>
  <si>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</si>
  <si>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</si>
  <si>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</si>
  <si>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</si>
  <si>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</si>
  <si>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</si>
  <si>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</si>
  <si>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</si>
  <si>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</si>
  <si>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</si>
  <si>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</si>
  <si>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</si>
  <si>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</si>
  <si>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</si>
  <si>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</si>
  <si>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</si>
  <si>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</si>
  <si>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</si>
  <si>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</si>
  <si>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</si>
  <si>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</si>
  <si>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</si>
  <si>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</si>
  <si>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</si>
  <si>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</si>
  <si>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</si>
  <si>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</si>
  <si>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</si>
  <si>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</si>
  <si>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</si>
  <si>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</si>
  <si>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</si>
  <si>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</si>
  <si>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</si>
  <si>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</si>
  <si>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</si>
  <si>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</si>
  <si>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</si>
  <si>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</si>
  <si>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</si>
  <si>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</si>
  <si>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</si>
  <si>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</si>
  <si>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</si>
  <si>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</si>
  <si>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</si>
  <si>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</si>
  <si>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</si>
  <si>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</si>
  <si>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</si>
  <si>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</si>
  <si>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</si>
  <si>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</si>
  <si>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</si>
  <si>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</si>
  <si>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</si>
  <si>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</si>
  <si>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</si>
  <si>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</si>
  <si>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</si>
  <si>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</si>
  <si>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</si>
  <si>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</si>
  <si>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</si>
  <si>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</si>
  <si>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</si>
  <si>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</si>
  <si>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</si>
  <si>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</si>
  <si>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</si>
  <si>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</si>
  <si>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</si>
  <si>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</si>
  <si>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</si>
  <si>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</si>
  <si>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</si>
  <si>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</si>
  <si>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</si>
  <si>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</si>
  <si>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</si>
  <si>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</si>
  <si>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</si>
  <si>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</si>
  <si>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</si>
  <si>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</si>
  <si>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</si>
  <si>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</si>
  <si>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</si>
  <si>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</si>
  <si>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</si>
  <si>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</si>
  <si>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</si>
  <si>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</si>
  <si>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</si>
  <si>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</si>
  <si>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</si>
  <si>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</si>
  <si>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</si>
  <si>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</si>
  <si>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</si>
  <si>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</si>
  <si>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</si>
  <si>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</si>
  <si>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</si>
  <si>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</si>
  <si>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</si>
  <si>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</si>
  <si>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</si>
  <si>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</si>
  <si>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</si>
  <si>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</si>
  <si>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</si>
  <si>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</si>
  <si>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</si>
  <si>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</si>
  <si>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</si>
  <si>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</si>
  <si>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</si>
  <si>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</si>
  <si>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</si>
  <si>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</si>
  <si>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</si>
  <si>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</si>
  <si>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</si>
  <si>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</si>
  <si>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</si>
  <si>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</si>
  <si>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</si>
  <si>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</si>
  <si>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</si>
  <si>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</si>
  <si>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</si>
  <si>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</si>
  <si>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</si>
  <si>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</si>
  <si>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</si>
  <si>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</si>
  <si>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</si>
  <si>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</si>
  <si>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</si>
  <si>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</si>
  <si>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</si>
  <si>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</si>
  <si>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</si>
  <si>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</si>
  <si>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</si>
  <si>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</si>
  <si>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</si>
  <si>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</si>
  <si>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</si>
  <si>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</si>
  <si>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</si>
  <si>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</si>
  <si>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</si>
  <si>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</si>
  <si>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</si>
  <si>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</si>
  <si>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</si>
  <si>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</si>
  <si>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</si>
  <si>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</si>
  <si>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</si>
  <si>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</si>
  <si>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</si>
  <si>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</si>
  <si>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</si>
  <si>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</si>
  <si>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</si>
  <si>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</si>
  <si>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</si>
  <si>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</si>
  <si>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</si>
  <si>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</si>
  <si>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</si>
  <si>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</si>
  <si>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</si>
  <si>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</si>
  <si>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</si>
  <si>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</si>
  <si>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</si>
  <si>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</si>
  <si>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</si>
  <si>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</si>
  <si>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</si>
  <si>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</si>
  <si>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</si>
  <si>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</si>
  <si>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</si>
  <si>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</si>
  <si>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</si>
  <si>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</si>
  <si>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</si>
  <si>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</si>
  <si>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</si>
  <si>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</si>
  <si>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</si>
  <si>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</si>
  <si>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</si>
  <si>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</si>
  <si>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</si>
  <si>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</si>
  <si>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</si>
  <si>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</si>
  <si>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</si>
  <si>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</si>
  <si>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</si>
  <si>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</si>
  <si>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</si>
  <si>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</si>
  <si>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</si>
  <si>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</si>
  <si>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</si>
  <si>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</si>
  <si>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</si>
  <si>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</si>
  <si>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</si>
  <si>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</si>
  <si>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</si>
  <si>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</si>
  <si>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</si>
  <si>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</si>
  <si>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</si>
  <si>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</si>
  <si>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</si>
  <si>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</si>
  <si>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</si>
  <si>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</si>
  <si>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</si>
  <si>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</si>
  <si>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</si>
  <si>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</si>
  <si>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</si>
  <si>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</si>
  <si>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</si>
  <si>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</si>
  <si>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</si>
  <si>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</si>
  <si>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</si>
  <si>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</si>
  <si>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</si>
  <si>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</si>
  <si>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</si>
  <si>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</si>
  <si>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</si>
  <si>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</si>
  <si>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</si>
  <si>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</si>
  <si>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</si>
  <si>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</si>
  <si>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</si>
  <si>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</si>
  <si>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</si>
  <si>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</si>
  <si>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</si>
  <si>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</si>
  <si>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</si>
  <si>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</si>
  <si>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</si>
  <si>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</si>
  <si>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</si>
  <si>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</si>
  <si>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</si>
  <si>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</si>
  <si>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</si>
  <si>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</si>
  <si>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</si>
  <si>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</si>
  <si>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</si>
  <si>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</si>
  <si>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</si>
  <si>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</si>
  <si>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</si>
  <si>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</si>
  <si>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</si>
  <si>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</si>
  <si>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</si>
  <si>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</si>
  <si>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</si>
  <si>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</si>
  <si>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</si>
  <si>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</si>
  <si>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</si>
  <si>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</si>
  <si>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</si>
  <si>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</si>
  <si>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</si>
  <si>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</si>
  <si>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</si>
  <si>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</si>
  <si>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</si>
  <si>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</si>
  <si>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</si>
  <si>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</si>
  <si>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</si>
  <si>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</si>
  <si>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</si>
  <si>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</si>
  <si>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</si>
  <si>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</si>
  <si>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</si>
  <si>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</si>
  <si>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</si>
  <si>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</si>
  <si>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</si>
  <si>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</si>
  <si>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</si>
  <si>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</si>
  <si>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</si>
  <si>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</si>
  <si>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</si>
  <si>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</si>
  <si>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</si>
  <si>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</si>
  <si>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</si>
  <si>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</si>
  <si>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</si>
  <si>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</si>
  <si>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</si>
  <si>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</si>
  <si>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</si>
  <si>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</si>
  <si>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</si>
  <si>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</si>
  <si>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</si>
  <si>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</si>
  <si>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</si>
  <si>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</si>
  <si>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</si>
  <si>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</si>
  <si>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</si>
  <si>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</si>
  <si>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</si>
  <si>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</si>
  <si>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</si>
  <si>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</si>
  <si>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</si>
  <si>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</si>
  <si>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</si>
  <si>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</si>
  <si>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</si>
  <si>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</si>
  <si>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</si>
  <si>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</si>
  <si>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</si>
  <si>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</si>
  <si>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</si>
  <si>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</si>
  <si>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</si>
  <si>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</si>
  <si>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</si>
  <si>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</si>
  <si>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</si>
  <si>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</si>
  <si>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</si>
  <si>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</si>
  <si>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</si>
  <si>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</si>
  <si>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</si>
  <si>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</si>
  <si>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</si>
  <si>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</si>
  <si>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</si>
  <si>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</si>
  <si>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</si>
  <si>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</si>
  <si>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</si>
  <si>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</si>
  <si>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</si>
  <si>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</si>
  <si>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</si>
  <si>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</si>
  <si>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</si>
  <si>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</si>
  <si>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</si>
  <si>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</si>
  <si>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</si>
  <si>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</si>
  <si>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</si>
  <si>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</si>
  <si>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</si>
  <si>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</si>
  <si>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</si>
  <si>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</si>
  <si>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</si>
  <si>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</si>
  <si>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</si>
  <si>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</si>
  <si>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</si>
  <si>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</si>
  <si>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</si>
  <si>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</si>
  <si>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</si>
  <si>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</si>
  <si>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</si>
  <si>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</si>
  <si>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</si>
  <si>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</si>
  <si>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</si>
  <si>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</si>
  <si>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</si>
  <si>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</si>
  <si>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</si>
  <si>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</si>
  <si>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</si>
  <si>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</si>
  <si>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</si>
  <si>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</si>
  <si>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</si>
  <si>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</si>
  <si>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</si>
  <si>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</si>
  <si>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</si>
  <si>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</si>
  <si>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</si>
  <si>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</si>
  <si>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</si>
  <si>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</si>
  <si>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</si>
  <si>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</si>
  <si>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</si>
  <si>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</si>
  <si>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</si>
  <si>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</si>
  <si>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</si>
  <si>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</si>
  <si>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</si>
  <si>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</si>
  <si>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</si>
  <si>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</si>
  <si>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</si>
  <si>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</si>
  <si>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</si>
  <si>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</si>
  <si>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</si>
  <si>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</si>
  <si>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</si>
  <si>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</si>
  <si>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</si>
  <si>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</si>
  <si>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</si>
  <si>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</si>
  <si>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</si>
  <si>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</si>
  <si>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</si>
  <si>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</si>
  <si>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</si>
  <si>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</si>
  <si>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</si>
  <si>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</si>
  <si>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</si>
  <si>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</si>
  <si>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</si>
  <si>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</si>
  <si>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</si>
  <si>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</si>
  <si>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</si>
  <si>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</si>
  <si>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</si>
  <si>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</si>
  <si>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</si>
  <si>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</si>
  <si>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</si>
  <si>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</si>
  <si>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</si>
  <si>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</si>
  <si>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</si>
  <si>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</si>
  <si>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</si>
  <si>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</si>
  <si>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</si>
  <si>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</si>
  <si>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</si>
  <si>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</si>
  <si>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</si>
  <si>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</si>
  <si>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</si>
  <si>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</si>
  <si>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</si>
  <si>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</si>
  <si>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</si>
  <si>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</si>
  <si>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</si>
  <si>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</si>
  <si>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</si>
  <si>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</si>
  <si>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</si>
  <si>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</si>
  <si>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</si>
  <si>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</si>
  <si>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</si>
  <si>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</si>
  <si>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</si>
  <si>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</si>
  <si>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</si>
  <si>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</si>
  <si>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</si>
  <si>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</si>
  <si>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</si>
  <si>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</si>
  <si>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</si>
  <si>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</si>
  <si>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</si>
  <si>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</si>
  <si>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</si>
  <si>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</si>
  <si>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</si>
  <si>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</si>
  <si>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</si>
  <si>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</si>
  <si>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</si>
  <si>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</si>
  <si>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</si>
  <si>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</si>
  <si>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</si>
  <si>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</si>
  <si>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</si>
  <si>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</si>
  <si>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</si>
  <si>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</si>
  <si>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</si>
  <si>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</si>
  <si>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</si>
  <si>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</si>
  <si>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</si>
  <si>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</si>
  <si>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</si>
  <si>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</si>
  <si>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</si>
  <si>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</si>
  <si>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</si>
  <si>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</si>
  <si>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</si>
  <si>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</si>
  <si>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</si>
  <si>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</si>
  <si>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</si>
  <si>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</si>
  <si>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</si>
  <si>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</si>
  <si>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</si>
  <si>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</si>
  <si>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</si>
  <si>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</si>
  <si>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</si>
  <si>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</si>
  <si>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</si>
  <si>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</si>
  <si>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</si>
  <si>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</si>
  <si>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</si>
  <si>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</si>
  <si>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</si>
  <si>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</si>
  <si>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</si>
  <si>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</si>
  <si>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</si>
  <si>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</si>
  <si>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</si>
  <si>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</si>
  <si>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</si>
  <si>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</si>
  <si>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</si>
  <si>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</si>
  <si>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</si>
  <si>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</si>
  <si>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</si>
  <si>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</si>
  <si>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</si>
  <si>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</si>
  <si>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</si>
  <si>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</si>
  <si>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</si>
  <si>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</si>
  <si>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</si>
  <si>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</si>
  <si>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</si>
  <si>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</si>
  <si>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</si>
  <si>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</si>
  <si>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</si>
  <si>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</si>
  <si>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</si>
  <si>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</si>
  <si>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</si>
  <si>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</si>
  <si>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</si>
  <si>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</si>
  <si>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</si>
  <si>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</si>
  <si>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</si>
  <si>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</si>
  <si>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</si>
  <si>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</si>
  <si>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</si>
  <si>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</si>
  <si>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</si>
  <si>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</si>
  <si>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</si>
  <si>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</si>
  <si>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</si>
  <si>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</si>
  <si>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</si>
  <si>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</si>
  <si>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</si>
  <si>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</si>
  <si>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</si>
  <si>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</si>
  <si>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</si>
  <si>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</si>
  <si>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</si>
  <si>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</si>
  <si>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</si>
  <si>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</si>
  <si>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</si>
  <si>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</si>
  <si>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</si>
  <si>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</si>
  <si>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</si>
  <si>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</si>
  <si>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</si>
  <si>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</si>
  <si>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</si>
  <si>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</si>
  <si>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</si>
  <si>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</si>
  <si>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</si>
  <si>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</si>
  <si>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</si>
  <si>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</si>
  <si>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</si>
  <si>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</si>
  <si>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</si>
  <si>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</si>
  <si>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</si>
  <si>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</si>
  <si>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</si>
  <si>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</si>
  <si>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</si>
  <si>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</si>
  <si>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</si>
  <si>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</si>
  <si>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</si>
  <si>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</si>
  <si>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</si>
  <si>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</si>
  <si>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</si>
  <si>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</si>
  <si>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</si>
  <si>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</si>
  <si>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</si>
  <si>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</si>
  <si>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</si>
  <si>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</si>
  <si>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</si>
  <si>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</si>
  <si>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</si>
  <si>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</si>
  <si>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</si>
  <si>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</si>
  <si>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</si>
  <si>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</si>
  <si>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</si>
  <si>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</si>
  <si>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</si>
  <si>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</si>
  <si>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</si>
  <si>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</si>
  <si>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</si>
  <si>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</si>
  <si>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</si>
  <si>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</si>
  <si>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</si>
  <si>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</si>
  <si>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</si>
  <si>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</si>
  <si>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</si>
  <si>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</si>
  <si>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</si>
  <si>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</si>
  <si>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</si>
  <si>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</si>
  <si>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</si>
  <si>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</si>
  <si>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</si>
  <si>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</si>
  <si>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</si>
  <si>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</si>
  <si>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</si>
  <si>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</si>
  <si>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</si>
  <si>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</si>
  <si>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</si>
  <si>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</si>
  <si>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</si>
  <si>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</si>
  <si>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</si>
  <si>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</si>
  <si>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</si>
  <si>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</si>
  <si>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</si>
  <si>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</si>
  <si>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</si>
  <si>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</si>
  <si>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</si>
  <si>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</si>
  <si>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</si>
  <si>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</si>
  <si>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</si>
  <si>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</si>
  <si>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</si>
  <si>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</si>
  <si>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</si>
  <si>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</si>
  <si>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</si>
  <si>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</si>
  <si>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</si>
  <si>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</si>
  <si>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</si>
  <si>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</si>
  <si>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</si>
  <si>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</si>
  <si>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</si>
  <si>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</si>
  <si>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</si>
  <si>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</si>
  <si>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</si>
  <si>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</si>
  <si>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</si>
  <si>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</si>
  <si>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</si>
  <si>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</si>
  <si>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</si>
  <si>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</si>
  <si>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</si>
  <si>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</si>
  <si>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</si>
  <si>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</si>
  <si>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</si>
  <si>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</si>
  <si>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</si>
  <si>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</si>
  <si>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</si>
  <si>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</si>
  <si>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</si>
  <si>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</si>
  <si>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</si>
  <si>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</si>
  <si>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</si>
  <si>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</si>
  <si>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</si>
  <si>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</si>
  <si>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</si>
  <si>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</si>
  <si>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</si>
  <si>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</si>
  <si>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</si>
  <si>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</si>
  <si>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</si>
  <si>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</si>
  <si>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</si>
  <si>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</si>
  <si>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</si>
  <si>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</si>
  <si>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</si>
  <si>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</si>
  <si>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</si>
  <si>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</si>
  <si>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</si>
  <si>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</si>
  <si>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</si>
  <si>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</si>
  <si>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</si>
  <si>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</si>
  <si>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</si>
  <si>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</si>
  <si>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</si>
  <si>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</si>
  <si>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</si>
  <si>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</si>
  <si>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</si>
  <si>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</si>
  <si>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</si>
  <si>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</si>
  <si>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</si>
  <si>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</si>
  <si>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</si>
  <si>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</si>
  <si>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</si>
  <si>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</si>
  <si>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</si>
  <si>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</si>
  <si>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</si>
  <si>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</si>
  <si>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</si>
  <si>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</si>
  <si>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</si>
  <si>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</si>
  <si>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</si>
  <si>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</si>
  <si>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</si>
  <si>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</si>
  <si>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</si>
  <si>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</si>
  <si>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</si>
  <si>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</si>
  <si>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</si>
  <si>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</si>
  <si>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</si>
  <si>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</si>
  <si>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</si>
  <si>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</si>
  <si>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</si>
  <si>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</si>
  <si>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</si>
  <si>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</si>
  <si>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</si>
  <si>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</si>
  <si>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</si>
  <si>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</si>
  <si>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</si>
  <si>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</si>
  <si>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</si>
  <si>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</si>
  <si>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</si>
  <si>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</si>
  <si>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</si>
  <si>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</si>
  <si>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</si>
  <si>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</si>
  <si>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</si>
  <si>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</si>
  <si>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</si>
  <si>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</si>
  <si>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</si>
  <si>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</si>
  <si>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</si>
  <si>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</si>
  <si>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</si>
  <si>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</si>
  <si>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</si>
  <si>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</si>
  <si>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</si>
  <si>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</si>
  <si>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</si>
  <si>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</si>
  <si>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</si>
  <si>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</si>
  <si>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</si>
  <si>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</si>
  <si>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</si>
  <si>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</si>
  <si>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</si>
  <si>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</si>
  <si>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</si>
  <si>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</si>
  <si>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</si>
  <si>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</si>
  <si>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</si>
  <si>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</si>
  <si>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</si>
  <si>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</si>
  <si>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</si>
  <si>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</si>
  <si>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</si>
  <si>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</si>
  <si>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</si>
  <si>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</si>
  <si>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</si>
  <si>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</si>
  <si>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</si>
  <si>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</si>
  <si>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</si>
  <si>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</si>
  <si>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</si>
  <si>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</si>
  <si>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</si>
  <si>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</si>
  <si>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</si>
  <si>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</si>
  <si>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</si>
  <si>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</si>
  <si>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</si>
  <si>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</si>
  <si>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</si>
  <si>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</si>
  <si>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</si>
  <si>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</si>
  <si>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</si>
  <si>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</si>
  <si>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</si>
  <si>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</si>
  <si>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</si>
  <si>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</si>
  <si>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</si>
  <si>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</si>
  <si>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</si>
  <si>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</si>
  <si>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</si>
  <si>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</si>
  <si>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</si>
  <si>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</si>
  <si>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</si>
  <si>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</si>
  <si>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</si>
  <si>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</si>
  <si>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</si>
  <si>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</si>
  <si>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</si>
  <si>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</si>
  <si>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</si>
  <si>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</si>
  <si>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</si>
  <si>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</si>
  <si>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</si>
  <si>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</si>
  <si>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</si>
  <si>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</si>
  <si>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</si>
  <si>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</si>
  <si>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</si>
  <si>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</si>
  <si>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</si>
  <si>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</si>
  <si>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</si>
  <si>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</si>
  <si>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</si>
  <si>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</si>
  <si>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</si>
  <si>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</si>
  <si>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</si>
  <si>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</si>
  <si>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</si>
  <si>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</si>
  <si>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</si>
  <si>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</si>
  <si>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</si>
  <si>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</si>
  <si>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</si>
  <si>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</si>
  <si>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</si>
  <si>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</si>
  <si>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</si>
  <si>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</si>
  <si>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</si>
  <si>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</si>
  <si>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</si>
  <si>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</si>
  <si>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</si>
  <si>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</si>
  <si>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</si>
  <si>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</si>
  <si>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</si>
  <si>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</si>
  <si>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</si>
  <si>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</si>
  <si>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</si>
  <si>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</si>
  <si>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</si>
  <si>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</si>
  <si>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</si>
  <si>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</si>
  <si>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</si>
  <si>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</si>
  <si>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</si>
  <si>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</si>
  <si>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</si>
  <si>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</si>
  <si>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</si>
  <si>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</si>
  <si>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</si>
  <si>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</si>
  <si>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</si>
  <si>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</si>
  <si>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</si>
  <si>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</si>
  <si>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</si>
  <si>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</si>
  <si>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</si>
  <si>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</si>
  <si>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</si>
  <si>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</si>
  <si>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</si>
  <si>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</si>
  <si>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</si>
  <si>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</si>
  <si>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</si>
  <si>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</si>
  <si>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</si>
  <si>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</si>
  <si>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</si>
  <si>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</si>
  <si>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</si>
  <si>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</si>
  <si>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</si>
  <si>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</si>
  <si>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</si>
  <si>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</si>
  <si>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</si>
  <si>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</si>
  <si>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</si>
  <si>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</si>
  <si>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</si>
  <si>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</si>
  <si>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</si>
  <si>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</si>
  <si>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</si>
  <si>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</si>
  <si>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</si>
  <si>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</si>
  <si>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</si>
  <si>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</si>
  <si>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</si>
  <si>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</si>
  <si>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</si>
  <si>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</si>
  <si>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</si>
  <si>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</si>
  <si>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</si>
  <si>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</si>
  <si>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</si>
  <si>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</si>
  <si>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</si>
  <si>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</si>
  <si>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</si>
  <si>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</si>
  <si>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</si>
  <si>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</si>
  <si>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</si>
  <si>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</si>
  <si>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</si>
  <si>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</si>
  <si>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</si>
  <si>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</si>
  <si>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</si>
  <si>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</si>
  <si>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</si>
  <si>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</si>
  <si>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</si>
  <si>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</si>
  <si>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</si>
  <si>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</si>
  <si>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</si>
  <si>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</si>
  <si>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</si>
  <si>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</si>
  <si>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</si>
  <si>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</si>
  <si>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</si>
  <si>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</si>
  <si>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</si>
  <si>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</si>
  <si>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</si>
  <si>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</si>
  <si>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</si>
  <si>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</si>
  <si>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</si>
  <si>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</si>
  <si>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</si>
  <si>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</si>
  <si>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</si>
  <si>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</si>
  <si>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</si>
  <si>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</si>
  <si>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</si>
  <si>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</si>
  <si>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</si>
  <si>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</si>
  <si>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</si>
  <si>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</si>
  <si>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</si>
  <si>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</si>
  <si>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</si>
  <si>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</si>
  <si>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</si>
  <si>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</si>
  <si>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</si>
  <si>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</si>
  <si>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</si>
  <si>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</si>
  <si>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</si>
  <si>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</si>
  <si>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</si>
  <si>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</si>
  <si>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</si>
  <si>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</si>
  <si>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</si>
  <si>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</si>
  <si>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</si>
  <si>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</si>
  <si>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</si>
  <si>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</si>
  <si>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</si>
  <si>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</si>
  <si>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</si>
  <si>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</si>
  <si>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</si>
  <si>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</si>
  <si>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</si>
  <si>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</si>
  <si>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</si>
  <si>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</si>
  <si>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</si>
  <si>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</si>
  <si>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</si>
  <si>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</si>
  <si>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</si>
  <si>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</si>
  <si>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</si>
  <si>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</si>
  <si>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</si>
  <si>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</si>
  <si>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</si>
  <si>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</si>
  <si>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</si>
  <si>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</si>
  <si>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</si>
  <si>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</si>
  <si>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</si>
  <si>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</si>
  <si>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</si>
  <si>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</si>
  <si>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</si>
  <si>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</si>
  <si>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</si>
  <si>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</si>
  <si>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</si>
  <si>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</si>
  <si>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</si>
  <si>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</si>
  <si>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</si>
  <si>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</si>
  <si>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</si>
  <si>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</si>
  <si>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</si>
  <si>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</si>
  <si>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</si>
  <si>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</si>
  <si>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</si>
  <si>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</si>
  <si>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</si>
  <si>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</si>
  <si>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</si>
  <si>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</si>
  <si>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</si>
  <si>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</si>
  <si>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</si>
  <si>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</si>
  <si>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</si>
  <si>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</si>
  <si>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</si>
  <si>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</si>
  <si>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</si>
  <si>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</si>
  <si>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</si>
  <si>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</si>
  <si>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</si>
  <si>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</si>
  <si>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</si>
  <si>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</si>
  <si>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</si>
  <si>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</si>
  <si>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</si>
  <si>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</si>
  <si>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</si>
  <si>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</si>
  <si>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</si>
  <si>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</si>
  <si>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</si>
  <si>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</si>
  <si>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</si>
  <si>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</si>
  <si>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</si>
  <si>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</si>
  <si>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</si>
  <si>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</si>
  <si>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</si>
  <si>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</si>
  <si>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</si>
  <si>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</si>
  <si>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</si>
  <si>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</si>
  <si>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</si>
  <si>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</si>
  <si>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</si>
  <si>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</si>
  <si>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</si>
  <si>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</si>
  <si>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</si>
  <si>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</si>
  <si>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</si>
  <si>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</si>
  <si>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</si>
  <si>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</si>
  <si>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</si>
  <si>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</si>
  <si>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</si>
  <si>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</si>
  <si>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</si>
  <si>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</si>
  <si>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</si>
  <si>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</si>
  <si>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</si>
  <si>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</si>
  <si>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</si>
  <si>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</si>
  <si>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</si>
  <si>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</si>
  <si>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</si>
  <si>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</si>
  <si>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</si>
  <si>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</si>
  <si>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</si>
  <si>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</si>
  <si>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</si>
  <si>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</si>
  <si>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</si>
  <si>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</si>
  <si>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</si>
  <si>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</si>
  <si>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</si>
  <si>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</si>
  <si>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</si>
  <si>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</si>
  <si>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</si>
  <si>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</si>
  <si>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</si>
  <si>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</si>
  <si>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</si>
  <si>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</si>
  <si>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</si>
  <si>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</si>
  <si>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</si>
  <si>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</si>
  <si>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</si>
  <si>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</si>
  <si>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</si>
  <si>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</si>
  <si>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</si>
  <si>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</si>
  <si>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</si>
  <si>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</si>
  <si>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</si>
  <si>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</si>
  <si>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</si>
  <si>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</si>
  <si>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</si>
  <si>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</si>
  <si>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</si>
  <si>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</si>
  <si>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</si>
  <si>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</si>
  <si>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</si>
  <si>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</si>
  <si>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</si>
  <si>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</si>
  <si>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</si>
  <si>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</si>
  <si>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</si>
  <si>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</si>
  <si>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</si>
  <si>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</si>
  <si>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</si>
  <si>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</si>
  <si>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</si>
  <si>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</si>
  <si>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</si>
  <si>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</si>
  <si>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</si>
  <si>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</si>
  <si>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</si>
  <si>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</si>
  <si>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</si>
  <si>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</si>
  <si>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</si>
  <si>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</si>
  <si>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</si>
  <si>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</si>
  <si>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</si>
  <si>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</si>
  <si>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</si>
  <si>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</si>
  <si>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</si>
  <si>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</si>
  <si>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</si>
  <si>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</si>
  <si>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</si>
  <si>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</si>
  <si>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</si>
  <si>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</si>
  <si>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</si>
  <si>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</si>
  <si>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</si>
  <si>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</si>
  <si>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</si>
  <si>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</si>
  <si>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</si>
  <si>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</si>
  <si>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</si>
  <si>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</si>
  <si>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</si>
  <si>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</si>
  <si>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</si>
  <si>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</si>
  <si>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</si>
  <si>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</si>
  <si>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</si>
  <si>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</si>
  <si>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</si>
  <si>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</si>
  <si>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</si>
  <si>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</si>
  <si>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</si>
  <si>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</si>
  <si>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</si>
  <si>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</si>
  <si>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</si>
  <si>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</si>
  <si>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</si>
  <si>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</si>
  <si>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</si>
  <si>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</si>
  <si>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</si>
  <si>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</si>
  <si>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</si>
  <si>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</si>
  <si>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</si>
  <si>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</si>
  <si>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</si>
  <si>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</si>
  <si>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</si>
  <si>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</si>
  <si>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</si>
  <si>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</si>
  <si>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</si>
  <si>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</si>
  <si>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</si>
  <si>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</si>
  <si>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</si>
  <si>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</si>
  <si>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</si>
  <si>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</si>
  <si>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</si>
  <si>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</si>
  <si>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</si>
  <si>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</si>
  <si>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</si>
  <si>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</si>
  <si>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</si>
  <si>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</si>
  <si>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</si>
  <si>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</si>
  <si>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</si>
  <si>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</si>
  <si>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</si>
  <si>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</si>
  <si>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</si>
  <si>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</si>
  <si>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</si>
  <si>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</si>
  <si>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</si>
  <si>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</si>
  <si>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</si>
  <si>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</si>
  <si>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</si>
  <si>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</si>
  <si>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</si>
  <si>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</si>
  <si>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</si>
  <si>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</si>
  <si>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</si>
  <si>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</si>
  <si>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</si>
  <si>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</si>
  <si>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</si>
  <si>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</si>
  <si>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</si>
  <si>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</si>
  <si>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</si>
  <si>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</si>
  <si>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</si>
  <si>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</si>
  <si>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</si>
  <si>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</si>
  <si>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</si>
  <si>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</si>
  <si>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</si>
  <si>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</si>
  <si>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</si>
  <si>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</si>
  <si>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</si>
  <si>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</si>
  <si>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</si>
  <si>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</si>
  <si>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</si>
  <si>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</si>
  <si>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</si>
  <si>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</si>
  <si>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</si>
  <si>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</si>
  <si>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</si>
  <si>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</si>
  <si>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</si>
  <si>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</si>
  <si>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</si>
  <si>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</si>
  <si>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</si>
  <si>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</si>
  <si>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</si>
  <si>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</si>
  <si>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</si>
  <si>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</si>
  <si>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</si>
  <si>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</si>
  <si>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</si>
  <si>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</si>
  <si>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</si>
  <si>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</si>
  <si>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</si>
  <si>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</si>
  <si>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</si>
  <si>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</si>
  <si>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</si>
  <si>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</si>
  <si>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</si>
  <si>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</si>
  <si>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</si>
  <si>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</si>
  <si>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</si>
  <si>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</si>
  <si>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</si>
  <si>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</si>
  <si>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</si>
  <si>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</si>
  <si>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</si>
  <si>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</si>
  <si>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</si>
  <si>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</si>
  <si>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</si>
  <si>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</si>
  <si>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</si>
  <si>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</si>
  <si>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</si>
  <si>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</si>
  <si>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</si>
  <si>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</si>
  <si>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</si>
  <si>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</si>
  <si>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</si>
  <si>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</si>
  <si>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</si>
  <si>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</si>
  <si>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</si>
  <si>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</si>
  <si>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</si>
  <si>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</si>
  <si>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</si>
  <si>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</si>
  <si>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</si>
  <si>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</si>
  <si>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</si>
  <si>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</si>
  <si>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</si>
  <si>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</si>
  <si>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</si>
  <si>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</si>
  <si>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</si>
  <si>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</si>
  <si>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</si>
  <si>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</si>
  <si>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</si>
  <si>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</si>
  <si>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</si>
  <si>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</si>
  <si>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</si>
  <si>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</si>
  <si>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</si>
  <si>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</si>
  <si>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</si>
  <si>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</si>
  <si>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</si>
  <si>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</si>
  <si>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</si>
  <si>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</si>
  <si>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</si>
  <si>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</si>
  <si>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</si>
  <si>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</si>
  <si>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</si>
  <si>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</si>
  <si>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</si>
  <si>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</si>
  <si>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</si>
  <si>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</si>
  <si>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</si>
  <si>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</si>
  <si>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</si>
  <si>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</si>
  <si>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</si>
  <si>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</si>
  <si>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</si>
  <si>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</si>
  <si>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</si>
  <si>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</si>
  <si>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</si>
  <si>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</si>
  <si>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</si>
  <si>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</si>
  <si>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</si>
  <si>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</si>
  <si>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</si>
  <si>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</si>
  <si>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</si>
  <si>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</si>
  <si>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</si>
  <si>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</si>
  <si>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</si>
  <si>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</si>
  <si>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</si>
  <si>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</si>
  <si>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</si>
  <si>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</si>
  <si>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</si>
  <si>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</si>
  <si>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</si>
  <si>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</si>
  <si>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</si>
  <si>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</si>
  <si>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</si>
  <si>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</si>
  <si>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</si>
  <si>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</si>
  <si>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</si>
  <si>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</si>
  <si>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</si>
  <si>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</si>
  <si>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</si>
  <si>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</si>
  <si>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</si>
  <si>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</si>
  <si>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</si>
  <si>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</si>
  <si>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</si>
  <si>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</si>
  <si>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</si>
  <si>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</si>
  <si>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</si>
  <si>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</si>
  <si>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</si>
  <si>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</si>
  <si>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</si>
  <si>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</si>
  <si>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</si>
  <si>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</si>
  <si>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</si>
  <si>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</si>
  <si>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</si>
  <si>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</si>
  <si>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</si>
  <si>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</si>
  <si>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</si>
  <si>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</si>
  <si>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</si>
  <si>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</si>
  <si>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</si>
  <si>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</si>
  <si>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</si>
  <si>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</si>
  <si>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</si>
  <si>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</si>
  <si>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</si>
  <si>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</si>
  <si>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</si>
  <si>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</si>
  <si>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</si>
  <si>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</si>
  <si>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</si>
  <si>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</si>
  <si>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</si>
  <si>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</si>
  <si>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</si>
  <si>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</si>
  <si>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</si>
  <si>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</si>
  <si>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</si>
  <si>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</si>
  <si>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</si>
  <si>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</si>
  <si>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</si>
  <si>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</si>
  <si>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</si>
  <si>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</si>
  <si>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</si>
  <si>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</si>
  <si>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</si>
  <si>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</si>
  <si>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</si>
  <si>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</si>
  <si>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</si>
  <si>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</si>
  <si>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</si>
  <si>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</si>
  <si>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</si>
  <si>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</si>
  <si>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</si>
  <si>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</si>
  <si>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</si>
  <si>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</si>
  <si>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</si>
  <si>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</si>
  <si>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</si>
  <si>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</si>
  <si>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</si>
  <si>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</si>
  <si>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</si>
  <si>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</si>
  <si>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</si>
  <si>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</si>
  <si>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</si>
  <si>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</si>
  <si>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</si>
  <si>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</si>
  <si>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</si>
  <si>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</si>
  <si>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</si>
  <si>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</si>
  <si>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</si>
  <si>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</si>
  <si>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</si>
  <si>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</si>
  <si>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</si>
  <si>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</si>
  <si>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</si>
  <si>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</si>
  <si>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</si>
  <si>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</si>
  <si>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</si>
  <si>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</si>
  <si>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</si>
  <si>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</si>
  <si>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</si>
  <si>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</si>
  <si>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</si>
  <si>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</si>
  <si>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</si>
  <si>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</si>
  <si>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</si>
  <si>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</si>
  <si>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</si>
  <si>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</si>
  <si>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</si>
  <si>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</si>
  <si>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</si>
  <si>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</si>
  <si>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</si>
  <si>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</si>
  <si>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</si>
  <si>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</si>
  <si>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</si>
  <si>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</si>
  <si>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</si>
  <si>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</si>
  <si>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</si>
  <si>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</si>
  <si>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</si>
  <si>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</si>
  <si>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</si>
  <si>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</si>
  <si>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</si>
  <si>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</si>
  <si>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</si>
  <si>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</si>
  <si>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</si>
  <si>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</si>
  <si>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</si>
  <si>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</si>
  <si>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</si>
  <si>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</si>
  <si>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</si>
  <si>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</si>
  <si>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</si>
  <si>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</si>
  <si>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</si>
  <si>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</si>
  <si>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</si>
  <si>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</si>
  <si>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</si>
  <si>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</si>
  <si>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</si>
  <si>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</si>
  <si>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</si>
  <si>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</si>
  <si>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</si>
  <si>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</si>
  <si>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</si>
  <si>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</si>
  <si>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</si>
  <si>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</si>
  <si>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</si>
  <si>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</si>
  <si>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</si>
  <si>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</si>
  <si>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</si>
  <si>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</si>
  <si>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</si>
  <si>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</si>
  <si>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</si>
  <si>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</si>
  <si>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</si>
  <si>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</si>
  <si>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</si>
  <si>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</si>
  <si>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</si>
  <si>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</si>
  <si>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</si>
  <si>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</si>
  <si>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</si>
  <si>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</si>
  <si>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</si>
  <si>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</si>
  <si>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</si>
  <si>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</si>
  <si>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</si>
  <si>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</si>
  <si>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</si>
  <si>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</si>
  <si>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</si>
  <si>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</si>
  <si>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</si>
  <si>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</si>
  <si>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</si>
  <si>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</si>
  <si>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</si>
  <si>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</si>
  <si>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</si>
  <si>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</si>
  <si>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</si>
  <si>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</si>
  <si>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</si>
  <si>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</si>
  <si>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</si>
  <si>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</si>
  <si>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</si>
  <si>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</si>
  <si>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</si>
  <si>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</si>
  <si>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</si>
  <si>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</si>
  <si>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</si>
  <si>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</si>
  <si>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</si>
  <si>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</si>
  <si>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</si>
  <si>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</si>
  <si>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</si>
  <si>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</si>
  <si>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</si>
  <si>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</si>
  <si>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</si>
  <si>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</si>
  <si>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</si>
  <si>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</si>
  <si>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</si>
  <si>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</si>
  <si>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</si>
  <si>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</si>
  <si>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</si>
  <si>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</si>
  <si>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</si>
  <si>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</si>
  <si>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</si>
  <si>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</si>
  <si>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</si>
  <si>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</si>
  <si>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</si>
  <si>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</si>
  <si>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</si>
  <si>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</si>
  <si>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</si>
  <si>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</si>
  <si>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</si>
  <si>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</si>
  <si>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</si>
  <si>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</si>
  <si>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</si>
  <si>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</si>
  <si>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</si>
  <si>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</si>
  <si>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</si>
  <si>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</si>
  <si>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</si>
  <si>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</si>
  <si>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</si>
  <si>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</si>
  <si>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</si>
  <si>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</si>
  <si>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</si>
  <si>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</si>
  <si>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</si>
  <si>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</si>
  <si>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</si>
  <si>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</si>
  <si>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</si>
  <si>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</si>
  <si>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</si>
  <si>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</si>
  <si>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</si>
  <si>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</si>
  <si>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</si>
  <si>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</si>
  <si>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</si>
  <si>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</si>
  <si>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</si>
  <si>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</si>
  <si>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</si>
  <si>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</si>
  <si>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</si>
  <si>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</si>
  <si>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</si>
  <si>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</si>
  <si>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</si>
  <si>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</si>
  <si>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</si>
  <si>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</si>
  <si>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</si>
  <si>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</si>
  <si>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</si>
  <si>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</si>
  <si>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</si>
  <si>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</si>
  <si>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</si>
  <si>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</si>
  <si>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</si>
  <si>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</si>
  <si>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</si>
  <si>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</si>
  <si>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</si>
  <si>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</si>
  <si>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</si>
  <si>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</si>
  <si>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</si>
  <si>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</si>
  <si>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</si>
  <si>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</si>
  <si>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</si>
  <si>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</si>
  <si>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</si>
  <si>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</si>
  <si>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</si>
  <si>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</si>
  <si>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</si>
  <si>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</si>
  <si>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</si>
  <si>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</si>
  <si>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</si>
  <si>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</si>
  <si>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</si>
  <si>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</si>
  <si>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</si>
  <si>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</si>
  <si>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</si>
  <si>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</si>
  <si>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</si>
  <si>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</si>
  <si>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</si>
  <si>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</si>
  <si>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</si>
  <si>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</si>
  <si>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</si>
  <si>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</si>
  <si>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</si>
  <si>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</si>
  <si>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</si>
  <si>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</si>
  <si>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</si>
  <si>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</si>
  <si>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</si>
  <si>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</si>
  <si>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</si>
  <si>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</si>
  <si>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</si>
  <si>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</si>
  <si>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</si>
  <si>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</si>
  <si>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</si>
  <si>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</si>
  <si>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</si>
  <si>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</si>
  <si>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</si>
  <si>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</si>
  <si>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</si>
  <si>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</si>
  <si>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</si>
  <si>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</si>
  <si>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</si>
  <si>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</si>
  <si>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</si>
  <si>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</si>
  <si>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</si>
  <si>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</si>
  <si>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</si>
  <si>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</si>
  <si>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</si>
  <si>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</si>
  <si>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</si>
  <si>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</si>
  <si>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</si>
  <si>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</si>
  <si>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</si>
  <si>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</si>
  <si>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</si>
  <si>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</si>
  <si>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</si>
  <si>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</si>
  <si>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</si>
  <si>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</si>
  <si>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</si>
  <si>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</si>
  <si>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</si>
  <si>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</si>
  <si>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</si>
  <si>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</si>
  <si>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</si>
  <si>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</si>
  <si>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</si>
  <si>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</si>
  <si>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</si>
  <si>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</si>
  <si>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</si>
  <si>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</si>
  <si>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</si>
  <si>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</si>
  <si>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</si>
  <si>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</si>
  <si>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</si>
  <si>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</si>
  <si>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</si>
  <si>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</si>
  <si>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</si>
  <si>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</si>
  <si>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</si>
  <si>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</si>
  <si>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</si>
  <si>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</si>
  <si>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</si>
  <si>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</si>
  <si>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</si>
  <si>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</si>
  <si>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</si>
  <si>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</si>
  <si>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</si>
  <si>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</si>
  <si>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</si>
  <si>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</si>
  <si>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</si>
  <si>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</si>
  <si>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</si>
  <si>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</si>
  <si>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</si>
  <si>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</si>
  <si>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</si>
  <si>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</si>
  <si>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</si>
  <si>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</si>
  <si>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</si>
  <si>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</si>
  <si>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</si>
  <si>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</si>
  <si>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</si>
  <si>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</si>
  <si>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</si>
  <si>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</si>
  <si>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</si>
  <si>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</si>
  <si>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</si>
  <si>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</si>
  <si>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</si>
  <si>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</si>
  <si>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</si>
  <si>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</si>
  <si>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</si>
  <si>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</si>
  <si>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</si>
  <si>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</si>
  <si>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</si>
  <si>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</si>
  <si>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</si>
  <si>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</si>
  <si>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</si>
  <si>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</si>
  <si>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</si>
  <si>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</si>
  <si>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</si>
  <si>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</si>
  <si>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</si>
  <si>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</si>
  <si>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</si>
  <si>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</si>
  <si>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</si>
  <si>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</si>
  <si>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</si>
  <si>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</si>
  <si>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</si>
  <si>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</si>
  <si>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</si>
  <si>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</si>
  <si>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</si>
  <si>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</si>
  <si>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</si>
  <si>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</si>
  <si>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</si>
  <si>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</si>
  <si>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</si>
  <si>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</si>
  <si>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</si>
  <si>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</si>
  <si>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</si>
  <si>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</si>
  <si>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</si>
  <si>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</si>
  <si>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</si>
  <si>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</si>
  <si>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</si>
  <si>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</si>
  <si>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</si>
  <si>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</si>
  <si>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</si>
  <si>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</si>
  <si>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</si>
  <si>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</si>
  <si>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</si>
  <si>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</si>
  <si>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</si>
  <si>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</si>
  <si>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</si>
  <si>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</si>
  <si>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</si>
  <si>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</si>
  <si>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</si>
  <si>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</si>
  <si>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</si>
  <si>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</si>
  <si>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</si>
  <si>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</si>
  <si>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</si>
  <si>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</si>
  <si>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</si>
  <si>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</si>
  <si>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</si>
  <si>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</si>
  <si>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</si>
  <si>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</si>
  <si>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</si>
  <si>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</si>
  <si>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</si>
  <si>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</si>
  <si>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</si>
  <si>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</si>
  <si>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</si>
  <si>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</si>
  <si>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</si>
  <si>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</si>
  <si>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</si>
  <si>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</si>
  <si>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</si>
  <si>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</si>
  <si>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</si>
  <si>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</si>
  <si>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</si>
  <si>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</si>
  <si>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</si>
  <si>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</si>
  <si>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</si>
  <si>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</si>
  <si>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</si>
  <si>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</si>
  <si>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</si>
  <si>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</si>
  <si>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</si>
  <si>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</si>
  <si>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</si>
  <si>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</si>
  <si>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</si>
  <si>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</si>
  <si>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</si>
  <si>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</si>
  <si>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</si>
  <si>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</si>
  <si>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</si>
  <si>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</si>
  <si>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</si>
  <si>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</si>
  <si>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</si>
  <si>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</si>
  <si>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</si>
  <si>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</si>
  <si>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</si>
  <si>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</si>
  <si>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</si>
  <si>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</si>
  <si>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</si>
  <si>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</si>
  <si>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</si>
  <si>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</si>
  <si>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</si>
  <si>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</si>
  <si>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</si>
  <si>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</si>
  <si>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</si>
  <si>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</si>
  <si>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</si>
  <si>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</si>
  <si>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</si>
  <si>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</si>
  <si>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</si>
  <si>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</si>
  <si>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</si>
  <si>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</si>
  <si>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</si>
  <si>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</si>
  <si>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</si>
  <si>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</si>
  <si>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</si>
  <si>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</si>
  <si>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</si>
  <si>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</si>
  <si>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</si>
  <si>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</si>
  <si>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</si>
  <si>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</si>
  <si>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</si>
  <si>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</si>
  <si>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</si>
  <si>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</si>
  <si>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</si>
  <si>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</si>
  <si>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</si>
  <si>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</si>
  <si>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</si>
  <si>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</si>
  <si>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</si>
  <si>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</si>
  <si>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</si>
  <si>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</si>
  <si>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</si>
  <si>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</si>
  <si>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</si>
  <si>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</si>
  <si>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</si>
  <si>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</si>
  <si>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</si>
  <si>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</si>
  <si>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</si>
  <si>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</si>
  <si>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</si>
  <si>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</si>
  <si>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</si>
  <si>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</si>
  <si>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</si>
  <si>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</si>
  <si>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</si>
  <si>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</si>
  <si>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</si>
  <si>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</si>
  <si>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</si>
  <si>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</si>
  <si>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</si>
  <si>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</si>
  <si>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</si>
  <si>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</si>
  <si>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</si>
  <si>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</si>
  <si>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</si>
  <si>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</si>
  <si>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</si>
  <si>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</si>
  <si>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</si>
  <si>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</si>
  <si>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</si>
  <si>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</si>
  <si>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</si>
  <si>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</si>
  <si>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</si>
  <si>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</si>
  <si>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</si>
  <si>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</si>
  <si>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</si>
  <si>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</si>
  <si>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</si>
  <si>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</si>
  <si>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</si>
  <si>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</si>
  <si>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</si>
  <si>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</si>
  <si>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</si>
  <si>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</si>
  <si>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</si>
  <si>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</si>
  <si>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</si>
  <si>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</si>
  <si>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</si>
  <si>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</si>
  <si>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</si>
  <si>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</si>
  <si>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</si>
  <si>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</si>
  <si>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</si>
  <si>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</si>
  <si>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</si>
  <si>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</si>
  <si>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</si>
  <si>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</si>
  <si>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</si>
  <si>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</si>
  <si>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</si>
  <si>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</si>
  <si>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</si>
  <si>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</si>
  <si>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</si>
  <si>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</si>
  <si>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</si>
  <si>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</si>
  <si>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</si>
  <si>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</si>
  <si>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</si>
  <si>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</si>
  <si>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</si>
  <si>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</si>
  <si>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</si>
  <si>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</si>
  <si>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</si>
  <si>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</si>
  <si>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</si>
  <si>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</si>
  <si>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</si>
  <si>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</si>
  <si>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</si>
  <si>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</si>
  <si>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</si>
  <si>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</si>
  <si>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</si>
  <si>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</si>
  <si>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</si>
  <si>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</si>
  <si>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</si>
  <si>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</si>
  <si>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</si>
  <si>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</si>
  <si>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</si>
  <si>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</si>
  <si>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</si>
  <si>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</si>
  <si>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</si>
  <si>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</si>
  <si>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</si>
  <si>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</si>
  <si>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</si>
  <si>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</si>
  <si>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</si>
  <si>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</si>
  <si>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</si>
  <si>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</si>
  <si>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</si>
  <si>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</si>
  <si>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</si>
  <si>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</si>
  <si>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</si>
  <si>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</si>
  <si>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</si>
  <si>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</si>
  <si>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</si>
  <si>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</si>
  <si>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</si>
  <si>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</si>
  <si>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</si>
  <si>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</si>
  <si>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</si>
  <si>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</si>
  <si>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</si>
  <si>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</si>
  <si>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</si>
  <si>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</si>
  <si>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</si>
  <si>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</si>
  <si>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</si>
  <si>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</si>
  <si>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</si>
  <si>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</si>
  <si>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</si>
  <si>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</si>
  <si>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</si>
  <si>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</si>
  <si>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</si>
  <si>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</si>
  <si>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</si>
  <si>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</si>
  <si>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</si>
  <si>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</si>
  <si>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</si>
  <si>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</si>
  <si>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</si>
  <si>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</si>
  <si>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</si>
  <si>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</si>
  <si>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</si>
  <si>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</si>
  <si>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</si>
  <si>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</si>
  <si>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</si>
  <si>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</si>
  <si>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</si>
  <si>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</si>
  <si>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</si>
  <si>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</si>
  <si>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</si>
  <si>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</si>
  <si>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</si>
  <si>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</si>
  <si>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</si>
  <si>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</si>
  <si>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</si>
  <si>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</si>
  <si>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</si>
  <si>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</si>
  <si>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</si>
  <si>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</si>
  <si>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</si>
  <si>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</si>
  <si>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</si>
  <si>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</si>
  <si>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</si>
  <si>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</si>
  <si>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</si>
  <si>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</si>
  <si>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</si>
  <si>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</si>
  <si>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</si>
  <si>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</si>
  <si>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</si>
  <si>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</si>
  <si>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</si>
  <si>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</si>
  <si>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</si>
  <si>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</si>
  <si>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</si>
  <si>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</si>
  <si>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</si>
  <si>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</si>
  <si>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</si>
  <si>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</si>
  <si>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</si>
  <si>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</si>
  <si>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</si>
  <si>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</si>
  <si>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</si>
  <si>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</si>
  <si>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</si>
  <si>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</si>
  <si>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</si>
  <si>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</si>
  <si>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</si>
  <si>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</si>
  <si>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</si>
  <si>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</si>
  <si>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</si>
  <si>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</si>
  <si>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</si>
  <si>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</si>
  <si>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</si>
  <si>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</si>
  <si>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</si>
  <si>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</si>
  <si>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</si>
  <si>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</si>
  <si>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</si>
  <si>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</si>
  <si>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</si>
  <si>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</si>
  <si>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</si>
  <si>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</si>
  <si>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</si>
  <si>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</si>
  <si>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</si>
  <si>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</si>
  <si>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</si>
  <si>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</si>
  <si>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</si>
  <si>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</si>
  <si>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</si>
  <si>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</si>
  <si>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</si>
  <si>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</si>
  <si>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</si>
  <si>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</si>
  <si>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</si>
  <si>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</si>
  <si>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</si>
  <si>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</si>
  <si>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</si>
  <si>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</si>
  <si>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</si>
  <si>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</si>
  <si>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</si>
  <si>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</si>
  <si>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</si>
  <si>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</si>
  <si>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</si>
  <si>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</si>
  <si>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</si>
  <si>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</si>
  <si>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</si>
  <si>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</si>
  <si>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</si>
  <si>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</si>
  <si>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</si>
  <si>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</si>
  <si>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</si>
  <si>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</si>
  <si>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</si>
  <si>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</si>
  <si>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</si>
  <si>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</si>
  <si>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</si>
  <si>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</si>
  <si>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</si>
  <si>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</si>
  <si>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</si>
  <si>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</si>
  <si>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</si>
  <si>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</si>
  <si>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</si>
  <si>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</si>
  <si>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</si>
  <si>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</si>
  <si>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</si>
  <si>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</si>
  <si>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</si>
  <si>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</si>
  <si>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</si>
  <si>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</si>
  <si>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</si>
  <si>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</si>
  <si>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</si>
  <si>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</si>
  <si>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</si>
  <si>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</si>
  <si>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</si>
  <si>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</si>
  <si>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</si>
  <si>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</si>
  <si>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</si>
  <si>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</si>
  <si>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</si>
  <si>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</si>
  <si>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</si>
  <si>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</si>
  <si>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</si>
  <si>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</si>
  <si>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</si>
  <si>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</si>
  <si>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</si>
  <si>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</si>
  <si>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</si>
  <si>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</si>
  <si>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</si>
  <si>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</si>
  <si>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</si>
  <si>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</si>
  <si>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</si>
  <si>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</si>
  <si>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</si>
  <si>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</si>
  <si>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</si>
  <si>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</si>
  <si>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</si>
  <si>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</si>
  <si>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</si>
  <si>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</si>
  <si>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</si>
  <si>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</si>
  <si>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</si>
  <si>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</si>
  <si>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</si>
  <si>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</si>
  <si>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</si>
  <si>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</si>
  <si>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</si>
  <si>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</si>
  <si>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</si>
  <si>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</si>
  <si>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</si>
  <si>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</si>
  <si>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</si>
  <si>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</si>
  <si>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</si>
  <si>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</si>
  <si>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</si>
  <si>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</si>
  <si>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</si>
  <si>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</si>
  <si>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</si>
  <si>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</si>
  <si>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</si>
  <si>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</si>
  <si>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</si>
  <si>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</si>
  <si>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</si>
  <si>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</si>
  <si>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</si>
  <si>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</si>
  <si>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</si>
  <si>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</si>
  <si>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</si>
  <si>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</si>
  <si>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</si>
  <si>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</si>
  <si>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</si>
  <si>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</si>
  <si>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</si>
  <si>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</si>
  <si>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</si>
  <si>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</si>
  <si>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</si>
  <si>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</si>
  <si>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</si>
  <si>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</si>
  <si>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</si>
  <si>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</si>
  <si>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</si>
  <si>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</si>
  <si>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</si>
  <si>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</si>
  <si>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</si>
  <si>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</si>
  <si>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</si>
  <si>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</si>
  <si>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</si>
  <si>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</si>
  <si>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</si>
  <si>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</si>
  <si>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</si>
  <si>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</si>
  <si>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</si>
  <si>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</si>
  <si>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</si>
  <si>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</si>
  <si>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</si>
  <si>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</si>
  <si>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</si>
  <si>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</si>
  <si>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</si>
  <si>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</si>
  <si>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</si>
  <si>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</si>
  <si>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</si>
  <si>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</si>
  <si>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</si>
  <si>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</si>
  <si>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</si>
  <si>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</si>
  <si>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</si>
  <si>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</si>
  <si>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</si>
  <si>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</si>
  <si>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</si>
  <si>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</si>
  <si>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</si>
  <si>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</si>
  <si>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</si>
  <si>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</si>
  <si>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</si>
  <si>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</si>
  <si>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</si>
  <si>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</si>
  <si>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</si>
  <si>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</si>
  <si>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</si>
  <si>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</si>
  <si>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</si>
  <si>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</si>
  <si>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</si>
  <si>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</si>
  <si>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</si>
  <si>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</si>
  <si>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</si>
  <si>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</si>
  <si>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</si>
  <si>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</si>
  <si>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</si>
  <si>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</si>
  <si>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</si>
  <si>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</si>
  <si>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</si>
  <si>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</si>
  <si>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</si>
  <si>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</si>
  <si>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</si>
  <si>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</si>
  <si>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</si>
  <si>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</si>
  <si>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</si>
  <si>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</si>
  <si>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</si>
  <si>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</si>
  <si>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</si>
  <si>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</si>
  <si>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</si>
  <si>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</si>
  <si>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</si>
  <si>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</si>
  <si>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</si>
  <si>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</si>
  <si>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</si>
  <si>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</si>
  <si>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</si>
  <si>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</si>
  <si>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</si>
  <si>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</si>
  <si>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</si>
  <si>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</si>
  <si>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</si>
  <si>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</si>
  <si>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</si>
  <si>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</si>
  <si>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</si>
  <si>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</si>
  <si>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</si>
  <si>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</si>
  <si>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</si>
  <si>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</si>
  <si>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</si>
  <si>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</si>
  <si>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</si>
  <si>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</si>
  <si>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</si>
  <si>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</si>
  <si>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</si>
  <si>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</si>
  <si>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</si>
  <si>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</si>
  <si>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</si>
  <si>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</si>
  <si>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</si>
  <si>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</si>
  <si>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</si>
  <si>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</si>
  <si>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</si>
  <si>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</si>
  <si>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</si>
  <si>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</si>
  <si>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</si>
  <si>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</si>
  <si>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</si>
  <si>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</si>
  <si>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</si>
  <si>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</si>
  <si>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</si>
  <si>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</si>
  <si>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</si>
  <si>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</si>
  <si>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</si>
  <si>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</si>
  <si>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</si>
  <si>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</si>
  <si>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</si>
  <si>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</si>
  <si>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</si>
  <si>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</si>
  <si>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</si>
  <si>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</si>
  <si>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</si>
  <si>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</si>
  <si>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</si>
  <si>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</si>
  <si>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</si>
  <si>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</si>
  <si>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</si>
  <si>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</si>
  <si>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</si>
  <si>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</si>
  <si>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</si>
  <si>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</si>
  <si>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</si>
  <si>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</si>
  <si>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</si>
  <si>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</si>
  <si>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</si>
  <si>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</si>
  <si>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</si>
  <si>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</si>
  <si>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</si>
  <si>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</si>
  <si>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</si>
  <si>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</si>
  <si>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</si>
  <si>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</si>
  <si>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</si>
  <si>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</si>
  <si>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</si>
  <si>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</si>
  <si>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</si>
  <si>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</si>
  <si>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</si>
  <si>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</si>
  <si>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</si>
  <si>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</si>
  <si>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</si>
  <si>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</si>
  <si>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</si>
  <si>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</si>
  <si>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</si>
  <si>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</si>
  <si>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</si>
  <si>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</si>
  <si>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</si>
  <si>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</si>
  <si>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</si>
  <si>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</si>
  <si>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</si>
  <si>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</si>
  <si>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</si>
  <si>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</si>
  <si>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</si>
  <si>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</si>
  <si>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</si>
  <si>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</si>
  <si>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</si>
  <si>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</si>
  <si>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</si>
  <si>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</si>
  <si>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</si>
  <si>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</si>
  <si>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</si>
  <si>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</si>
  <si>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</si>
  <si>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</si>
  <si>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</si>
  <si>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</si>
  <si>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</si>
  <si>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</si>
  <si>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</si>
  <si>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</si>
  <si>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</si>
  <si>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</si>
  <si>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</si>
  <si>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</si>
  <si>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</si>
  <si>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</si>
  <si>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</si>
  <si>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</si>
  <si>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</si>
  <si>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</si>
  <si>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</si>
  <si>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</si>
  <si>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</si>
  <si>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</si>
  <si>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</si>
  <si>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</si>
  <si>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</si>
  <si>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</si>
  <si>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</si>
  <si>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</si>
  <si>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</si>
  <si>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</si>
  <si>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</si>
  <si>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</si>
  <si>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</si>
  <si>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</si>
  <si>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</si>
  <si>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</si>
  <si>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</si>
  <si>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</si>
  <si>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</si>
  <si>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</si>
  <si>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</si>
  <si>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</si>
  <si>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</si>
  <si>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</si>
  <si>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</si>
  <si>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</si>
  <si>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</si>
  <si>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</si>
  <si>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</si>
  <si>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</si>
  <si>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</si>
  <si>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</si>
  <si>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</si>
  <si>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</si>
  <si>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</si>
  <si>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</si>
  <si>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</si>
  <si>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</si>
  <si>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</si>
  <si>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</si>
  <si>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</si>
  <si>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</si>
  <si>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</si>
  <si>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</si>
  <si>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</si>
  <si>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</si>
  <si>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</si>
  <si>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</si>
  <si>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</si>
  <si>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</si>
  <si>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</si>
  <si>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</si>
  <si>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</si>
  <si>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</si>
  <si>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</si>
  <si>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</si>
  <si>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</si>
  <si>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</si>
  <si>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</si>
  <si>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</si>
  <si>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</si>
  <si>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</si>
  <si>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</si>
  <si>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</si>
  <si>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</si>
  <si>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</si>
  <si>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</si>
  <si>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</si>
  <si>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</si>
  <si>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</si>
  <si>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</si>
  <si>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</si>
  <si>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</si>
  <si>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</si>
  <si>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</si>
  <si>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</si>
  <si>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</si>
  <si>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</si>
  <si>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</si>
  <si>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</si>
  <si>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</si>
  <si>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</si>
  <si>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</si>
  <si>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</si>
  <si>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</si>
  <si>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</si>
  <si>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</si>
  <si>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</si>
  <si>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</si>
  <si>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</si>
  <si>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</si>
  <si>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</si>
  <si>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</si>
  <si>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</si>
  <si>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</si>
  <si>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</si>
  <si>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</si>
  <si>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</si>
  <si>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</si>
  <si>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</si>
  <si>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</si>
  <si>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</si>
  <si>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</si>
  <si>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</si>
  <si>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</si>
  <si>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</si>
  <si>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</si>
  <si>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</si>
  <si>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</si>
  <si>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</si>
  <si>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</si>
  <si>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</si>
  <si>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</si>
  <si>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</si>
  <si>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</si>
  <si>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</si>
  <si>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</si>
  <si>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</si>
  <si>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</si>
  <si>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</si>
  <si>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</si>
  <si>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</si>
  <si>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</si>
  <si>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</si>
  <si>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</si>
  <si>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</si>
  <si>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</si>
  <si>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</si>
  <si>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</si>
  <si>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</si>
  <si>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</si>
  <si>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</si>
  <si>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</si>
  <si>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</si>
  <si>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</si>
  <si>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</si>
  <si>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</si>
  <si>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</si>
  <si>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</si>
  <si>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</si>
  <si>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</si>
  <si>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</si>
  <si>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</si>
  <si>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</si>
  <si>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</si>
  <si>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</si>
  <si>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</si>
  <si>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</si>
  <si>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</si>
  <si>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</si>
  <si>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</si>
  <si>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</si>
  <si>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</si>
  <si>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</si>
  <si>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</si>
  <si>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</si>
  <si>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</si>
  <si>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</si>
  <si>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</si>
  <si>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</si>
  <si>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</si>
  <si>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</si>
  <si>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</si>
  <si>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</si>
  <si>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</si>
  <si>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</si>
  <si>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</si>
  <si>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</si>
  <si>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</si>
  <si>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</si>
  <si>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</si>
  <si>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</si>
  <si>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</si>
  <si>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</si>
  <si>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</si>
  <si>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</si>
  <si>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</si>
  <si>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</si>
  <si>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</si>
  <si>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</si>
  <si>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</si>
  <si>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</si>
  <si>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</si>
  <si>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</si>
  <si>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</si>
  <si>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</si>
  <si>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</si>
  <si>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</si>
  <si>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</si>
  <si>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</si>
  <si>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</si>
  <si>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</si>
  <si>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</si>
  <si>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</si>
  <si>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</si>
  <si>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</si>
  <si>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</si>
  <si>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</si>
  <si>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</si>
  <si>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</si>
  <si>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</si>
  <si>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</si>
  <si>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</si>
  <si>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</si>
  <si>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</si>
  <si>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</si>
  <si>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</si>
  <si>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</si>
  <si>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</si>
  <si>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</si>
  <si>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</si>
  <si>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</si>
  <si>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</si>
  <si>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</si>
  <si>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</si>
  <si>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</si>
  <si>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</si>
  <si>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</si>
  <si>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</si>
  <si>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</si>
  <si>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</si>
  <si>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</si>
  <si>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</si>
  <si>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</si>
  <si>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</si>
  <si>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</si>
  <si>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</si>
  <si>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</si>
  <si>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</si>
  <si>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</si>
  <si>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</si>
  <si>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</si>
  <si>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</si>
  <si>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</si>
  <si>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</si>
  <si>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</si>
  <si>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</si>
  <si>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</si>
  <si>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</si>
  <si>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</si>
  <si>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</si>
  <si>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</si>
  <si>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</si>
  <si>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</si>
  <si>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</si>
  <si>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</si>
  <si>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</si>
  <si>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</si>
  <si>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</si>
  <si>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</si>
  <si>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</si>
  <si>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</si>
  <si>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</si>
  <si>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</si>
  <si>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</si>
  <si>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</si>
  <si>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</si>
  <si>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</si>
  <si>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</si>
  <si>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</si>
  <si>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</si>
  <si>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</si>
  <si>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</si>
  <si>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</si>
  <si>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</si>
  <si>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</si>
  <si>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</si>
  <si>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</si>
  <si>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</si>
  <si>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</si>
  <si>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</si>
  <si>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</si>
  <si>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</si>
  <si>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</si>
  <si>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</si>
  <si>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</si>
  <si>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</si>
  <si>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</si>
  <si>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</si>
  <si>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</si>
  <si>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</si>
  <si>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</si>
  <si>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</si>
  <si>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</si>
  <si>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</si>
  <si>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</si>
  <si>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</si>
  <si>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</si>
  <si>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</si>
  <si>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</si>
  <si>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</si>
  <si>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</si>
  <si>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</si>
  <si>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</si>
  <si>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</si>
  <si>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</si>
  <si>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</si>
  <si>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</si>
  <si>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</si>
  <si>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</si>
  <si>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</si>
  <si>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</si>
  <si>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</si>
  <si>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</si>
  <si>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</si>
  <si>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</si>
  <si>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</si>
  <si>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</si>
  <si>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</si>
  <si>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</si>
  <si>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</si>
  <si>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</si>
  <si>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</si>
  <si>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</si>
  <si>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</si>
  <si>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</si>
  <si>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</si>
  <si>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</si>
  <si>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</si>
  <si>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</si>
  <si>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</si>
  <si>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</si>
  <si>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</si>
  <si>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</si>
  <si>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</si>
  <si>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</si>
  <si>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</si>
  <si>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</si>
  <si>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</si>
  <si>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</si>
  <si>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</si>
  <si>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</si>
  <si>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</si>
  <si>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</si>
  <si>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</si>
  <si>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</si>
  <si>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</si>
  <si>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</si>
  <si>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</si>
  <si>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</si>
  <si>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</si>
  <si>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</si>
  <si>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</si>
  <si>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</si>
  <si>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</si>
  <si>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</si>
  <si>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</si>
  <si>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</si>
  <si>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</si>
  <si>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</si>
  <si>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</si>
  <si>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</si>
  <si>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</si>
  <si>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</si>
  <si>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</si>
  <si>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</si>
  <si>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</si>
  <si>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</si>
  <si>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</si>
  <si>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</si>
  <si>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</si>
  <si>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</si>
  <si>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</si>
  <si>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</si>
  <si>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</si>
  <si>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</si>
  <si>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</si>
  <si>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</si>
  <si>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</si>
  <si>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</si>
  <si>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</si>
  <si>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</si>
  <si>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</si>
  <si>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</si>
  <si>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</si>
  <si>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</si>
  <si>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</si>
  <si>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</si>
  <si>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</si>
  <si>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</si>
  <si>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</si>
  <si>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</si>
  <si>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</si>
  <si>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</si>
  <si>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</si>
  <si>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</si>
  <si>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</si>
  <si>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</si>
  <si>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</si>
  <si>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</si>
  <si>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</si>
  <si>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</si>
  <si>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</si>
  <si>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</si>
  <si>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</si>
  <si>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</si>
  <si>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</si>
  <si>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</si>
  <si>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</si>
  <si>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</si>
  <si>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</si>
  <si>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</si>
  <si>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</si>
  <si>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</si>
  <si>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</si>
  <si>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</si>
  <si>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</si>
  <si>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</si>
  <si>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</si>
  <si>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</si>
  <si>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</si>
  <si>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</si>
  <si>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</si>
  <si>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</si>
  <si>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</si>
  <si>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</si>
  <si>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</si>
  <si>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</si>
  <si>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</si>
  <si>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</si>
  <si>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</si>
  <si>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</si>
  <si>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</si>
  <si>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</si>
  <si>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</si>
  <si>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</si>
  <si>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</si>
  <si>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</si>
  <si>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</si>
  <si>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</si>
  <si>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</si>
  <si>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</si>
  <si>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</si>
  <si>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</si>
  <si>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</si>
  <si>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</si>
  <si>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</si>
  <si>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</si>
  <si>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</si>
  <si>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</si>
  <si>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</si>
  <si>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</si>
  <si>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</si>
  <si>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</si>
  <si>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</si>
  <si>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</si>
  <si>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</si>
  <si>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</si>
  <si>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</si>
  <si>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</si>
  <si>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</si>
  <si>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</si>
  <si>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</si>
  <si>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</si>
  <si>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</si>
  <si>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</si>
  <si>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</si>
  <si>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</si>
  <si>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</si>
  <si>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</si>
  <si>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</si>
  <si>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</si>
  <si>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</si>
  <si>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</si>
  <si>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</si>
  <si>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</si>
  <si>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</si>
  <si>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</si>
  <si>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</si>
  <si>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</si>
  <si>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</si>
  <si>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</si>
  <si>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</si>
  <si>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</si>
  <si>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</si>
  <si>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</si>
  <si>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</si>
  <si>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</si>
  <si>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</si>
  <si>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</si>
  <si>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</si>
  <si>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</si>
  <si>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</si>
  <si>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</si>
  <si>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</si>
  <si>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</si>
  <si>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</si>
  <si>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</si>
  <si>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</si>
  <si>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</si>
  <si>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</si>
  <si>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</si>
  <si>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</si>
  <si>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</si>
  <si>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</si>
  <si>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</si>
  <si>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</si>
  <si>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</si>
  <si>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</si>
  <si>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</si>
  <si>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</si>
  <si>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</si>
  <si>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</si>
  <si>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</si>
  <si>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</si>
  <si>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</si>
  <si>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</si>
  <si>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</si>
  <si>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</si>
  <si>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</si>
  <si>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</si>
  <si>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</si>
  <si>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</si>
  <si>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</si>
  <si>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</si>
  <si>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</si>
  <si>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</si>
  <si>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</si>
  <si>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</si>
  <si>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</si>
  <si>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</si>
  <si>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</si>
  <si>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</si>
  <si>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</si>
  <si>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</si>
  <si>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</si>
  <si>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</si>
  <si>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</si>
  <si>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</si>
  <si>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</si>
  <si>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</si>
  <si>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</si>
  <si>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</si>
  <si>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</si>
  <si>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</si>
  <si>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</si>
  <si>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</si>
  <si>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</si>
  <si>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</si>
  <si>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</si>
  <si>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</si>
  <si>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</si>
  <si>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</si>
  <si>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</si>
  <si>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</si>
  <si>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</si>
  <si>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</si>
  <si>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</si>
  <si>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</si>
  <si>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</si>
  <si>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</si>
  <si>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</si>
  <si>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</si>
  <si>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</si>
  <si>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</si>
  <si>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</si>
  <si>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</si>
  <si>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</si>
  <si>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</si>
  <si>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</si>
  <si>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</si>
  <si>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</si>
  <si>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</si>
  <si>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</si>
  <si>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</si>
  <si>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</si>
  <si>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</si>
  <si>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</si>
  <si>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</si>
  <si>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</si>
  <si>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</si>
  <si>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</si>
  <si>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</si>
  <si>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</si>
  <si>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</si>
  <si>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</si>
  <si>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</si>
  <si>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</si>
  <si>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</si>
  <si>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</si>
  <si>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</si>
  <si>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</si>
  <si>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</si>
  <si>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</si>
  <si>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</si>
  <si>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</si>
  <si>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</si>
  <si>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</si>
  <si>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</si>
  <si>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</si>
  <si>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</si>
  <si>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</si>
  <si>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</si>
  <si>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</si>
  <si>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</si>
  <si>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</si>
  <si>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</si>
  <si>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</si>
  <si>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</si>
  <si>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</si>
  <si>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</si>
  <si>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</si>
  <si>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</si>
  <si>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</si>
  <si>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</si>
  <si>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</si>
  <si>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</si>
  <si>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</si>
  <si>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</si>
  <si>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</si>
  <si>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</si>
  <si>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</si>
  <si>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</si>
  <si>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</si>
  <si>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</si>
  <si>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</si>
  <si>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</si>
  <si>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</si>
  <si>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</si>
  <si>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</si>
  <si>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</si>
  <si>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</si>
  <si>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</si>
  <si>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</si>
  <si>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</si>
  <si>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</si>
  <si>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</si>
  <si>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</si>
  <si>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</si>
  <si>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</si>
  <si>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</si>
  <si>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</si>
  <si>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</si>
  <si>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</si>
  <si>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</si>
  <si>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</si>
  <si>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</si>
  <si>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</si>
  <si>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</si>
  <si>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</si>
  <si>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</si>
  <si>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</si>
  <si>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</si>
  <si>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</si>
  <si>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</si>
  <si>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</si>
  <si>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</si>
  <si>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</si>
  <si>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</si>
  <si>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</si>
  <si>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</si>
  <si>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</si>
  <si>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</si>
  <si>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</si>
  <si>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</si>
  <si>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</si>
  <si>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</si>
  <si>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</si>
  <si>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</si>
  <si>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</si>
  <si>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</si>
  <si>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</si>
  <si>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</si>
  <si>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</si>
  <si>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</si>
  <si>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</si>
  <si>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</si>
  <si>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</si>
  <si>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</si>
  <si>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</si>
  <si>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</si>
  <si>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</si>
  <si>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</si>
  <si>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</si>
  <si>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</si>
  <si>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</si>
  <si>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</si>
  <si>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</si>
  <si>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</si>
  <si>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</si>
  <si>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</si>
  <si>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</si>
  <si>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</si>
  <si>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</si>
  <si>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</si>
  <si>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</si>
  <si>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</si>
  <si>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</si>
  <si>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</si>
  <si>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</si>
  <si>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</si>
  <si>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</si>
  <si>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</si>
  <si>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</si>
  <si>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</si>
  <si>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</si>
  <si>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</si>
  <si>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</si>
  <si>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</si>
  <si>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</si>
  <si>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</si>
  <si>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</si>
  <si>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</si>
  <si>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</si>
  <si>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</si>
  <si>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</si>
  <si>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</si>
  <si>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</si>
  <si>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</si>
  <si>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</si>
  <si>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</si>
  <si>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</si>
  <si>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</si>
  <si>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</si>
  <si>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</si>
  <si>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</si>
  <si>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</si>
  <si>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</si>
  <si>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</si>
  <si>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</si>
  <si>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</si>
  <si>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</si>
  <si>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</si>
  <si>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</si>
  <si>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</si>
  <si>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</si>
  <si>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</si>
  <si>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</si>
  <si>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</si>
  <si>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</si>
  <si>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</si>
  <si>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</si>
  <si>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</si>
  <si>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</si>
  <si>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</si>
  <si>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</si>
  <si>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</si>
  <si>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</si>
  <si>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</si>
  <si>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</si>
  <si>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</si>
  <si>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</si>
  <si>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</si>
  <si>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</si>
  <si>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</si>
  <si>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</si>
  <si>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</si>
  <si>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</si>
  <si>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</si>
  <si>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</si>
  <si>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</si>
  <si>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</si>
  <si>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</si>
  <si>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</si>
  <si>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</si>
  <si>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</si>
  <si>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</si>
  <si>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</si>
  <si>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</si>
  <si>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</si>
  <si>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</si>
  <si>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</si>
  <si>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</si>
  <si>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</si>
  <si>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</si>
  <si>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</si>
  <si>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</si>
  <si>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</si>
  <si>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</si>
  <si>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</si>
  <si>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</si>
  <si>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</si>
  <si>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</si>
  <si>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</si>
  <si>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</si>
  <si>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</si>
  <si>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</si>
  <si>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</si>
  <si>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</si>
  <si>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</si>
  <si>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</si>
  <si>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</si>
  <si>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</si>
  <si>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</si>
  <si>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</si>
  <si>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</si>
  <si>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</si>
  <si>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</si>
  <si>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</si>
  <si>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</si>
  <si>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</si>
  <si>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</si>
  <si>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</si>
  <si>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</si>
  <si>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</si>
  <si>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</si>
  <si>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</si>
  <si>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</si>
  <si>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</si>
  <si>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</si>
  <si>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</si>
  <si>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</si>
  <si>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</si>
  <si>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</si>
  <si>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</si>
  <si>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</si>
  <si>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</si>
  <si>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</si>
  <si>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</si>
  <si>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</si>
  <si>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</si>
  <si>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</si>
  <si>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</si>
  <si>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</si>
  <si>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</si>
  <si>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</si>
  <si>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</si>
  <si>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</si>
  <si>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</si>
  <si>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</si>
  <si>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</si>
  <si>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</si>
  <si>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</si>
  <si>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</si>
  <si>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</si>
  <si>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</si>
  <si>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</si>
  <si>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</si>
  <si>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</si>
  <si>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</si>
  <si>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</si>
  <si>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</si>
  <si>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</si>
  <si>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</si>
  <si>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</si>
  <si>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</si>
  <si>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</si>
  <si>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</si>
  <si>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</si>
  <si>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</si>
  <si>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</si>
  <si>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</si>
  <si>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</si>
  <si>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</si>
  <si>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</si>
  <si>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</si>
  <si>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</si>
  <si>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</si>
  <si>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</si>
  <si>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</si>
  <si>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</si>
  <si>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</si>
  <si>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</si>
  <si>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</si>
  <si>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</si>
  <si>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</si>
  <si>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</si>
  <si>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</si>
  <si>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</si>
  <si>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</si>
  <si>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</si>
  <si>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</si>
  <si>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</si>
  <si>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</si>
  <si>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</si>
  <si>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</si>
  <si>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</si>
  <si>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</si>
  <si>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</si>
  <si>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</si>
  <si>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</si>
  <si>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</si>
  <si>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</si>
  <si>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</si>
  <si>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</si>
  <si>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</si>
  <si>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</si>
  <si>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</si>
  <si>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</si>
  <si>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</si>
  <si>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</si>
  <si>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</si>
  <si>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</si>
  <si>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</si>
  <si>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</si>
  <si>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</si>
  <si>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</si>
  <si>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</si>
  <si>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</si>
  <si>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</si>
  <si>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</si>
  <si>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</si>
  <si>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</si>
  <si>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</si>
  <si>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</si>
  <si>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</si>
  <si>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</si>
  <si>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</si>
  <si>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</si>
  <si>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</si>
  <si>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</si>
  <si>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</si>
  <si>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</si>
  <si>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</si>
  <si>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</si>
  <si>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</si>
  <si>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</si>
  <si>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</si>
  <si>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</si>
  <si>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</si>
  <si>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</si>
  <si>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</si>
  <si>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</si>
  <si>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</si>
  <si>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</si>
  <si>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</si>
  <si>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</si>
  <si>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</si>
  <si>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</si>
  <si>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</si>
  <si>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</si>
  <si>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</si>
  <si>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</si>
  <si>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</si>
  <si>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</si>
  <si>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</si>
  <si>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</si>
  <si>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</si>
  <si>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</si>
  <si>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</si>
  <si>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</si>
  <si>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</si>
  <si>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</si>
  <si>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</si>
  <si>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</si>
  <si>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</si>
  <si>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</si>
  <si>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</si>
  <si>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</si>
  <si>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</si>
  <si>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</si>
  <si>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</si>
  <si>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</si>
  <si>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</si>
  <si>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</si>
  <si>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</si>
  <si>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</si>
  <si>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</si>
  <si>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</si>
  <si>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</si>
  <si>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</si>
  <si>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</si>
  <si>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</si>
  <si>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</si>
  <si>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</si>
  <si>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</si>
  <si>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</si>
  <si>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</si>
  <si>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</si>
  <si>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</si>
  <si>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</si>
  <si>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</si>
  <si>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</si>
  <si>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</si>
  <si>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</si>
  <si>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</si>
  <si>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</si>
  <si>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</si>
  <si>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</si>
  <si>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</si>
  <si>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</si>
  <si>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</si>
  <si>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</si>
  <si>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</si>
  <si>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</si>
  <si>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</si>
  <si>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</si>
  <si>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</si>
  <si>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</si>
  <si>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</si>
  <si>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</si>
  <si>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</si>
  <si>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</si>
  <si>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</si>
  <si>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</si>
  <si>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</si>
  <si>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</si>
  <si>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</si>
  <si>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</si>
  <si>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</si>
  <si>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</si>
  <si>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</si>
  <si>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</si>
  <si>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</si>
  <si>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</si>
  <si>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</si>
  <si>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</si>
  <si>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</si>
  <si>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</si>
  <si>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</si>
  <si>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</si>
  <si>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</si>
  <si>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</si>
  <si>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</si>
  <si>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</si>
  <si>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</si>
  <si>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</si>
  <si>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</si>
  <si>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</si>
  <si>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</si>
  <si>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</si>
  <si>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</si>
  <si>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</si>
  <si>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</si>
  <si>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</si>
  <si>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</si>
  <si>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</si>
  <si>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</si>
  <si>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</si>
  <si>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</si>
  <si>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</si>
  <si>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</si>
  <si>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</si>
  <si>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</si>
  <si>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</si>
  <si>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</si>
  <si>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</si>
  <si>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</si>
  <si>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</si>
  <si>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</si>
  <si>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</si>
  <si>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</si>
  <si>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</si>
  <si>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</si>
  <si>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</si>
  <si>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</si>
  <si>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</si>
  <si>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</si>
  <si>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</si>
  <si>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</si>
  <si>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</si>
  <si>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</si>
  <si>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</si>
  <si>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</si>
  <si>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</si>
  <si>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</si>
  <si>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</si>
  <si>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</si>
  <si>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</si>
  <si>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</si>
  <si>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</si>
  <si>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</si>
  <si>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</si>
  <si>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</si>
  <si>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</si>
  <si>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</si>
  <si>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</si>
  <si>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</si>
  <si>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</si>
  <si>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</si>
  <si>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</si>
  <si>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</si>
  <si>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</si>
  <si>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</si>
  <si>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</si>
  <si>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</si>
  <si>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</si>
  <si>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</si>
  <si>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</si>
  <si>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</si>
  <si>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</si>
  <si>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</si>
  <si>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</si>
  <si>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</si>
  <si>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</si>
  <si>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</si>
  <si>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</si>
  <si>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</si>
  <si>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</si>
  <si>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</si>
  <si>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</si>
  <si>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</si>
  <si>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</si>
  <si>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</si>
  <si>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</si>
  <si>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</si>
  <si>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</si>
  <si>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</si>
  <si>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</si>
  <si>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</si>
  <si>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</si>
  <si>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</si>
  <si>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</si>
  <si>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</si>
  <si>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</si>
  <si>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</si>
  <si>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</si>
  <si>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</si>
  <si>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</si>
  <si>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</si>
  <si>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</si>
  <si>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</si>
  <si>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</si>
  <si>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</si>
  <si>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</si>
  <si>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</si>
  <si>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</si>
  <si>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</si>
  <si>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</si>
  <si>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</si>
  <si>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</si>
  <si>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</si>
  <si>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</si>
  <si>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</si>
  <si>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</si>
  <si>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</si>
  <si>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</si>
  <si>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</si>
  <si>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</si>
  <si>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</si>
  <si>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</si>
  <si>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</si>
  <si>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</si>
  <si>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</si>
  <si>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</si>
  <si>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</si>
  <si>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</si>
  <si>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</si>
  <si>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</si>
  <si>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</si>
  <si>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</si>
  <si>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</si>
  <si>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</si>
  <si>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</si>
  <si>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</si>
  <si>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</si>
  <si>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</si>
  <si>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</si>
  <si>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</si>
  <si>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</si>
  <si>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</si>
  <si>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</si>
  <si>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</si>
  <si>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</si>
  <si>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</si>
  <si>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</si>
  <si>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</si>
  <si>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</si>
  <si>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</si>
  <si>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</si>
  <si>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</si>
  <si>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</si>
  <si>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</si>
  <si>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</si>
  <si>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</si>
  <si>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</si>
  <si>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</si>
  <si>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</si>
  <si>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</si>
  <si>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</si>
  <si>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</si>
  <si>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</si>
  <si>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</si>
  <si>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</si>
  <si>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</si>
  <si>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</si>
  <si>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</si>
  <si>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</si>
  <si>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</si>
  <si>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</si>
  <si>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</si>
  <si>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</si>
  <si>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</si>
  <si>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</si>
  <si>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</si>
  <si>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</si>
  <si>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</si>
  <si>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</si>
  <si>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</si>
  <si>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</si>
  <si>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</si>
  <si>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</si>
  <si>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</si>
  <si>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</si>
  <si>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</si>
  <si>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</si>
  <si>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</si>
  <si>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</si>
  <si>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</si>
  <si>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</si>
  <si>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</si>
  <si>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</si>
  <si>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</si>
  <si>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</si>
  <si>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</si>
  <si>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</si>
  <si>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</si>
  <si>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</si>
  <si>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</si>
  <si>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</si>
  <si>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</si>
  <si>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</si>
  <si>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</si>
  <si>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</si>
  <si>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</si>
  <si>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</si>
  <si>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</si>
  <si>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</si>
  <si>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</si>
  <si>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</si>
  <si>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</si>
  <si>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</si>
  <si>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</si>
  <si>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</si>
  <si>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</si>
  <si>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</si>
  <si>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</si>
  <si>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</si>
  <si>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</si>
  <si>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</si>
  <si>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</si>
  <si>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</si>
  <si>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</si>
  <si>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</si>
  <si>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</si>
  <si>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</si>
  <si>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</si>
  <si>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</si>
  <si>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</si>
  <si>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</si>
  <si>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</si>
  <si>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</si>
  <si>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</si>
  <si>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</si>
  <si>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</si>
  <si>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</si>
  <si>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</si>
  <si>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</si>
  <si>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</si>
  <si>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</si>
  <si>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</si>
  <si>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</si>
  <si>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</si>
  <si>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</si>
  <si>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</si>
  <si>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</si>
  <si>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</si>
  <si>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</si>
  <si>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</si>
  <si>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</si>
  <si>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</si>
  <si>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</si>
  <si>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</si>
  <si>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</si>
  <si>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</si>
  <si>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</si>
  <si>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</si>
  <si>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</si>
  <si>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</si>
  <si>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</si>
  <si>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</si>
  <si>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</si>
  <si>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</si>
  <si>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</si>
  <si>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</si>
  <si>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</si>
  <si>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</si>
  <si>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</si>
  <si>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</si>
  <si>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</si>
  <si>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</si>
  <si>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</si>
  <si>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</si>
  <si>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</si>
  <si>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</si>
  <si>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</si>
  <si>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</si>
  <si>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</si>
  <si>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</si>
  <si>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</si>
  <si>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</si>
  <si>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</si>
  <si>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</si>
  <si>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</si>
  <si>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</si>
  <si>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</si>
  <si>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</si>
  <si>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</si>
  <si>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</si>
  <si>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</si>
  <si>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</si>
  <si>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</si>
  <si>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</si>
  <si>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</si>
  <si>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</si>
  <si>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</si>
  <si>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</si>
  <si>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</si>
  <si>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</si>
  <si>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</si>
  <si>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</si>
  <si>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</si>
  <si>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</si>
  <si>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</si>
  <si>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</si>
  <si>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</si>
  <si>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</si>
  <si>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</si>
  <si>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</si>
  <si>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</si>
  <si>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</si>
  <si>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</si>
  <si>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</si>
  <si>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</si>
  <si>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</si>
  <si>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</si>
  <si>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</si>
  <si>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</si>
  <si>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</si>
  <si>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</si>
  <si>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</si>
  <si>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</si>
  <si>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</si>
  <si>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</si>
  <si>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</si>
  <si>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</si>
  <si>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</si>
  <si>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</si>
  <si>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</si>
  <si>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</si>
  <si>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</si>
  <si>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</si>
  <si>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</si>
  <si>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</si>
  <si>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</si>
  <si>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</si>
  <si>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</si>
  <si>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</si>
  <si>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</si>
  <si>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</si>
  <si>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</si>
  <si>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</si>
  <si>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</si>
  <si>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</si>
  <si>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</si>
  <si>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</si>
  <si>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</si>
  <si>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</si>
  <si>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</si>
  <si>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</si>
  <si>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</si>
  <si>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</si>
  <si>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</si>
  <si>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</si>
  <si>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</si>
  <si>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</si>
  <si>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</si>
  <si>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</si>
  <si>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</si>
  <si>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</si>
  <si>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</si>
  <si>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</si>
  <si>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</si>
  <si>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</si>
  <si>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</si>
  <si>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</si>
  <si>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</si>
  <si>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</si>
  <si>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</si>
  <si>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</si>
  <si>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</si>
  <si>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</si>
  <si>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</si>
  <si>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</si>
  <si>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</si>
  <si>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</si>
  <si>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</si>
  <si>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</si>
  <si>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</si>
  <si>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</si>
  <si>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</si>
  <si>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</si>
  <si>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</si>
  <si>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</si>
  <si>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</si>
  <si>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</si>
  <si>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</si>
  <si>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</si>
  <si>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</si>
  <si>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</si>
  <si>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</si>
  <si>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</si>
  <si>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</si>
  <si>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</si>
  <si>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</si>
  <si>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</si>
  <si>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</si>
  <si>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</si>
  <si>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</si>
  <si>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</si>
  <si>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</si>
  <si>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</si>
  <si>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</si>
  <si>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</si>
  <si>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</si>
  <si>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</si>
  <si>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</si>
  <si>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</si>
  <si>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</si>
  <si>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</si>
  <si>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</si>
  <si>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</si>
  <si>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</si>
  <si>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</si>
  <si>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</si>
  <si>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</si>
  <si>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</si>
  <si>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</si>
  <si>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</si>
  <si>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</si>
  <si>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</si>
  <si>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</si>
  <si>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</si>
  <si>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</si>
  <si>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</si>
  <si>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</si>
  <si>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</si>
  <si>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</si>
  <si>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</si>
  <si>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</si>
  <si>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</si>
  <si>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</si>
  <si>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</si>
  <si>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</si>
  <si>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</si>
  <si>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</si>
  <si>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</si>
  <si>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</si>
  <si>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</si>
  <si>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</si>
  <si>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</si>
  <si>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</si>
  <si>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</si>
  <si>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</si>
  <si>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</si>
  <si>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</si>
  <si>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</si>
  <si>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</si>
  <si>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</si>
  <si>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</si>
  <si>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</si>
  <si>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</si>
  <si>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</si>
  <si>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</si>
  <si>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</si>
  <si>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</si>
  <si>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</si>
  <si>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</si>
  <si>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</si>
  <si>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</si>
  <si>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</si>
  <si>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</si>
  <si>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</si>
  <si>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</si>
  <si>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</si>
  <si>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</si>
  <si>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</si>
  <si>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</si>
  <si>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</si>
  <si>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</si>
  <si>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</si>
  <si>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</si>
  <si>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</si>
  <si>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</si>
  <si>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</si>
  <si>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</si>
  <si>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</si>
  <si>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</si>
  <si>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</si>
  <si>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</si>
  <si>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</si>
  <si>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</si>
  <si>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</si>
  <si>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</si>
  <si>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</si>
  <si>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</si>
  <si>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</si>
  <si>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</si>
  <si>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</si>
  <si>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</si>
  <si>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</si>
  <si>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</si>
  <si>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</si>
  <si>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</si>
  <si>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</si>
  <si>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</si>
  <si>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</si>
  <si>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</si>
  <si>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</si>
  <si>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</si>
  <si>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</si>
  <si>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</si>
  <si>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</si>
  <si>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</si>
  <si>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</si>
  <si>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</si>
  <si>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</si>
  <si>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</si>
  <si>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</si>
  <si>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</si>
  <si>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</si>
  <si>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</si>
  <si>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</si>
  <si>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</si>
  <si>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</si>
  <si>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</si>
  <si>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</si>
  <si>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</si>
  <si>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</si>
  <si>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</si>
  <si>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</si>
  <si>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</si>
  <si>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</si>
  <si>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</si>
  <si>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</si>
  <si>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</si>
  <si>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</si>
  <si>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</si>
  <si>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</si>
  <si>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</si>
  <si>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</si>
  <si>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</si>
  <si>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</si>
  <si>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</si>
  <si>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</si>
  <si>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</si>
  <si>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</si>
  <si>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</si>
  <si>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</si>
  <si>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</si>
  <si>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</si>
  <si>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</si>
  <si>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</si>
  <si>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</si>
  <si>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</si>
  <si>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</si>
  <si>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</si>
  <si>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</si>
  <si>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</si>
  <si>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</si>
  <si>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</si>
  <si>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</si>
  <si>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</si>
  <si>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</si>
  <si>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</si>
  <si>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</si>
  <si>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</si>
  <si>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</si>
  <si>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</si>
  <si>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</si>
  <si>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</si>
  <si>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</si>
  <si>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</si>
  <si>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</si>
  <si>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</si>
  <si>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</si>
  <si>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</si>
  <si>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</si>
  <si>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</si>
  <si>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</si>
  <si>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</si>
  <si>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</si>
  <si>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</si>
  <si>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</si>
  <si>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</si>
  <si>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</si>
  <si>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</si>
  <si>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</si>
  <si>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</si>
  <si>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</si>
  <si>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</si>
  <si>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</si>
  <si>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</si>
  <si>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</si>
  <si>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</si>
  <si>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</si>
  <si>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</si>
  <si>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</si>
  <si>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</si>
  <si>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</si>
  <si>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</si>
  <si>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</si>
  <si>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</si>
  <si>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</si>
  <si>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</si>
  <si>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</si>
  <si>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</si>
  <si>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</si>
  <si>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</si>
  <si>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</si>
  <si>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</si>
  <si>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</si>
  <si>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</si>
  <si>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</si>
  <si>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</si>
  <si>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</si>
  <si>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</si>
  <si>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</si>
  <si>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</si>
  <si>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</si>
  <si>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</si>
  <si>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</si>
  <si>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</si>
  <si>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</si>
  <si>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</si>
  <si>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</si>
  <si>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</si>
  <si>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</si>
  <si>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</si>
  <si>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</si>
  <si>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</si>
  <si>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</si>
  <si>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</si>
  <si>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</si>
  <si>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</si>
  <si>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</si>
  <si>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</si>
  <si>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</si>
  <si>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</si>
  <si>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</si>
  <si>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</si>
  <si>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</si>
  <si>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</si>
  <si>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</si>
  <si>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</si>
  <si>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</si>
  <si>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</si>
  <si>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</si>
  <si>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</si>
  <si>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</si>
  <si>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</si>
  <si>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</si>
  <si>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</si>
  <si>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</si>
  <si>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</si>
  <si>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</si>
  <si>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</si>
  <si>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</si>
  <si>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</si>
  <si>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</si>
  <si>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</si>
  <si>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</si>
  <si>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</si>
  <si>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</si>
  <si>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</si>
  <si>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</si>
  <si>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</si>
  <si>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</si>
  <si>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</si>
  <si>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</si>
  <si>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</si>
  <si>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</si>
  <si>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</si>
  <si>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</si>
  <si>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</si>
  <si>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</si>
  <si>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</si>
  <si>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</si>
  <si>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</si>
  <si>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</si>
  <si>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</si>
  <si>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</si>
  <si>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</si>
  <si>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</si>
  <si>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</si>
  <si>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</si>
  <si>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</si>
  <si>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</si>
  <si>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</si>
  <si>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</si>
  <si>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</si>
  <si>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</si>
  <si>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</si>
  <si>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</si>
  <si>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</si>
  <si>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</si>
  <si>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</si>
  <si>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</si>
  <si>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</si>
  <si>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</si>
  <si>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</si>
  <si>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</si>
  <si>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</si>
  <si>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</si>
  <si>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</si>
  <si>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</si>
  <si>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</si>
  <si>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</si>
  <si>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</si>
  <si>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</si>
  <si>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</si>
  <si>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</si>
  <si>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</si>
  <si>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</si>
  <si>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</si>
  <si>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</si>
  <si>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</si>
  <si>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</si>
  <si>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</si>
  <si>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</si>
  <si>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</si>
  <si>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</si>
  <si>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</si>
  <si>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</si>
  <si>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</si>
  <si>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</si>
  <si>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</si>
  <si>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</si>
  <si>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</si>
  <si>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</si>
  <si>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</si>
  <si>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</si>
  <si>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</si>
  <si>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</si>
  <si>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</si>
  <si>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</si>
  <si>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</si>
  <si>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</si>
  <si>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</si>
  <si>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</si>
  <si>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</si>
  <si>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</si>
  <si>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</si>
  <si>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</si>
  <si>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</si>
  <si>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</si>
  <si>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</si>
  <si>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</si>
  <si>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</si>
  <si>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</si>
  <si>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</si>
  <si>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</si>
  <si>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</si>
  <si>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</si>
  <si>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</si>
  <si>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</si>
  <si>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</si>
  <si>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</si>
  <si>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</si>
  <si>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</si>
  <si>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</si>
  <si>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</si>
  <si>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</si>
  <si>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</si>
  <si>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</si>
  <si>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</si>
  <si>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</si>
  <si>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</si>
  <si>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</si>
  <si>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</si>
  <si>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</si>
  <si>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</si>
  <si>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</si>
  <si>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</si>
  <si>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</si>
  <si>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</si>
  <si>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</si>
  <si>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</si>
  <si>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</si>
  <si>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</si>
  <si>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</si>
  <si>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</si>
  <si>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</si>
  <si>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</si>
  <si>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</si>
  <si>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</si>
  <si>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</si>
  <si>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</si>
  <si>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</si>
  <si>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</si>
  <si>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</si>
  <si>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</si>
  <si>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</si>
  <si>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</si>
  <si>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</si>
  <si>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</si>
  <si>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</si>
  <si>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</si>
  <si>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</si>
  <si>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</si>
  <si>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</si>
  <si>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</si>
  <si>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</si>
  <si>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</si>
  <si>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</si>
  <si>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</si>
  <si>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</si>
  <si>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</si>
  <si>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</si>
  <si>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</si>
  <si>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</si>
  <si>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</si>
  <si>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</si>
  <si>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</si>
  <si>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</si>
  <si>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</si>
  <si>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</si>
  <si>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</si>
  <si>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</si>
  <si>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</si>
  <si>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</si>
  <si>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</si>
  <si>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</si>
  <si>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</si>
  <si>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</si>
  <si>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</si>
  <si>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</si>
  <si>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</si>
  <si>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</si>
  <si>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</si>
  <si>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</si>
  <si>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</si>
  <si>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</si>
  <si>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</si>
  <si>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</si>
  <si>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</si>
  <si>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</si>
  <si>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</si>
  <si>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</si>
  <si>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</si>
  <si>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</si>
  <si>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</si>
  <si>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</si>
  <si>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</si>
  <si>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</si>
  <si>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</si>
  <si>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</si>
  <si>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</si>
  <si>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</si>
  <si>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</si>
  <si>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</si>
  <si>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</si>
  <si>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</si>
  <si>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</si>
  <si>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</si>
  <si>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</si>
  <si>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</si>
  <si>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</si>
  <si>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</si>
  <si>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</si>
  <si>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</si>
  <si>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</si>
  <si>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</si>
  <si>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</si>
  <si>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</si>
  <si>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</si>
  <si>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</si>
  <si>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</si>
  <si>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</si>
  <si>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</si>
  <si>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</si>
  <si>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</si>
  <si>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</si>
  <si>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</si>
  <si>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</si>
  <si>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</si>
  <si>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</si>
  <si>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</si>
  <si>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</si>
  <si>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</si>
  <si>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</si>
  <si>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</si>
  <si>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</si>
  <si>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</si>
  <si>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</si>
  <si>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</si>
  <si>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</si>
  <si>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</si>
  <si>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</si>
  <si>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</si>
  <si>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</si>
  <si>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</si>
  <si>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</si>
  <si>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</si>
  <si>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</si>
  <si>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</si>
  <si>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</si>
  <si>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</si>
  <si>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</si>
  <si>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</si>
  <si>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</si>
  <si>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</si>
  <si>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</si>
  <si>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</si>
  <si>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</si>
  <si>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</si>
  <si>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</si>
  <si>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</si>
  <si>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</si>
  <si>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</si>
  <si>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</si>
  <si>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</si>
  <si>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</si>
  <si>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</si>
  <si>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</si>
  <si>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</si>
  <si>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</si>
  <si>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</si>
  <si>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</si>
  <si>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</si>
  <si>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</si>
  <si>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</si>
  <si>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</si>
  <si>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</si>
  <si>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</si>
  <si>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</si>
  <si>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</si>
  <si>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</si>
  <si>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</si>
  <si>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</si>
  <si>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</si>
  <si>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</si>
  <si>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</si>
  <si>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</si>
  <si>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</si>
  <si>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</si>
  <si>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</si>
  <si>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</si>
  <si>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</si>
  <si>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</si>
  <si>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</si>
  <si>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</si>
  <si>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</si>
  <si>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</si>
  <si>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</si>
  <si>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</si>
  <si>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</si>
  <si>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</si>
  <si>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</si>
  <si>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</si>
  <si>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</si>
  <si>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</si>
  <si>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</si>
  <si>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</si>
  <si>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</si>
  <si>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</si>
  <si>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</si>
  <si>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</si>
  <si>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</si>
  <si>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</si>
  <si>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</si>
  <si>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</si>
  <si>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</si>
  <si>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</si>
  <si>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</si>
  <si>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</si>
  <si>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</si>
  <si>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</si>
  <si>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</si>
  <si>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</si>
  <si>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</si>
  <si>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</si>
  <si>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</si>
  <si>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</si>
  <si>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</si>
  <si>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</si>
  <si>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</si>
  <si>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</si>
  <si>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</si>
  <si>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</si>
  <si>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</si>
  <si>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</si>
  <si>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</si>
  <si>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</si>
  <si>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</si>
  <si>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</si>
  <si>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</si>
  <si>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</si>
  <si>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</si>
  <si>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</si>
  <si>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</si>
  <si>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</si>
  <si>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</si>
  <si>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</si>
  <si>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</si>
  <si>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</si>
  <si>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</si>
  <si>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</si>
  <si>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</si>
  <si>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</si>
  <si>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</si>
  <si>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</si>
  <si>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</si>
  <si>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</si>
  <si>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</si>
  <si>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</si>
  <si>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</si>
  <si>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</si>
  <si>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</si>
  <si>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</si>
  <si>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</si>
  <si>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</si>
  <si>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</si>
  <si>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</si>
  <si>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</si>
  <si>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</si>
  <si>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</si>
  <si>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</si>
  <si>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</si>
  <si>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</si>
  <si>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</si>
  <si>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</si>
  <si>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</si>
  <si>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</si>
  <si>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</si>
  <si>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</si>
  <si>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</si>
  <si>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</si>
  <si>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</si>
  <si>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</si>
  <si>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</si>
  <si>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</si>
  <si>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</si>
  <si>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</si>
  <si>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</si>
  <si>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</si>
  <si>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</si>
  <si>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</si>
  <si>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</si>
  <si>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</si>
  <si>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</si>
  <si>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</si>
  <si>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</si>
  <si>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</si>
  <si>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</si>
  <si>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</si>
  <si>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</si>
  <si>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</si>
  <si>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</si>
  <si>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</si>
  <si>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</si>
  <si>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</si>
  <si>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</si>
  <si>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</si>
  <si>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</si>
  <si>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</si>
  <si>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</si>
  <si>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</si>
  <si>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</si>
  <si>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</si>
  <si>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</si>
  <si>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</si>
  <si>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</si>
  <si>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</si>
  <si>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</si>
  <si>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</si>
  <si>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</si>
  <si>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</si>
  <si>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</si>
  <si>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</si>
  <si>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</si>
  <si>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</si>
  <si>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</si>
  <si>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</si>
  <si>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</si>
  <si>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</si>
  <si>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</si>
  <si>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</si>
  <si>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</si>
  <si>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</si>
  <si>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</si>
  <si>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</si>
  <si>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</si>
  <si>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</si>
  <si>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</si>
  <si>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</si>
  <si>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</si>
  <si>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</si>
  <si>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</si>
  <si>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</si>
  <si>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</si>
  <si>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</si>
  <si>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</si>
  <si>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</si>
  <si>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</si>
  <si>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</si>
  <si>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</si>
  <si>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</si>
  <si>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</si>
  <si>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</si>
  <si>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</si>
  <si>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</si>
  <si>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</si>
  <si>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</si>
  <si>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</si>
  <si>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</si>
  <si>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</si>
  <si>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</si>
  <si>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</si>
  <si>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</si>
  <si>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</si>
  <si>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</si>
  <si>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</si>
  <si>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</si>
  <si>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</si>
  <si>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</si>
  <si>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</si>
  <si>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</si>
  <si>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</si>
  <si>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</si>
  <si>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</si>
  <si>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</si>
  <si>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</si>
  <si>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</si>
  <si>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</si>
  <si>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</si>
  <si>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</si>
  <si>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</si>
  <si>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</si>
  <si>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</si>
  <si>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</si>
  <si>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</si>
  <si>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</si>
  <si>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</si>
  <si>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</si>
  <si>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</si>
  <si>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</si>
  <si>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</si>
  <si>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</si>
  <si>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</si>
  <si>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</si>
  <si>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</si>
  <si>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</si>
  <si>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</si>
  <si>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</si>
  <si>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</si>
  <si>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</si>
  <si>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</si>
  <si>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</si>
  <si>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</si>
  <si>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</si>
  <si>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</si>
  <si>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</si>
  <si>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</si>
  <si>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</si>
  <si>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</si>
  <si>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</si>
  <si>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</si>
  <si>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</si>
  <si>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</si>
  <si>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</si>
  <si>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</si>
  <si>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</si>
  <si>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</si>
  <si>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</si>
  <si>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</si>
  <si>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</si>
  <si>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</si>
  <si>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</si>
  <si>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</si>
  <si>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</si>
  <si>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</si>
  <si>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</si>
  <si>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</si>
  <si>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</si>
  <si>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</si>
  <si>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</si>
  <si>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</si>
  <si>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</si>
  <si>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</si>
  <si>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</si>
  <si>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</si>
  <si>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</si>
  <si>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</si>
  <si>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</si>
  <si>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</si>
  <si>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</si>
  <si>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</si>
  <si>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</si>
  <si>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</si>
  <si>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</si>
  <si>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</si>
  <si>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</si>
  <si>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</si>
  <si>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</si>
  <si>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</si>
  <si>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</si>
  <si>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</si>
  <si>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</si>
  <si>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</si>
  <si>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</si>
  <si>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</si>
  <si>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</si>
  <si>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</si>
  <si>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</si>
  <si>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</si>
  <si>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</si>
  <si>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</si>
  <si>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</si>
  <si>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</si>
  <si>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</si>
  <si>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</si>
  <si>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</si>
  <si>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</si>
  <si>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</si>
  <si>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</si>
  <si>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</si>
  <si>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</si>
  <si>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</si>
  <si>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</si>
  <si>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</si>
  <si>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</si>
  <si>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</si>
  <si>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</si>
  <si>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</si>
  <si>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</si>
  <si>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</si>
  <si>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</si>
  <si>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</si>
  <si>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</si>
  <si>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</si>
  <si>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</si>
  <si>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</si>
  <si>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</si>
  <si>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</si>
  <si>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</si>
  <si>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</si>
  <si>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</si>
  <si>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</si>
  <si>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</si>
  <si>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</si>
  <si>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</si>
  <si>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</si>
  <si>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</si>
  <si>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</si>
  <si>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</si>
  <si>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</si>
  <si>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</si>
  <si>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</si>
  <si>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</si>
  <si>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</si>
  <si>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</si>
  <si>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</si>
  <si>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</si>
  <si>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</si>
  <si>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</si>
  <si>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</si>
  <si>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</si>
  <si>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</si>
  <si>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</si>
  <si>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</si>
  <si>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</si>
  <si>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</si>
  <si>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</si>
  <si>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</si>
  <si>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</si>
  <si>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</si>
  <si>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</si>
  <si>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</si>
  <si>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</si>
  <si>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</si>
  <si>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</si>
  <si>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</si>
  <si>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</si>
  <si>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</si>
  <si>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</si>
  <si>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</si>
  <si>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</si>
  <si>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</si>
  <si>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</si>
  <si>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</si>
  <si>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</si>
  <si>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</si>
  <si>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</si>
  <si>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</si>
  <si>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</si>
  <si>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</si>
  <si>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</si>
  <si>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</si>
  <si>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</si>
  <si>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</si>
  <si>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</si>
  <si>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</si>
  <si>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</si>
  <si>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</si>
  <si>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</si>
  <si>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</si>
  <si>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</si>
  <si>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</si>
  <si>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</si>
  <si>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</si>
  <si>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</si>
  <si>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</si>
  <si>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</si>
  <si>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</si>
  <si>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</si>
  <si>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</si>
  <si>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</si>
  <si>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</si>
  <si>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</si>
  <si>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</si>
  <si>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</si>
  <si>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</si>
  <si>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</si>
  <si>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</si>
  <si>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</si>
  <si>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</si>
  <si>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</si>
  <si>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</si>
  <si>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</si>
  <si>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</si>
  <si>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</si>
  <si>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</si>
  <si>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</si>
  <si>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</si>
  <si>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</si>
  <si>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</si>
  <si>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</si>
  <si>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</si>
  <si>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</si>
  <si>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</si>
  <si>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</si>
  <si>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</si>
  <si>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</si>
  <si>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</si>
  <si>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</si>
  <si>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</si>
  <si>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</si>
  <si>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</si>
  <si>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</si>
  <si>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</si>
  <si>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</si>
  <si>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</si>
  <si>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</si>
  <si>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</si>
  <si>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</si>
  <si>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</si>
  <si>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</si>
  <si>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</si>
  <si>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</si>
  <si>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</si>
  <si>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</si>
  <si>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</si>
  <si>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</si>
  <si>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</si>
  <si>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</si>
  <si>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</si>
  <si>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</si>
  <si>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</si>
  <si>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</si>
  <si>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</si>
  <si>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</si>
  <si>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</si>
  <si>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</si>
  <si>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</si>
  <si>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</si>
  <si>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</si>
  <si>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</si>
  <si>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</si>
  <si>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</si>
  <si>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</si>
  <si>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</si>
  <si>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</si>
  <si>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</si>
  <si>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</si>
  <si>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</si>
  <si>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</si>
  <si>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</si>
  <si>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</si>
  <si>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</si>
  <si>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</si>
  <si>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</si>
  <si>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</si>
  <si>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</si>
  <si>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</si>
  <si>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</si>
  <si>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</si>
  <si>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</si>
  <si>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</si>
  <si>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</si>
  <si>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</si>
  <si>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</si>
  <si>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</si>
  <si>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</si>
  <si>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</si>
  <si>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</si>
  <si>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</si>
  <si>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</si>
  <si>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</si>
  <si>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</si>
  <si>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</si>
  <si>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</si>
  <si>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</si>
  <si>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</si>
  <si>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</si>
  <si>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</si>
  <si>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</si>
  <si>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</si>
  <si>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</si>
  <si>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</si>
  <si>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</si>
  <si>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</si>
  <si>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</si>
  <si>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</si>
  <si>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</si>
  <si>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</si>
  <si>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</si>
  <si>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</si>
  <si>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</si>
  <si>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</si>
  <si>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</si>
  <si>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</si>
  <si>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</si>
  <si>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</si>
  <si>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</si>
  <si>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</si>
  <si>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</si>
  <si>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</si>
  <si>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</si>
  <si>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</si>
  <si>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</si>
  <si>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</si>
  <si>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</si>
  <si>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</si>
  <si>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</si>
  <si>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</si>
  <si>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</si>
  <si>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</si>
  <si>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</si>
  <si>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</si>
  <si>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</si>
  <si>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</si>
  <si>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</si>
  <si>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</si>
  <si>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</si>
  <si>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</si>
  <si>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</si>
  <si>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</si>
  <si>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</si>
  <si>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</si>
  <si>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</si>
  <si>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</si>
  <si>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</si>
  <si>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</si>
  <si>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</si>
  <si>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</si>
  <si>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</si>
  <si>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</si>
  <si>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</si>
  <si>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</si>
  <si>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</si>
  <si>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</si>
  <si>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</si>
  <si>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</si>
  <si>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</si>
  <si>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</si>
  <si>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</si>
  <si>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</si>
  <si>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</si>
  <si>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</si>
  <si>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</si>
  <si>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</si>
  <si>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</si>
  <si>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</si>
  <si>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</si>
  <si>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</si>
  <si>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</si>
  <si>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</si>
  <si>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</si>
  <si>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</si>
  <si>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</si>
  <si>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</si>
  <si>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</si>
  <si>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</si>
  <si>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</si>
  <si>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</si>
  <si>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</si>
  <si>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</si>
  <si>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</si>
  <si>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</si>
  <si>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</si>
  <si>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</si>
  <si>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</si>
  <si>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</si>
  <si>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</si>
  <si>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</si>
  <si>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</si>
  <si>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</si>
  <si>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</si>
  <si>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</si>
  <si>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</si>
  <si>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</si>
  <si>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</si>
  <si>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</si>
  <si>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</si>
  <si>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</si>
  <si>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</si>
  <si>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</si>
  <si>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</si>
  <si>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</si>
  <si>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</si>
  <si>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</si>
  <si>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</si>
  <si>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</si>
  <si>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</si>
  <si>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</si>
  <si>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</si>
  <si>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</si>
  <si>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</si>
  <si>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</si>
  <si>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</si>
  <si>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</si>
  <si>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</si>
  <si>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</si>
  <si>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</si>
  <si>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</si>
  <si>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</si>
  <si>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</si>
  <si>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</si>
  <si>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</si>
  <si>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</si>
  <si>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</si>
  <si>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</si>
  <si>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</si>
  <si>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</si>
  <si>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</si>
  <si>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</si>
  <si>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</si>
  <si>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</si>
  <si>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</si>
  <si>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</si>
  <si>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</si>
  <si>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</si>
  <si>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</si>
  <si>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</si>
  <si>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</si>
  <si>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</si>
  <si>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</si>
  <si>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</si>
  <si>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</si>
  <si>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</si>
  <si>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</si>
  <si>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</si>
  <si>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</si>
  <si>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</si>
  <si>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</si>
  <si>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</si>
  <si>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</si>
  <si>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</si>
  <si>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</si>
  <si>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</si>
  <si>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</si>
  <si>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</si>
  <si>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</si>
  <si>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</si>
  <si>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</si>
  <si>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</si>
  <si>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</si>
  <si>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</si>
  <si>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</si>
  <si>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</si>
  <si>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</si>
  <si>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</si>
  <si>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</si>
  <si>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</si>
  <si>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</si>
  <si>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</si>
  <si>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</si>
  <si>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</si>
  <si>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</si>
  <si>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</si>
  <si>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</si>
  <si>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</si>
  <si>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</si>
  <si>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</si>
  <si>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</si>
  <si>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</si>
  <si>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</si>
  <si>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</si>
  <si>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</si>
  <si>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</si>
  <si>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</si>
  <si>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</si>
  <si>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</si>
  <si>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</si>
  <si>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</si>
  <si>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</si>
  <si>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</si>
  <si>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</si>
  <si>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</si>
  <si>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</si>
  <si>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</si>
  <si>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</si>
  <si>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</si>
  <si>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</si>
  <si>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</si>
  <si>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</si>
  <si>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</si>
  <si>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</si>
  <si>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</si>
  <si>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</si>
  <si>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</si>
  <si>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</si>
  <si>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</si>
  <si>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</si>
  <si>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</si>
  <si>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</si>
  <si>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</si>
  <si>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</si>
  <si>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</si>
  <si>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</si>
  <si>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</si>
  <si>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</si>
  <si>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</si>
  <si>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</si>
  <si>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</si>
  <si>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</si>
  <si>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</si>
  <si>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</si>
  <si>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</si>
  <si>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</si>
  <si>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</si>
  <si>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</si>
  <si>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</si>
  <si>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</si>
  <si>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</si>
  <si>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</si>
  <si>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</si>
  <si>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</si>
  <si>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</si>
  <si>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</si>
  <si>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</si>
  <si>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</si>
  <si>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</si>
  <si>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</si>
  <si>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</si>
  <si>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</si>
  <si>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</si>
  <si>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</si>
  <si>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</si>
  <si>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</si>
  <si>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</si>
  <si>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</si>
  <si>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</si>
  <si>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</si>
  <si>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</si>
  <si>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</si>
  <si>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</si>
  <si>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</si>
  <si>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</si>
  <si>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</si>
  <si>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</si>
  <si>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</si>
  <si>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</si>
  <si>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</si>
  <si>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</si>
  <si>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</si>
  <si>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</si>
  <si>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</si>
  <si>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</si>
  <si>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</si>
  <si>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</si>
  <si>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</si>
  <si>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</si>
  <si>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</si>
  <si>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</si>
  <si>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</si>
  <si>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</si>
  <si>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</si>
  <si>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</si>
  <si>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</si>
  <si>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</si>
  <si>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</si>
  <si>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</si>
  <si>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</si>
  <si>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</si>
  <si>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</si>
  <si>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</si>
  <si>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</si>
  <si>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</si>
  <si>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</si>
  <si>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</si>
  <si>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</si>
  <si>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</si>
  <si>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</si>
  <si>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</si>
  <si>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</si>
  <si>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</si>
  <si>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</si>
  <si>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</si>
  <si>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</si>
  <si>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</si>
  <si>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</si>
  <si>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</si>
  <si>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</si>
  <si>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</si>
  <si>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</si>
  <si>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</si>
  <si>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</si>
  <si>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</si>
  <si>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</si>
  <si>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</si>
  <si>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</si>
  <si>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</si>
  <si>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</si>
  <si>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</si>
  <si>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</si>
  <si>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</si>
  <si>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</si>
  <si>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</si>
  <si>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</si>
  <si>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</si>
  <si>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</si>
  <si>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</si>
  <si>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</si>
  <si>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</si>
  <si>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</si>
  <si>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</si>
  <si>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</si>
  <si>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</si>
  <si>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</si>
  <si>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</si>
  <si>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</si>
  <si>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</si>
  <si>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</si>
  <si>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</si>
  <si>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</si>
  <si>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</si>
  <si>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</si>
  <si>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</si>
  <si>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</si>
  <si>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</si>
  <si>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</si>
  <si>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</si>
  <si>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</si>
  <si>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</si>
  <si>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</si>
  <si>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</si>
  <si>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</si>
  <si>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</si>
  <si>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</si>
  <si>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</si>
  <si>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</si>
  <si>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</si>
  <si>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</si>
  <si>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</si>
  <si>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</si>
  <si>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</si>
  <si>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</si>
  <si>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</si>
  <si>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</si>
  <si>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</si>
  <si>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</si>
  <si>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</si>
  <si>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</si>
  <si>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</si>
  <si>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</si>
  <si>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</si>
  <si>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</si>
  <si>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</si>
  <si>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</si>
  <si>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</si>
  <si>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</si>
  <si>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</si>
  <si>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</si>
  <si>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</si>
  <si>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</si>
  <si>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</si>
  <si>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</si>
  <si>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</si>
  <si>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</si>
  <si>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</si>
  <si>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</si>
  <si>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</si>
  <si>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</si>
  <si>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</si>
  <si>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</si>
  <si>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</si>
  <si>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</si>
  <si>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</si>
  <si>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</si>
  <si>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</si>
  <si>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</si>
  <si>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</si>
  <si>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</si>
  <si>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</si>
  <si>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</si>
  <si>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</si>
  <si>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</si>
  <si>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</si>
  <si>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</si>
  <si>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</si>
  <si>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</si>
  <si>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</si>
  <si>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</si>
  <si>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</si>
  <si>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</si>
  <si>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</si>
  <si>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</si>
  <si>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</si>
  <si>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</si>
  <si>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</si>
  <si>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</si>
  <si>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</si>
  <si>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</si>
  <si>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</si>
  <si>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</si>
  <si>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</si>
  <si>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</si>
  <si>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</si>
  <si>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</si>
  <si>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</si>
  <si>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</si>
  <si>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</si>
  <si>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</si>
  <si>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</si>
  <si>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</si>
  <si>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</si>
  <si>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</si>
  <si>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</si>
  <si>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</si>
  <si>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</si>
  <si>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</si>
  <si>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</si>
  <si>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</si>
  <si>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</si>
  <si>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</si>
  <si>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</si>
  <si>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</si>
  <si>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</si>
  <si>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</si>
  <si>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</si>
  <si>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</si>
  <si>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</si>
  <si>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</si>
  <si>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</si>
  <si>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</si>
  <si>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</si>
  <si>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</si>
  <si>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</si>
  <si>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</si>
  <si>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</si>
  <si>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</si>
  <si>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</si>
  <si>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</si>
  <si>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</si>
  <si>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</si>
  <si>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</si>
  <si>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</si>
  <si>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</si>
  <si>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</si>
  <si>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</si>
  <si>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</si>
  <si>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</si>
  <si>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</si>
  <si>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</si>
  <si>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</si>
  <si>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</si>
  <si>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</si>
  <si>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</si>
  <si>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</si>
  <si>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</si>
  <si>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</si>
  <si>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</si>
  <si>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</si>
  <si>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</si>
  <si>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</si>
  <si>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</si>
  <si>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</si>
  <si>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</si>
  <si>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</si>
  <si>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</si>
  <si>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</si>
  <si>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</si>
  <si>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</si>
  <si>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</si>
  <si>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</si>
  <si>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</si>
  <si>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</si>
  <si>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</si>
  <si>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</si>
  <si>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</si>
  <si>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</si>
  <si>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</si>
  <si>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</si>
  <si>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</si>
  <si>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</si>
  <si>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</si>
  <si>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</si>
  <si>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</si>
  <si>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</si>
  <si>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</si>
  <si>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</si>
  <si>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</si>
  <si>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</si>
  <si>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</si>
  <si>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</si>
  <si>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</si>
  <si>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</si>
  <si>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</si>
  <si>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</si>
  <si>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</si>
  <si>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</si>
  <si>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</si>
  <si>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</si>
  <si>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</si>
  <si>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</si>
  <si>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</si>
  <si>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</si>
  <si>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</si>
  <si>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</si>
  <si>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</si>
  <si>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</si>
  <si>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</si>
  <si>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</si>
  <si>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</si>
  <si>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</si>
  <si>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</si>
  <si>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</si>
  <si>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</si>
  <si>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</si>
  <si>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</si>
  <si>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</si>
  <si>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</si>
  <si>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</si>
  <si>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</si>
  <si>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</si>
  <si>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</si>
  <si>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</si>
  <si>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</si>
  <si>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</si>
  <si>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</si>
  <si>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</si>
  <si>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</si>
  <si>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</si>
  <si>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</si>
  <si>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</si>
  <si>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</si>
  <si>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</si>
  <si>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</si>
  <si>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</si>
  <si>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</si>
  <si>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</si>
  <si>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</si>
  <si>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</si>
  <si>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</si>
  <si>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</si>
  <si>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</si>
  <si>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</si>
  <si>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</si>
  <si>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</si>
  <si>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</si>
  <si>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</si>
  <si>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</si>
  <si>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</si>
  <si>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</si>
  <si>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</si>
  <si>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</si>
  <si>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</si>
  <si>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</si>
  <si>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</si>
  <si>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</si>
  <si>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</si>
  <si>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</si>
  <si>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</si>
  <si>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</si>
  <si>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</si>
  <si>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</si>
  <si>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</si>
  <si>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</si>
  <si>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</si>
  <si>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</si>
  <si>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</si>
  <si>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</si>
  <si>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</si>
  <si>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</si>
  <si>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</si>
  <si>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</si>
  <si>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</si>
  <si>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</si>
  <si>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</si>
  <si>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</si>
  <si>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</si>
  <si>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</si>
  <si>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</si>
  <si>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</si>
  <si>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</si>
  <si>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</si>
  <si>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</si>
  <si>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</si>
  <si>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</si>
  <si>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</si>
  <si>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</si>
  <si>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</si>
  <si>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</si>
  <si>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</si>
  <si>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</si>
  <si>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</si>
  <si>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</si>
  <si>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</si>
  <si>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</si>
  <si>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</si>
  <si>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</si>
  <si>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</si>
  <si>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</si>
  <si>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</si>
  <si>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</si>
  <si>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</si>
  <si>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</si>
  <si>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</si>
  <si>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</si>
  <si>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</si>
  <si>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</si>
  <si>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</si>
  <si>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</si>
  <si>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</si>
  <si>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</si>
  <si>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</si>
  <si>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</si>
  <si>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</si>
  <si>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</si>
  <si>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</si>
  <si>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</si>
  <si>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</si>
  <si>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</si>
  <si>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</si>
  <si>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</si>
  <si>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</si>
  <si>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</si>
  <si>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</si>
  <si>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</si>
  <si>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</si>
  <si>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</si>
  <si>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</si>
  <si>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</si>
  <si>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</si>
  <si>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</si>
  <si>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</si>
  <si>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</si>
  <si>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</si>
  <si>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</si>
  <si>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</si>
  <si>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</si>
  <si>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</si>
  <si>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</si>
  <si>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</si>
  <si>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</si>
  <si>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</si>
  <si>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</si>
  <si>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</si>
  <si>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</si>
  <si>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</si>
  <si>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</si>
  <si>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</si>
  <si>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</si>
  <si>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</si>
  <si>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</si>
  <si>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</si>
  <si>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</si>
  <si>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</si>
  <si>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</si>
  <si>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</si>
  <si>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</si>
  <si>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</si>
  <si>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</si>
  <si>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</si>
  <si>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</si>
  <si>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</si>
  <si>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</si>
  <si>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</si>
  <si>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</si>
  <si>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</si>
  <si>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</si>
  <si>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</si>
  <si>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</si>
  <si>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</si>
  <si>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</si>
  <si>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</si>
  <si>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</si>
  <si>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</si>
  <si>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</si>
  <si>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</si>
  <si>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</si>
  <si>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</si>
  <si>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</si>
  <si>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</si>
  <si>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</si>
  <si>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</si>
  <si>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</si>
  <si>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</si>
  <si>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</si>
  <si>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</si>
  <si>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</si>
  <si>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</si>
  <si>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</si>
  <si>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</si>
  <si>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</si>
  <si>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</si>
  <si>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</si>
  <si>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</si>
  <si>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</si>
  <si>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</si>
  <si>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</si>
  <si>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</si>
  <si>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</si>
  <si>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</si>
  <si>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</si>
  <si>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</si>
  <si>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</si>
  <si>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</si>
  <si>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</si>
  <si>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</si>
  <si>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</si>
  <si>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</si>
  <si>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</si>
  <si>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</si>
  <si>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</si>
  <si>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</si>
  <si>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</si>
  <si>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</si>
  <si>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</si>
  <si>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</si>
  <si>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</si>
  <si>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</si>
  <si>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</si>
  <si>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</si>
  <si>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</si>
  <si>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</si>
  <si>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</si>
  <si>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</si>
  <si>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</si>
  <si>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</si>
  <si>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</si>
  <si>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</si>
  <si>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</si>
  <si>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</si>
  <si>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</si>
  <si>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</si>
  <si>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</si>
  <si>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</si>
  <si>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</si>
  <si>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</si>
  <si>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</si>
  <si>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</si>
  <si>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</si>
  <si>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</si>
  <si>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</si>
  <si>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</si>
  <si>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</si>
  <si>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</si>
  <si>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</si>
  <si>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</si>
  <si>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</si>
  <si>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</si>
  <si>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</si>
  <si>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</si>
  <si>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</si>
  <si>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</si>
  <si>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</si>
  <si>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</si>
  <si>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</si>
  <si>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</si>
  <si>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</si>
  <si>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</si>
  <si>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</si>
  <si>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</si>
  <si>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</si>
  <si>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</si>
  <si>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</si>
  <si>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</si>
  <si>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</si>
  <si>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</si>
  <si>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</si>
  <si>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</si>
  <si>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</si>
  <si>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</si>
  <si>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</si>
  <si>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</si>
  <si>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</si>
  <si>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</si>
  <si>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</si>
  <si>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</si>
  <si>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</si>
  <si>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</si>
  <si>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</si>
  <si>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</si>
  <si>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</si>
  <si>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</si>
  <si>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</si>
  <si>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</si>
  <si>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</si>
  <si>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</si>
  <si>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</si>
  <si>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</si>
  <si>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</si>
  <si>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</si>
  <si>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</si>
  <si>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</si>
  <si>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</si>
  <si>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</si>
  <si>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</si>
  <si>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</si>
  <si>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</si>
  <si>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</si>
  <si>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</si>
  <si>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</si>
  <si>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</si>
  <si>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</si>
  <si>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</si>
  <si>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</si>
  <si>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</si>
  <si>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</si>
  <si>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</si>
  <si>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</si>
  <si>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</si>
  <si>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</si>
  <si>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</si>
  <si>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</si>
  <si>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</si>
  <si>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</si>
  <si>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</si>
  <si>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</si>
  <si>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</si>
  <si>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</si>
  <si>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</si>
  <si>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</si>
  <si>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</si>
  <si>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</si>
  <si>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</si>
  <si>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</si>
  <si>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</si>
  <si>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</si>
  <si>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</si>
  <si>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</si>
  <si>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</si>
  <si>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</si>
  <si>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</si>
  <si>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</si>
  <si>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</si>
  <si>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</si>
  <si>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</si>
  <si>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</si>
  <si>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</si>
  <si>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</si>
  <si>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</si>
  <si>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</si>
  <si>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</si>
  <si>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</si>
  <si>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</si>
  <si>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</si>
  <si>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</si>
  <si>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</si>
  <si>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</si>
  <si>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</si>
  <si>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</si>
  <si>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</si>
  <si>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</si>
  <si>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</si>
  <si>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</si>
  <si>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</si>
  <si>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</si>
  <si>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</si>
  <si>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</si>
  <si>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</si>
  <si>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</si>
  <si>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</si>
  <si>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</si>
  <si>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</si>
  <si>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</si>
  <si>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</si>
  <si>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</si>
  <si>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</si>
  <si>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</si>
  <si>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</si>
  <si>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</si>
  <si>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</si>
  <si>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</si>
  <si>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</si>
  <si>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</si>
  <si>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</si>
  <si>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</si>
  <si>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</si>
  <si>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</si>
  <si>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</si>
  <si>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</si>
  <si>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</si>
  <si>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</si>
  <si>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</si>
  <si>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</si>
  <si>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</si>
  <si>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</si>
  <si>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</si>
  <si>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</si>
  <si>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</si>
  <si>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</si>
  <si>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</si>
  <si>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</si>
  <si>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</si>
  <si>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</si>
  <si>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</si>
  <si>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</si>
  <si>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</si>
  <si>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</si>
  <si>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</si>
  <si>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</si>
  <si>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</si>
  <si>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</si>
  <si>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</si>
  <si>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</si>
  <si>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</si>
  <si>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</si>
  <si>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</si>
  <si>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</si>
  <si>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</si>
  <si>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</si>
  <si>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</si>
  <si>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</si>
  <si>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</si>
  <si>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</si>
  <si>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</si>
  <si>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</si>
  <si>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</si>
  <si>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</si>
  <si>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</si>
  <si>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</si>
  <si>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</si>
  <si>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</si>
  <si>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</si>
  <si>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</si>
  <si>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</si>
  <si>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</si>
  <si>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</si>
  <si>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</si>
  <si>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</si>
  <si>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</si>
  <si>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</si>
  <si>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</si>
  <si>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</si>
  <si>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</si>
  <si>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</si>
  <si>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</si>
  <si>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</si>
  <si>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</si>
  <si>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</si>
  <si>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</si>
  <si>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</si>
  <si>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</si>
  <si>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</si>
  <si>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</si>
  <si>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</si>
  <si>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</si>
  <si>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</si>
  <si>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</si>
  <si>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</si>
  <si>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</si>
  <si>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</si>
  <si>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</si>
  <si>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</si>
  <si>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</si>
  <si>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</si>
  <si>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</si>
  <si>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</si>
  <si>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</si>
  <si>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</si>
  <si>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</si>
  <si>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</si>
  <si>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</si>
  <si>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</si>
  <si>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</si>
  <si>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</si>
  <si>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</si>
  <si>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</si>
  <si>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</si>
  <si>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</si>
  <si>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</si>
  <si>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</si>
  <si>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</si>
  <si>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</si>
  <si>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</si>
  <si>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</si>
  <si>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</si>
  <si>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</si>
  <si>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</si>
  <si>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</si>
  <si>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</si>
  <si>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</si>
  <si>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</si>
  <si>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</si>
  <si>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</si>
  <si>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</si>
  <si>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</si>
  <si>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</si>
  <si>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</si>
  <si>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</si>
  <si>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</si>
  <si>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</si>
  <si>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</si>
  <si>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</si>
  <si>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</si>
  <si>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</si>
  <si>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</si>
  <si>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</si>
  <si>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</si>
  <si>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</si>
  <si>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</si>
  <si>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</si>
  <si>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</si>
  <si>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</si>
  <si>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</si>
  <si>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</si>
  <si>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</si>
  <si>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</si>
  <si>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</si>
  <si>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</si>
  <si>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</si>
  <si>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</si>
  <si>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</si>
  <si>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</si>
  <si>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</si>
  <si>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</si>
  <si>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</si>
  <si>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</si>
  <si>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</si>
  <si>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</si>
  <si>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</si>
  <si>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</si>
  <si>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</si>
  <si>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</si>
  <si>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</si>
  <si>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</si>
  <si>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</si>
  <si>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</si>
  <si>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</si>
  <si>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</si>
  <si>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</si>
  <si>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</si>
  <si>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</si>
  <si>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</si>
  <si>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</si>
  <si>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</si>
  <si>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</si>
  <si>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</si>
  <si>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</si>
  <si>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</si>
  <si>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</si>
  <si>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</si>
  <si>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</si>
  <si>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</si>
  <si>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</si>
  <si>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</si>
  <si>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</si>
  <si>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</si>
  <si>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</si>
  <si>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</si>
  <si>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</si>
  <si>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</si>
  <si>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</si>
  <si>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</si>
  <si>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</si>
  <si>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</si>
  <si>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</si>
  <si>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</si>
  <si>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</si>
  <si>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</si>
  <si>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</si>
  <si>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</si>
  <si>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</si>
  <si>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</si>
  <si>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</si>
  <si>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</si>
  <si>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</si>
  <si>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</si>
  <si>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</si>
  <si>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</si>
  <si>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</si>
  <si>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</si>
  <si>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</si>
  <si>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</si>
  <si>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</si>
  <si>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</si>
  <si>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</si>
  <si>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</si>
  <si>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</si>
  <si>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</si>
  <si>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</si>
  <si>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</si>
  <si>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</si>
  <si>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</si>
  <si>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</si>
  <si>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</si>
  <si>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</si>
  <si>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</si>
  <si>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</si>
  <si>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</si>
  <si>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</si>
  <si>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</si>
  <si>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</si>
  <si>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</si>
  <si>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</si>
  <si>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</si>
  <si>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</si>
  <si>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</si>
  <si>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</si>
  <si>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</si>
  <si>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</si>
  <si>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</si>
  <si>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</si>
  <si>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</si>
  <si>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</si>
  <si>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</si>
  <si>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</si>
  <si>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</si>
  <si>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</si>
  <si>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</si>
  <si>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</si>
  <si>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</si>
  <si>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</si>
  <si>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</si>
  <si>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</si>
  <si>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</si>
  <si>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</si>
  <si>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</si>
  <si>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</si>
  <si>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</si>
  <si>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</si>
  <si>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</si>
  <si>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</si>
  <si>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</si>
  <si>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</si>
  <si>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</si>
  <si>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</si>
  <si>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</si>
  <si>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</si>
  <si>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</si>
  <si>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</si>
  <si>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</si>
  <si>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</si>
  <si>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</si>
  <si>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</si>
  <si>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</si>
  <si>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</si>
  <si>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</si>
  <si>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</si>
  <si>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</si>
  <si>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</si>
  <si>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</si>
  <si>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</si>
  <si>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</si>
  <si>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</si>
  <si>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</si>
  <si>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</si>
  <si>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</si>
  <si>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</si>
  <si>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</si>
  <si>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</si>
  <si>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</si>
  <si>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</si>
  <si>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</si>
  <si>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</si>
  <si>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</si>
  <si>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</si>
  <si>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</si>
  <si>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</si>
  <si>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</si>
  <si>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</si>
  <si>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</si>
  <si>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</si>
  <si>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</si>
  <si>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</si>
  <si>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</si>
  <si>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</si>
  <si>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</si>
  <si>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</si>
  <si>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</si>
  <si>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</si>
  <si>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</si>
  <si>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</si>
  <si>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</si>
  <si>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</si>
  <si>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</si>
  <si>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</si>
  <si>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</si>
  <si>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</si>
  <si>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</si>
  <si>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</si>
  <si>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</si>
  <si>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</si>
  <si>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</si>
  <si>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</si>
  <si>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</si>
  <si>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</si>
  <si>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</si>
  <si>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</si>
  <si>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</si>
  <si>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</si>
  <si>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</si>
  <si>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</si>
  <si>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</si>
  <si>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</si>
  <si>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</si>
  <si>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</si>
  <si>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</si>
  <si>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</si>
  <si>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</si>
  <si>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</si>
  <si>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</si>
  <si>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</si>
  <si>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</si>
  <si>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</si>
  <si>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</si>
  <si>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</si>
  <si>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</si>
  <si>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</si>
  <si>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</si>
  <si>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</si>
  <si>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</si>
  <si>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</si>
  <si>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</si>
  <si>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</si>
  <si>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</si>
  <si>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</si>
  <si>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</si>
  <si>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</si>
  <si>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</si>
  <si>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</si>
  <si>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</si>
  <si>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</si>
  <si>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</si>
  <si>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</si>
  <si>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</si>
  <si>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</si>
  <si>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</si>
  <si>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</si>
  <si>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</si>
  <si>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</si>
  <si>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</si>
  <si>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</si>
  <si>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</si>
  <si>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</si>
  <si>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</si>
  <si>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</si>
  <si>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</si>
  <si>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</si>
  <si>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</si>
  <si>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</si>
  <si>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</si>
  <si>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</si>
  <si>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</si>
  <si>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</si>
  <si>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</si>
  <si>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</si>
  <si>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</si>
  <si>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</si>
  <si>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</si>
  <si>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</si>
  <si>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</si>
  <si>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</si>
  <si>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</si>
  <si>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</si>
  <si>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</si>
  <si>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</si>
  <si>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</si>
  <si>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</si>
  <si>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</si>
  <si>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</si>
  <si>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</si>
  <si>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</si>
  <si>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</si>
  <si>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</si>
  <si>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</si>
  <si>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</si>
  <si>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</si>
  <si>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</si>
  <si>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</si>
  <si>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</si>
  <si>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</si>
  <si>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</si>
  <si>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</si>
  <si>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</si>
  <si>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</si>
  <si>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</si>
  <si>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</si>
  <si>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</si>
  <si>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</si>
  <si>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</si>
  <si>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</si>
  <si>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</si>
  <si>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</si>
  <si>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</si>
  <si>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</si>
  <si>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</si>
  <si>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</si>
  <si>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</si>
  <si>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</si>
  <si>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</si>
  <si>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</si>
  <si>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</si>
  <si>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</si>
  <si>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</si>
  <si>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</si>
  <si>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</si>
  <si>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</si>
  <si>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</si>
  <si>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</si>
  <si>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</si>
  <si>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</si>
  <si>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</si>
  <si>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</si>
  <si>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</si>
  <si>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</si>
  <si>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</si>
  <si>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</si>
  <si>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</si>
  <si>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</si>
  <si>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</si>
  <si>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</si>
  <si>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</si>
  <si>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</si>
  <si>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</si>
  <si>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</si>
  <si>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</si>
  <si>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</si>
  <si>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</si>
  <si>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</si>
  <si>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</si>
  <si>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</si>
  <si>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</si>
  <si>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</si>
  <si>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</si>
  <si>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</si>
  <si>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</si>
  <si>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</si>
  <si>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</si>
  <si>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</si>
  <si>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</si>
  <si>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</si>
  <si>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</si>
  <si>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</si>
  <si>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</si>
  <si>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</si>
  <si>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</si>
  <si>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</si>
  <si>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</si>
  <si>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</si>
  <si>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</si>
  <si>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</si>
  <si>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</si>
  <si>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</si>
  <si>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</si>
  <si>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</si>
  <si>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</si>
  <si>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</si>
  <si>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</si>
  <si>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</si>
  <si>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</si>
  <si>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</si>
  <si>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</si>
  <si>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</si>
  <si>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</si>
  <si>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</si>
  <si>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</si>
  <si>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</si>
  <si>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</si>
  <si>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</si>
  <si>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</si>
  <si>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</si>
  <si>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</si>
  <si>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</si>
  <si>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</si>
  <si>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</si>
  <si>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</si>
  <si>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</si>
  <si>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</si>
  <si>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</si>
  <si>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</si>
  <si>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</si>
  <si>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</si>
  <si>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</si>
  <si>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</si>
  <si>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</si>
  <si>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</si>
  <si>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</si>
  <si>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</si>
  <si>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</si>
  <si>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</si>
  <si>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</si>
  <si>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</si>
  <si>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</si>
  <si>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</si>
  <si>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</si>
  <si>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</si>
  <si>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</si>
  <si>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</si>
  <si>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</si>
  <si>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</si>
  <si>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</si>
  <si>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</si>
  <si>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</si>
  <si>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</si>
  <si>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</si>
  <si>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</si>
  <si>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</si>
  <si>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</si>
  <si>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</si>
  <si>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</si>
  <si>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</si>
  <si>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</si>
  <si>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</si>
  <si>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</si>
  <si>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</si>
  <si>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</si>
  <si>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</si>
  <si>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</si>
  <si>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</si>
  <si>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</si>
  <si>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</si>
  <si>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</si>
  <si>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</si>
  <si>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</si>
  <si>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</si>
  <si>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</si>
  <si>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</si>
  <si>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</si>
  <si>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</si>
  <si>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</si>
  <si>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</si>
  <si>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</si>
  <si>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</si>
  <si>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</si>
  <si>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</si>
  <si>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</si>
  <si>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</si>
  <si>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</si>
  <si>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</si>
  <si>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</si>
  <si>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</si>
  <si>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</si>
  <si>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</si>
  <si>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</si>
  <si>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</si>
  <si>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</si>
  <si>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</si>
  <si>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</si>
  <si>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</si>
  <si>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</si>
  <si>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</si>
  <si>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</si>
  <si>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</si>
  <si>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</si>
  <si>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</si>
  <si>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</si>
  <si>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</si>
  <si>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</si>
  <si>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</si>
  <si>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</si>
  <si>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</si>
  <si>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</si>
  <si>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</si>
  <si>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</si>
  <si>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</si>
  <si>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</si>
  <si>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</si>
  <si>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</si>
  <si>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</si>
  <si>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</si>
  <si>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</si>
  <si>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</si>
  <si>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</si>
  <si>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</si>
  <si>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</si>
  <si>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</si>
  <si>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</si>
  <si>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</si>
  <si>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</si>
  <si>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</si>
  <si>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</si>
  <si>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</si>
  <si>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</si>
  <si>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</si>
  <si>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</si>
  <si>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</si>
  <si>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</si>
  <si>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</si>
  <si>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</si>
  <si>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</si>
  <si>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</si>
  <si>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</si>
  <si>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</si>
  <si>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</si>
  <si>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</si>
  <si>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</si>
  <si>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</si>
  <si>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</si>
  <si>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</si>
  <si>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</si>
  <si>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</si>
  <si>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</si>
  <si>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</si>
  <si>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</si>
  <si>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</si>
  <si>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</si>
  <si>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</si>
  <si>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</si>
  <si>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</si>
  <si>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</si>
  <si>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</si>
  <si>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</si>
  <si>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</si>
  <si>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</si>
  <si>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</si>
  <si>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</si>
  <si>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</si>
  <si>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</si>
  <si>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</si>
  <si>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</si>
  <si>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</si>
  <si>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</si>
  <si>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</si>
  <si>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</si>
  <si>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</si>
  <si>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</si>
  <si>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</si>
  <si>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</si>
  <si>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</si>
  <si>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</si>
  <si>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</si>
  <si>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</si>
  <si>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</si>
  <si>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</si>
  <si>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</si>
  <si>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</si>
  <si>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</si>
  <si>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</si>
  <si>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</si>
  <si>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</si>
  <si>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</si>
  <si>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</si>
  <si>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</si>
  <si>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</si>
  <si>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</si>
  <si>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</si>
  <si>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</si>
  <si>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</si>
  <si>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</si>
  <si>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</si>
  <si>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</si>
  <si>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</si>
  <si>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</si>
  <si>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</si>
  <si>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</si>
  <si>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</si>
  <si>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</si>
  <si>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</si>
  <si>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</si>
  <si>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</si>
  <si>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</si>
  <si>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</si>
  <si>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</si>
  <si>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</si>
  <si>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</si>
  <si>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</si>
  <si>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</si>
  <si>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</si>
  <si>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</si>
  <si>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</si>
  <si>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</si>
  <si>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</si>
  <si>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</si>
  <si>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</si>
  <si>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</si>
  <si>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</si>
  <si>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</si>
  <si>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</si>
  <si>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</si>
  <si>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</si>
  <si>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</si>
  <si>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</si>
  <si>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</si>
  <si>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</si>
  <si>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</si>
  <si>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</si>
  <si>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</si>
  <si>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</si>
  <si>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</si>
  <si>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</si>
  <si>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</si>
  <si>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</si>
  <si>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</si>
  <si>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</si>
  <si>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</si>
  <si>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</si>
  <si>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</si>
  <si>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</si>
  <si>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</si>
  <si>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</si>
  <si>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</si>
  <si>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</si>
  <si>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</si>
  <si>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</si>
  <si>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</si>
  <si>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</si>
  <si>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</si>
  <si>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</si>
  <si>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</si>
  <si>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</si>
  <si>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</si>
  <si>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</si>
  <si>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</si>
  <si>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</si>
  <si>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</si>
  <si>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</si>
  <si>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</si>
  <si>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</si>
  <si>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</si>
  <si>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</si>
  <si>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</si>
  <si>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</si>
  <si>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</si>
  <si>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</si>
  <si>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</si>
  <si>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</si>
  <si>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</si>
  <si>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</si>
  <si>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</si>
  <si>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</si>
  <si>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</si>
  <si>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</si>
  <si>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</si>
  <si>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</si>
  <si>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</si>
  <si>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</si>
  <si>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</si>
  <si>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</si>
  <si>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</si>
  <si>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</si>
  <si>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</si>
  <si>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</si>
  <si>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</si>
  <si>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</si>
  <si>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</si>
  <si>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</si>
  <si>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</si>
  <si>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</si>
  <si>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</si>
  <si>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</si>
  <si>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</si>
  <si>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</si>
  <si>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</si>
  <si>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</si>
  <si>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</si>
  <si>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</si>
  <si>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</si>
  <si>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</si>
  <si>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</si>
  <si>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</si>
  <si>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</si>
  <si>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</si>
  <si>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</si>
  <si>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</si>
  <si>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</si>
  <si>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</si>
  <si>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</si>
  <si>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</si>
  <si>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</si>
  <si>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</si>
  <si>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</si>
  <si>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</si>
  <si>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</si>
  <si>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</si>
  <si>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</si>
  <si>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</si>
  <si>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</si>
  <si>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</si>
  <si>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</si>
  <si>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</si>
  <si>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</si>
  <si>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</si>
  <si>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</si>
  <si>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</si>
  <si>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</si>
  <si>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</si>
  <si>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</si>
  <si>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</si>
  <si>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</si>
  <si>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</si>
  <si>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</si>
  <si>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</si>
  <si>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</si>
  <si>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</si>
  <si>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</si>
  <si>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</si>
  <si>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</si>
  <si>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</si>
  <si>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</si>
  <si>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</si>
  <si>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</si>
  <si>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</si>
  <si>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</si>
  <si>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</si>
  <si>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</si>
  <si>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</si>
  <si>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</si>
  <si>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</si>
  <si>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</si>
  <si>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</si>
  <si>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</si>
  <si>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</si>
  <si>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</si>
  <si>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</si>
  <si>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</si>
  <si>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</si>
  <si>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</si>
  <si>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</si>
  <si>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</si>
  <si>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</si>
  <si>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</si>
  <si>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</si>
  <si>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</si>
  <si>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</si>
  <si>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</si>
  <si>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</si>
  <si>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</si>
  <si>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</si>
  <si>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</si>
  <si>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</si>
  <si>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</si>
  <si>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</si>
  <si>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06/07/2023</t>
  </si>
  <si>
    <t>07/07/2023</t>
  </si>
  <si>
    <t>Du Lịch</t>
  </si>
  <si>
    <t>Giới tính Nữ</t>
  </si>
  <si>
    <t>Giới tính Nam</t>
  </si>
  <si>
    <t>Hồ Thị Quỳnh</t>
  </si>
  <si>
    <t>05/04/1983</t>
  </si>
  <si>
    <t>001183976060</t>
  </si>
  <si>
    <t>Bắc Sơn</t>
  </si>
  <si>
    <t>Đặng Phương Phương</t>
  </si>
  <si>
    <t>07/09/1986</t>
  </si>
  <si>
    <t>001186671013</t>
  </si>
  <si>
    <t>Đinh Thu Lan</t>
  </si>
  <si>
    <t>26/09/1994</t>
  </si>
  <si>
    <t>001194804664</t>
  </si>
  <si>
    <t>Trương Linh Diễm</t>
  </si>
  <si>
    <t>12/07/1980</t>
  </si>
  <si>
    <t>001180556083</t>
  </si>
  <si>
    <t>Hồ Tuấn Minh</t>
  </si>
  <si>
    <t>15/02/1984</t>
  </si>
  <si>
    <t>001084418227</t>
  </si>
  <si>
    <t>Vương Phương Oanh</t>
  </si>
  <si>
    <t>27/02/1981</t>
  </si>
  <si>
    <t>001181536236</t>
  </si>
  <si>
    <t>Võ Quốc Thành</t>
  </si>
  <si>
    <t>20/03/1990</t>
  </si>
  <si>
    <t>001090420620</t>
  </si>
  <si>
    <t>Phan Huy Phúc</t>
  </si>
  <si>
    <t>02/02/1985</t>
  </si>
  <si>
    <t>001085478439</t>
  </si>
  <si>
    <t>Đoàn Hữu Dương</t>
  </si>
  <si>
    <t>13/12/1979</t>
  </si>
  <si>
    <t>001079895118</t>
  </si>
  <si>
    <t>Đoàn Đức Hưng</t>
  </si>
  <si>
    <t>26/08/1985</t>
  </si>
  <si>
    <t>001085315631</t>
  </si>
  <si>
    <t>Nguyễn Phúc Quân</t>
  </si>
  <si>
    <t>28/05/1991</t>
  </si>
  <si>
    <t>001091690268</t>
  </si>
  <si>
    <t>Hoàng Phương Thảo</t>
  </si>
  <si>
    <t>16/07/1987</t>
  </si>
  <si>
    <t>001187948773</t>
  </si>
  <si>
    <t>Trịnh Phương Hà</t>
  </si>
  <si>
    <t>27/06/1981</t>
  </si>
  <si>
    <t>001181278059</t>
  </si>
  <si>
    <t>Lý Phước Sơn</t>
  </si>
  <si>
    <t>19/02/1990</t>
  </si>
  <si>
    <t>001090242374</t>
  </si>
  <si>
    <t>Đỗ Kiên Tuấn</t>
  </si>
  <si>
    <t>15/02/1989</t>
  </si>
  <si>
    <t>001089244290</t>
  </si>
  <si>
    <t>Bùi Linh Hà</t>
  </si>
  <si>
    <t>02/07/1992</t>
  </si>
  <si>
    <t>001192983082</t>
  </si>
  <si>
    <t>Vũ Hạnh My</t>
  </si>
  <si>
    <t>27/09/1982</t>
  </si>
  <si>
    <t>001182403593</t>
  </si>
  <si>
    <t>Lý Thảo Cẩm</t>
  </si>
  <si>
    <t>27/06/1988</t>
  </si>
  <si>
    <t>001188805820</t>
  </si>
  <si>
    <t>Hoàng Minh Minh</t>
  </si>
  <si>
    <t>09/12/1988</t>
  </si>
  <si>
    <t>001088390510</t>
  </si>
  <si>
    <t>Phan Gia Sơn</t>
  </si>
  <si>
    <t>20/10/1995</t>
  </si>
  <si>
    <t>001095936211</t>
  </si>
  <si>
    <t>Nguyễn Hạnh Hạnh</t>
  </si>
  <si>
    <t>07/03/1983</t>
  </si>
  <si>
    <t>001183331629</t>
  </si>
  <si>
    <t>Hà Khoa Hải</t>
  </si>
  <si>
    <t>07/06/1980</t>
  </si>
  <si>
    <t>001080231795</t>
  </si>
  <si>
    <t>Đinh Thị Diễm</t>
  </si>
  <si>
    <t>04/02/1984</t>
  </si>
  <si>
    <t>001184624795</t>
  </si>
  <si>
    <t>Lý Phúc Linh</t>
  </si>
  <si>
    <t>26/06/1983</t>
  </si>
  <si>
    <t>001083215557</t>
  </si>
  <si>
    <t>Vũ Ngọc Anh</t>
  </si>
  <si>
    <t>25/07/1984</t>
  </si>
  <si>
    <t>001184676627</t>
  </si>
  <si>
    <t>Vũ Hạnh Anh</t>
  </si>
  <si>
    <t>13/02/1985</t>
  </si>
  <si>
    <t>001185633812</t>
  </si>
  <si>
    <t>Mai Phương Trâm</t>
  </si>
  <si>
    <t>20/04/1993</t>
  </si>
  <si>
    <t>001193321762</t>
  </si>
  <si>
    <t>001081010560</t>
  </si>
  <si>
    <t>Nguyễn Văn Nam</t>
  </si>
  <si>
    <t>05/12/1981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</si>
</sst>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workbookViewId="0">
      <selection activeCell="F5" sqref="F5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7.898437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0" t="s">
        <v>18</v>
      </c>
      <c r="F2" s="20"/>
      <c r="G2" s="20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22131</v>
      </c>
      <c r="C3" s="16" t="s">
        <v>22132</v>
      </c>
      <c r="D3" s="16" t="s">
        <v>38</v>
      </c>
      <c r="E3" s="16" t="s">
        <v>22130</v>
      </c>
      <c r="I3" s="16" t="s">
        <v>369</v>
      </c>
      <c r="J3" s="17" t="s">
        <v>22051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8229</v>
      </c>
      <c r="P3" s="16" t="s">
        <v>4991</v>
      </c>
      <c r="Q3" s="17" t="s">
        <v>22051</v>
      </c>
      <c r="R3" s="16" t="s">
        <v>13</v>
      </c>
      <c r="S3" s="16" t="s">
        <v>22043</v>
      </c>
      <c r="T3" s="16" t="s">
        <v>22044</v>
      </c>
      <c r="U3" s="17" t="s">
        <v>22045</v>
      </c>
      <c r="V3">
        <v>201</v>
      </c>
    </row>
    <row r="4" spans="1:23" x14ac:dyDescent="0.3">
      <c r="A4" s="15">
        <v>2</v>
      </c>
      <c r="B4" s="16" t="s">
        <v>22048</v>
      </c>
      <c r="C4" s="16" t="s">
        <v>22049</v>
      </c>
      <c r="D4" s="16" t="s">
        <v>22046</v>
      </c>
      <c r="E4" s="16" t="s">
        <v>22050</v>
      </c>
      <c r="I4" s="16" t="s">
        <v>369</v>
      </c>
      <c r="J4" s="17" t="s">
        <v>22051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8229</v>
      </c>
      <c r="P4" s="16" t="s">
        <v>4991</v>
      </c>
      <c r="Q4" s="17" t="s">
        <v>22051</v>
      </c>
      <c r="R4" s="16" t="s">
        <v>13</v>
      </c>
      <c r="S4" s="16" t="s">
        <v>22043</v>
      </c>
      <c r="T4" s="16" t="s">
        <v>22044</v>
      </c>
      <c r="U4" s="17" t="s">
        <v>22045</v>
      </c>
      <c r="V4">
        <v>201</v>
      </c>
    </row>
    <row r="5" spans="1:23" x14ac:dyDescent="0.3">
      <c r="A5" s="15">
        <v>3</v>
      </c>
      <c r="B5" s="16" t="s">
        <v>22052</v>
      </c>
      <c r="C5" s="16" t="s">
        <v>22053</v>
      </c>
      <c r="D5" s="16" t="s">
        <v>22046</v>
      </c>
      <c r="E5" s="16" t="s">
        <v>22054</v>
      </c>
      <c r="I5" s="16" t="s">
        <v>369</v>
      </c>
      <c r="J5" s="17" t="s">
        <v>22051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8229</v>
      </c>
      <c r="P5" s="16" t="s">
        <v>4991</v>
      </c>
      <c r="Q5" s="17" t="s">
        <v>22051</v>
      </c>
      <c r="R5" s="16" t="s">
        <v>13</v>
      </c>
      <c r="S5" s="16" t="s">
        <v>22043</v>
      </c>
      <c r="T5" s="16" t="s">
        <v>22044</v>
      </c>
      <c r="U5" s="17" t="s">
        <v>22045</v>
      </c>
      <c r="V5">
        <v>201</v>
      </c>
    </row>
    <row r="6" spans="1:23" x14ac:dyDescent="0.3">
      <c r="A6" s="15">
        <v>4</v>
      </c>
      <c r="B6" s="16" t="s">
        <v>22055</v>
      </c>
      <c r="C6" s="16" t="s">
        <v>22056</v>
      </c>
      <c r="D6" s="16" t="s">
        <v>22046</v>
      </c>
      <c r="E6" s="16" t="s">
        <v>22057</v>
      </c>
      <c r="I6" s="16" t="s">
        <v>369</v>
      </c>
      <c r="J6" s="17" t="s">
        <v>22051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8229</v>
      </c>
      <c r="P6" s="16" t="s">
        <v>4991</v>
      </c>
      <c r="Q6" s="17" t="s">
        <v>22051</v>
      </c>
      <c r="R6" s="16" t="s">
        <v>13</v>
      </c>
      <c r="S6" s="16" t="s">
        <v>22043</v>
      </c>
      <c r="T6" s="16" t="s">
        <v>22044</v>
      </c>
      <c r="U6" s="17" t="s">
        <v>22045</v>
      </c>
      <c r="V6">
        <v>201</v>
      </c>
    </row>
    <row r="7" spans="1:23" x14ac:dyDescent="0.3">
      <c r="A7" s="15">
        <v>5</v>
      </c>
      <c r="B7" s="16" t="s">
        <v>22058</v>
      </c>
      <c r="C7" s="16" t="s">
        <v>22059</v>
      </c>
      <c r="D7" s="16" t="s">
        <v>22046</v>
      </c>
      <c r="E7" s="16" t="s">
        <v>22060</v>
      </c>
      <c r="I7" s="16" t="s">
        <v>369</v>
      </c>
      <c r="J7" s="17" t="s">
        <v>22051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8229</v>
      </c>
      <c r="P7" s="16" t="s">
        <v>4991</v>
      </c>
      <c r="Q7" s="17" t="s">
        <v>22051</v>
      </c>
      <c r="R7" s="16" t="s">
        <v>13</v>
      </c>
      <c r="S7" s="16" t="s">
        <v>22043</v>
      </c>
      <c r="T7" s="16" t="s">
        <v>22044</v>
      </c>
      <c r="U7" s="17" t="s">
        <v>22045</v>
      </c>
      <c r="V7">
        <v>202</v>
      </c>
    </row>
    <row r="8" spans="1:23" x14ac:dyDescent="0.3">
      <c r="A8" s="15">
        <v>6</v>
      </c>
      <c r="B8" s="16" t="s">
        <v>22061</v>
      </c>
      <c r="C8" s="16" t="s">
        <v>22062</v>
      </c>
      <c r="D8" s="16" t="s">
        <v>22047</v>
      </c>
      <c r="E8" s="16" t="s">
        <v>22063</v>
      </c>
      <c r="I8" s="16" t="s">
        <v>369</v>
      </c>
      <c r="J8" s="17" t="s">
        <v>22051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8229</v>
      </c>
      <c r="P8" s="16" t="s">
        <v>4991</v>
      </c>
      <c r="Q8" s="17" t="s">
        <v>22051</v>
      </c>
      <c r="R8" s="16" t="s">
        <v>13</v>
      </c>
      <c r="S8" s="16" t="s">
        <v>22043</v>
      </c>
      <c r="T8" s="16" t="s">
        <v>22044</v>
      </c>
      <c r="U8" s="17" t="s">
        <v>22045</v>
      </c>
      <c r="V8">
        <v>202</v>
      </c>
    </row>
    <row r="9" spans="1:23" x14ac:dyDescent="0.3">
      <c r="A9" s="15">
        <v>7</v>
      </c>
      <c r="B9" s="16" t="s">
        <v>22064</v>
      </c>
      <c r="C9" s="16" t="s">
        <v>22065</v>
      </c>
      <c r="D9" s="16" t="s">
        <v>22046</v>
      </c>
      <c r="E9" s="16" t="s">
        <v>22066</v>
      </c>
      <c r="I9" s="16" t="s">
        <v>369</v>
      </c>
      <c r="J9" s="17" t="s">
        <v>22051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8229</v>
      </c>
      <c r="P9" s="16" t="s">
        <v>4991</v>
      </c>
      <c r="Q9" s="17" t="s">
        <v>22051</v>
      </c>
      <c r="R9" s="16" t="s">
        <v>13</v>
      </c>
      <c r="S9" s="16" t="s">
        <v>22043</v>
      </c>
      <c r="T9" s="16" t="s">
        <v>22044</v>
      </c>
      <c r="U9" s="17" t="s">
        <v>22045</v>
      </c>
      <c r="V9">
        <v>202</v>
      </c>
    </row>
    <row r="10" spans="1:23" x14ac:dyDescent="0.3">
      <c r="A10" s="15">
        <v>8</v>
      </c>
      <c r="B10" s="16" t="s">
        <v>22067</v>
      </c>
      <c r="C10" s="16" t="s">
        <v>22068</v>
      </c>
      <c r="D10" s="16" t="s">
        <v>22047</v>
      </c>
      <c r="E10" s="16" t="s">
        <v>22069</v>
      </c>
      <c r="I10" s="16" t="s">
        <v>369</v>
      </c>
      <c r="J10" s="17" t="s">
        <v>22051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8229</v>
      </c>
      <c r="P10" s="16" t="s">
        <v>4991</v>
      </c>
      <c r="Q10" s="17" t="s">
        <v>22051</v>
      </c>
      <c r="R10" s="16" t="s">
        <v>13</v>
      </c>
      <c r="S10" s="16" t="s">
        <v>22043</v>
      </c>
      <c r="T10" s="16" t="s">
        <v>22044</v>
      </c>
      <c r="U10" s="17" t="s">
        <v>22045</v>
      </c>
      <c r="V10">
        <v>202</v>
      </c>
    </row>
    <row r="11" spans="1:23" x14ac:dyDescent="0.3">
      <c r="A11" s="15">
        <v>9</v>
      </c>
      <c r="B11" s="16" t="s">
        <v>22070</v>
      </c>
      <c r="C11" s="16" t="s">
        <v>22071</v>
      </c>
      <c r="D11" s="16" t="s">
        <v>22047</v>
      </c>
      <c r="E11" s="16" t="s">
        <v>22072</v>
      </c>
      <c r="I11" s="16" t="s">
        <v>369</v>
      </c>
      <c r="J11" s="17" t="s">
        <v>22051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8229</v>
      </c>
      <c r="P11" s="16" t="s">
        <v>4991</v>
      </c>
      <c r="Q11" s="17" t="s">
        <v>22051</v>
      </c>
      <c r="R11" s="16" t="s">
        <v>13</v>
      </c>
      <c r="S11" s="16" t="s">
        <v>22043</v>
      </c>
      <c r="T11" s="16" t="s">
        <v>22044</v>
      </c>
      <c r="U11" s="17" t="s">
        <v>22045</v>
      </c>
      <c r="V11">
        <v>203</v>
      </c>
    </row>
    <row r="12" spans="1:23" x14ac:dyDescent="0.3">
      <c r="A12" s="15">
        <v>10</v>
      </c>
      <c r="B12" s="16" t="s">
        <v>22073</v>
      </c>
      <c r="C12" s="16" t="s">
        <v>22074</v>
      </c>
      <c r="D12" s="16" t="s">
        <v>22047</v>
      </c>
      <c r="E12" s="16" t="s">
        <v>22075</v>
      </c>
      <c r="I12" s="16" t="s">
        <v>369</v>
      </c>
      <c r="J12" s="17" t="s">
        <v>22051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8229</v>
      </c>
      <c r="P12" s="16" t="s">
        <v>4991</v>
      </c>
      <c r="Q12" s="17" t="s">
        <v>22051</v>
      </c>
      <c r="R12" s="16" t="s">
        <v>13</v>
      </c>
      <c r="S12" s="16" t="s">
        <v>22043</v>
      </c>
      <c r="T12" s="16" t="s">
        <v>22044</v>
      </c>
      <c r="U12" s="17" t="s">
        <v>22045</v>
      </c>
      <c r="V12">
        <v>203</v>
      </c>
    </row>
    <row r="13" spans="1:23" x14ac:dyDescent="0.3">
      <c r="A13" s="15">
        <v>11</v>
      </c>
      <c r="B13" s="16" t="s">
        <v>22076</v>
      </c>
      <c r="C13" s="16" t="s">
        <v>22077</v>
      </c>
      <c r="D13" s="16" t="s">
        <v>22047</v>
      </c>
      <c r="E13" s="16" t="s">
        <v>22078</v>
      </c>
      <c r="I13" s="16" t="s">
        <v>369</v>
      </c>
      <c r="J13" s="17" t="s">
        <v>22051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8229</v>
      </c>
      <c r="P13" s="16" t="s">
        <v>4991</v>
      </c>
      <c r="Q13" s="17" t="s">
        <v>22051</v>
      </c>
      <c r="R13" s="16" t="s">
        <v>13</v>
      </c>
      <c r="S13" s="16" t="s">
        <v>22043</v>
      </c>
      <c r="T13" s="16" t="s">
        <v>22044</v>
      </c>
      <c r="U13" s="17" t="s">
        <v>22045</v>
      </c>
      <c r="V13">
        <v>203</v>
      </c>
    </row>
    <row r="14" spans="1:23" x14ac:dyDescent="0.3">
      <c r="A14" s="15">
        <v>12</v>
      </c>
      <c r="B14" s="16" t="s">
        <v>22079</v>
      </c>
      <c r="C14" s="16" t="s">
        <v>22080</v>
      </c>
      <c r="D14" s="16" t="s">
        <v>22047</v>
      </c>
      <c r="E14" s="16" t="s">
        <v>22081</v>
      </c>
      <c r="I14" s="16" t="s">
        <v>369</v>
      </c>
      <c r="J14" s="17" t="s">
        <v>22051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8229</v>
      </c>
      <c r="P14" s="16" t="s">
        <v>4991</v>
      </c>
      <c r="Q14" s="17" t="s">
        <v>22051</v>
      </c>
      <c r="R14" s="16" t="s">
        <v>13</v>
      </c>
      <c r="S14" s="16" t="s">
        <v>22043</v>
      </c>
      <c r="T14" s="16" t="s">
        <v>22044</v>
      </c>
      <c r="U14" s="17" t="s">
        <v>22045</v>
      </c>
      <c r="V14">
        <v>203</v>
      </c>
    </row>
    <row r="15" spans="1:23" x14ac:dyDescent="0.3">
      <c r="A15" s="15">
        <v>13</v>
      </c>
      <c r="B15" s="16" t="s">
        <v>22082</v>
      </c>
      <c r="C15" s="16" t="s">
        <v>22083</v>
      </c>
      <c r="D15" s="16" t="s">
        <v>22046</v>
      </c>
      <c r="E15" s="16" t="s">
        <v>22084</v>
      </c>
      <c r="I15" s="16" t="s">
        <v>369</v>
      </c>
      <c r="J15" s="17" t="s">
        <v>22051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8229</v>
      </c>
      <c r="P15" s="16" t="s">
        <v>4991</v>
      </c>
      <c r="Q15" s="17" t="s">
        <v>22051</v>
      </c>
      <c r="R15" s="16" t="s">
        <v>13</v>
      </c>
      <c r="S15" s="16" t="s">
        <v>22043</v>
      </c>
      <c r="T15" s="16" t="s">
        <v>22044</v>
      </c>
      <c r="U15" s="17" t="s">
        <v>22045</v>
      </c>
      <c r="V15">
        <v>204</v>
      </c>
    </row>
    <row r="16" spans="1:23" x14ac:dyDescent="0.3">
      <c r="A16" s="15">
        <v>14</v>
      </c>
      <c r="B16" s="16" t="s">
        <v>22085</v>
      </c>
      <c r="C16" s="16" t="s">
        <v>22086</v>
      </c>
      <c r="D16" s="16" t="s">
        <v>22046</v>
      </c>
      <c r="E16" s="16" t="s">
        <v>22087</v>
      </c>
      <c r="I16" s="16" t="s">
        <v>369</v>
      </c>
      <c r="J16" s="17" t="s">
        <v>22051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8229</v>
      </c>
      <c r="P16" s="16" t="s">
        <v>4991</v>
      </c>
      <c r="Q16" s="17" t="s">
        <v>22051</v>
      </c>
      <c r="R16" s="16" t="s">
        <v>13</v>
      </c>
      <c r="S16" s="16" t="s">
        <v>22043</v>
      </c>
      <c r="T16" s="16" t="s">
        <v>22044</v>
      </c>
      <c r="U16" s="17" t="s">
        <v>22045</v>
      </c>
      <c r="V16">
        <v>204</v>
      </c>
    </row>
    <row r="17" spans="1:22" x14ac:dyDescent="0.3">
      <c r="A17" s="15">
        <v>15</v>
      </c>
      <c r="B17" s="16" t="s">
        <v>22088</v>
      </c>
      <c r="C17" s="16" t="s">
        <v>22089</v>
      </c>
      <c r="D17" s="16" t="s">
        <v>22047</v>
      </c>
      <c r="E17" s="16" t="s">
        <v>22090</v>
      </c>
      <c r="I17" s="16" t="s">
        <v>369</v>
      </c>
      <c r="J17" s="17" t="s">
        <v>22051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8229</v>
      </c>
      <c r="P17" s="16" t="s">
        <v>4991</v>
      </c>
      <c r="Q17" s="17" t="s">
        <v>22051</v>
      </c>
      <c r="R17" s="16" t="s">
        <v>13</v>
      </c>
      <c r="S17" s="16" t="s">
        <v>22043</v>
      </c>
      <c r="T17" s="16" t="s">
        <v>22044</v>
      </c>
      <c r="U17" s="17" t="s">
        <v>22045</v>
      </c>
      <c r="V17">
        <v>204</v>
      </c>
    </row>
    <row r="18" spans="1:22" x14ac:dyDescent="0.3">
      <c r="A18" s="15">
        <v>16</v>
      </c>
      <c r="B18" s="16" t="s">
        <v>22091</v>
      </c>
      <c r="C18" s="16" t="s">
        <v>22092</v>
      </c>
      <c r="D18" s="16" t="s">
        <v>22047</v>
      </c>
      <c r="E18" s="16" t="s">
        <v>22093</v>
      </c>
      <c r="I18" s="16" t="s">
        <v>369</v>
      </c>
      <c r="J18" s="17" t="s">
        <v>22051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8229</v>
      </c>
      <c r="P18" s="16" t="s">
        <v>4991</v>
      </c>
      <c r="Q18" s="17" t="s">
        <v>22051</v>
      </c>
      <c r="R18" s="16" t="s">
        <v>13</v>
      </c>
      <c r="S18" s="16" t="s">
        <v>22043</v>
      </c>
      <c r="T18" s="16" t="s">
        <v>22044</v>
      </c>
      <c r="U18" s="17" t="s">
        <v>22045</v>
      </c>
      <c r="V18">
        <v>204</v>
      </c>
    </row>
    <row r="19" spans="1:22" x14ac:dyDescent="0.3">
      <c r="A19" s="15">
        <v>17</v>
      </c>
      <c r="B19" s="16" t="s">
        <v>22094</v>
      </c>
      <c r="C19" s="16" t="s">
        <v>22095</v>
      </c>
      <c r="D19" s="16" t="s">
        <v>22046</v>
      </c>
      <c r="E19" s="16" t="s">
        <v>22096</v>
      </c>
      <c r="I19" s="16" t="s">
        <v>369</v>
      </c>
      <c r="J19" s="17" t="s">
        <v>22051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8229</v>
      </c>
      <c r="P19" s="16" t="s">
        <v>4991</v>
      </c>
      <c r="Q19" s="17" t="s">
        <v>22051</v>
      </c>
      <c r="R19" s="16" t="s">
        <v>13</v>
      </c>
      <c r="S19" s="16" t="s">
        <v>22043</v>
      </c>
      <c r="T19" s="16" t="s">
        <v>22044</v>
      </c>
      <c r="U19" s="17" t="s">
        <v>22045</v>
      </c>
      <c r="V19">
        <v>205</v>
      </c>
    </row>
    <row r="20" spans="1:22" x14ac:dyDescent="0.3">
      <c r="A20" s="15">
        <v>18</v>
      </c>
      <c r="B20" s="16" t="s">
        <v>22097</v>
      </c>
      <c r="C20" s="16" t="s">
        <v>22098</v>
      </c>
      <c r="D20" s="16" t="s">
        <v>22046</v>
      </c>
      <c r="E20" s="16" t="s">
        <v>22099</v>
      </c>
      <c r="I20" s="16" t="s">
        <v>369</v>
      </c>
      <c r="J20" s="17" t="s">
        <v>22051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8229</v>
      </c>
      <c r="P20" s="16" t="s">
        <v>4991</v>
      </c>
      <c r="Q20" s="17" t="s">
        <v>22051</v>
      </c>
      <c r="R20" s="16" t="s">
        <v>13</v>
      </c>
      <c r="S20" s="16" t="s">
        <v>22043</v>
      </c>
      <c r="T20" s="16" t="s">
        <v>22044</v>
      </c>
      <c r="U20" s="17" t="s">
        <v>22045</v>
      </c>
      <c r="V20">
        <v>205</v>
      </c>
    </row>
    <row r="21" spans="1:22" x14ac:dyDescent="0.3">
      <c r="A21" s="15">
        <v>19</v>
      </c>
      <c r="B21" s="16" t="s">
        <v>22100</v>
      </c>
      <c r="C21" s="16" t="s">
        <v>22101</v>
      </c>
      <c r="D21" s="16" t="s">
        <v>22046</v>
      </c>
      <c r="E21" s="16" t="s">
        <v>22102</v>
      </c>
      <c r="I21" s="16" t="s">
        <v>369</v>
      </c>
      <c r="J21" s="17" t="s">
        <v>22051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8229</v>
      </c>
      <c r="P21" s="16" t="s">
        <v>4991</v>
      </c>
      <c r="Q21" s="17" t="s">
        <v>22051</v>
      </c>
      <c r="R21" s="16" t="s">
        <v>13</v>
      </c>
      <c r="S21" s="16" t="s">
        <v>22043</v>
      </c>
      <c r="T21" s="16" t="s">
        <v>22044</v>
      </c>
      <c r="U21" s="17" t="s">
        <v>22045</v>
      </c>
      <c r="V21">
        <v>205</v>
      </c>
    </row>
    <row r="22" spans="1:22" x14ac:dyDescent="0.3">
      <c r="A22" s="15">
        <v>20</v>
      </c>
      <c r="B22" s="16" t="s">
        <v>22103</v>
      </c>
      <c r="C22" s="16" t="s">
        <v>22104</v>
      </c>
      <c r="D22" s="16" t="s">
        <v>22047</v>
      </c>
      <c r="E22" s="16" t="s">
        <v>22105</v>
      </c>
      <c r="I22" s="16" t="s">
        <v>369</v>
      </c>
      <c r="J22" s="17" t="s">
        <v>22051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8229</v>
      </c>
      <c r="P22" s="16" t="s">
        <v>4991</v>
      </c>
      <c r="Q22" s="17" t="s">
        <v>22051</v>
      </c>
      <c r="R22" s="16" t="s">
        <v>13</v>
      </c>
      <c r="S22" s="16" t="s">
        <v>22043</v>
      </c>
      <c r="T22" s="16" t="s">
        <v>22044</v>
      </c>
      <c r="U22" s="17" t="s">
        <v>22045</v>
      </c>
      <c r="V22">
        <v>205</v>
      </c>
    </row>
    <row r="23" spans="1:22" x14ac:dyDescent="0.3">
      <c r="A23" s="15">
        <v>21</v>
      </c>
      <c r="B23" s="16" t="s">
        <v>22106</v>
      </c>
      <c r="C23" s="16" t="s">
        <v>22107</v>
      </c>
      <c r="D23" s="16" t="s">
        <v>22047</v>
      </c>
      <c r="E23" s="16" t="s">
        <v>22108</v>
      </c>
      <c r="I23" s="16" t="s">
        <v>369</v>
      </c>
      <c r="J23" s="17" t="s">
        <v>22051</v>
      </c>
      <c r="K23" s="16" t="s">
        <v>743</v>
      </c>
      <c r="L23" s="16" t="s">
        <v>1826</v>
      </c>
      <c r="M23" s="16" t="s">
        <v>1917</v>
      </c>
      <c r="N23" s="16" t="s">
        <v>1949</v>
      </c>
      <c r="O23" s="16" t="s">
        <v>8229</v>
      </c>
      <c r="P23" s="16" t="s">
        <v>4991</v>
      </c>
      <c r="Q23" s="17" t="s">
        <v>22051</v>
      </c>
      <c r="R23" s="16" t="s">
        <v>13</v>
      </c>
      <c r="S23" s="16" t="s">
        <v>22043</v>
      </c>
      <c r="T23" s="16" t="s">
        <v>22044</v>
      </c>
      <c r="U23" s="17" t="s">
        <v>22045</v>
      </c>
      <c r="V23">
        <v>206</v>
      </c>
    </row>
    <row r="24" spans="1:22" x14ac:dyDescent="0.3">
      <c r="A24" s="15">
        <v>22</v>
      </c>
      <c r="B24" s="16" t="s">
        <v>22109</v>
      </c>
      <c r="C24" s="16" t="s">
        <v>22110</v>
      </c>
      <c r="D24" s="16" t="s">
        <v>22046</v>
      </c>
      <c r="E24" s="16" t="s">
        <v>22111</v>
      </c>
      <c r="I24" s="16" t="s">
        <v>369</v>
      </c>
      <c r="J24" s="17" t="s">
        <v>22051</v>
      </c>
      <c r="K24" s="16" t="s">
        <v>743</v>
      </c>
      <c r="L24" s="16" t="s">
        <v>1826</v>
      </c>
      <c r="M24" s="16" t="s">
        <v>1917</v>
      </c>
      <c r="N24" s="16" t="s">
        <v>1949</v>
      </c>
      <c r="O24" s="16" t="s">
        <v>8229</v>
      </c>
      <c r="P24" s="16" t="s">
        <v>4991</v>
      </c>
      <c r="Q24" s="17" t="s">
        <v>22051</v>
      </c>
      <c r="R24" s="16" t="s">
        <v>13</v>
      </c>
      <c r="S24" s="16" t="s">
        <v>22043</v>
      </c>
      <c r="T24" s="16" t="s">
        <v>22044</v>
      </c>
      <c r="U24" s="17" t="s">
        <v>22045</v>
      </c>
      <c r="V24">
        <v>206</v>
      </c>
    </row>
    <row r="25" spans="1:22" x14ac:dyDescent="0.3">
      <c r="A25" s="15">
        <v>23</v>
      </c>
      <c r="B25" s="16" t="s">
        <v>22112</v>
      </c>
      <c r="C25" s="16" t="s">
        <v>22113</v>
      </c>
      <c r="D25" s="16" t="s">
        <v>22047</v>
      </c>
      <c r="E25" s="16" t="s">
        <v>22114</v>
      </c>
      <c r="I25" s="16" t="s">
        <v>369</v>
      </c>
      <c r="J25" s="17" t="s">
        <v>22051</v>
      </c>
      <c r="K25" s="16" t="s">
        <v>743</v>
      </c>
      <c r="L25" s="16" t="s">
        <v>1826</v>
      </c>
      <c r="M25" s="16" t="s">
        <v>1917</v>
      </c>
      <c r="N25" s="16" t="s">
        <v>1949</v>
      </c>
      <c r="O25" s="16" t="s">
        <v>8229</v>
      </c>
      <c r="P25" s="16" t="s">
        <v>4991</v>
      </c>
      <c r="Q25" s="17" t="s">
        <v>22051</v>
      </c>
      <c r="R25" s="16" t="s">
        <v>13</v>
      </c>
      <c r="S25" s="16" t="s">
        <v>22043</v>
      </c>
      <c r="T25" s="16" t="s">
        <v>22044</v>
      </c>
      <c r="U25" s="17" t="s">
        <v>22045</v>
      </c>
      <c r="V25">
        <v>206</v>
      </c>
    </row>
    <row r="26" spans="1:22" x14ac:dyDescent="0.3">
      <c r="A26" s="15">
        <v>24</v>
      </c>
      <c r="B26" s="16" t="s">
        <v>22115</v>
      </c>
      <c r="C26" s="16" t="s">
        <v>22116</v>
      </c>
      <c r="D26" s="16" t="s">
        <v>22046</v>
      </c>
      <c r="E26" s="16" t="s">
        <v>22117</v>
      </c>
      <c r="I26" s="16" t="s">
        <v>369</v>
      </c>
      <c r="J26" s="17" t="s">
        <v>22051</v>
      </c>
      <c r="K26" s="16" t="s">
        <v>743</v>
      </c>
      <c r="L26" s="16" t="s">
        <v>1826</v>
      </c>
      <c r="M26" s="16" t="s">
        <v>1917</v>
      </c>
      <c r="N26" s="16" t="s">
        <v>1949</v>
      </c>
      <c r="O26" s="16" t="s">
        <v>8229</v>
      </c>
      <c r="P26" s="16" t="s">
        <v>4991</v>
      </c>
      <c r="Q26" s="17" t="s">
        <v>22051</v>
      </c>
      <c r="R26" s="16" t="s">
        <v>13</v>
      </c>
      <c r="S26" s="16" t="s">
        <v>22043</v>
      </c>
      <c r="T26" s="16" t="s">
        <v>22044</v>
      </c>
      <c r="U26" s="17" t="s">
        <v>22045</v>
      </c>
      <c r="V26">
        <v>206</v>
      </c>
    </row>
    <row r="27" spans="1:22" x14ac:dyDescent="0.3">
      <c r="A27" s="15">
        <v>25</v>
      </c>
      <c r="B27" s="16" t="s">
        <v>22118</v>
      </c>
      <c r="C27" s="16" t="s">
        <v>22119</v>
      </c>
      <c r="D27" s="16" t="s">
        <v>22047</v>
      </c>
      <c r="E27" s="16" t="s">
        <v>22120</v>
      </c>
      <c r="I27" s="16" t="s">
        <v>369</v>
      </c>
      <c r="J27" s="17" t="s">
        <v>22051</v>
      </c>
      <c r="K27" s="16" t="s">
        <v>743</v>
      </c>
      <c r="L27" s="16" t="s">
        <v>1826</v>
      </c>
      <c r="M27" s="16" t="s">
        <v>1917</v>
      </c>
      <c r="N27" s="16" t="s">
        <v>1949</v>
      </c>
      <c r="O27" s="16" t="s">
        <v>8229</v>
      </c>
      <c r="P27" s="16" t="s">
        <v>4991</v>
      </c>
      <c r="Q27" s="17" t="s">
        <v>22051</v>
      </c>
      <c r="R27" s="16" t="s">
        <v>13</v>
      </c>
      <c r="S27" s="16" t="s">
        <v>22043</v>
      </c>
      <c r="T27" s="16" t="s">
        <v>22044</v>
      </c>
      <c r="U27" s="17" t="s">
        <v>22045</v>
      </c>
      <c r="V27">
        <v>207</v>
      </c>
    </row>
    <row r="28" spans="1:22" x14ac:dyDescent="0.3">
      <c r="A28" s="15">
        <v>26</v>
      </c>
      <c r="B28" s="16" t="s">
        <v>22121</v>
      </c>
      <c r="C28" s="16" t="s">
        <v>22122</v>
      </c>
      <c r="D28" s="16" t="s">
        <v>22046</v>
      </c>
      <c r="E28" s="16" t="s">
        <v>22123</v>
      </c>
      <c r="I28" s="16" t="s">
        <v>369</v>
      </c>
      <c r="J28" s="17" t="s">
        <v>22051</v>
      </c>
      <c r="K28" s="16" t="s">
        <v>743</v>
      </c>
      <c r="L28" s="16" t="s">
        <v>1826</v>
      </c>
      <c r="M28" s="16" t="s">
        <v>1917</v>
      </c>
      <c r="N28" s="16" t="s">
        <v>1949</v>
      </c>
      <c r="O28" s="16" t="s">
        <v>8229</v>
      </c>
      <c r="P28" s="16" t="s">
        <v>4991</v>
      </c>
      <c r="Q28" s="17" t="s">
        <v>22051</v>
      </c>
      <c r="R28" s="16" t="s">
        <v>13</v>
      </c>
      <c r="S28" s="16" t="s">
        <v>22043</v>
      </c>
      <c r="T28" s="16" t="s">
        <v>22044</v>
      </c>
      <c r="U28" s="17" t="s">
        <v>22045</v>
      </c>
      <c r="V28">
        <v>207</v>
      </c>
    </row>
    <row r="29" spans="1:22" x14ac:dyDescent="0.3">
      <c r="A29" s="15">
        <v>27</v>
      </c>
      <c r="B29" s="16" t="s">
        <v>22124</v>
      </c>
      <c r="C29" s="16" t="s">
        <v>22125</v>
      </c>
      <c r="D29" s="16" t="s">
        <v>22046</v>
      </c>
      <c r="E29" s="16" t="s">
        <v>22126</v>
      </c>
      <c r="I29" s="16" t="s">
        <v>369</v>
      </c>
      <c r="J29" s="17" t="s">
        <v>22051</v>
      </c>
      <c r="K29" s="16" t="s">
        <v>743</v>
      </c>
      <c r="L29" s="16" t="s">
        <v>1826</v>
      </c>
      <c r="M29" s="16" t="s">
        <v>1917</v>
      </c>
      <c r="N29" s="16" t="s">
        <v>1949</v>
      </c>
      <c r="O29" s="16" t="s">
        <v>8229</v>
      </c>
      <c r="P29" s="16" t="s">
        <v>4991</v>
      </c>
      <c r="Q29" s="17" t="s">
        <v>22051</v>
      </c>
      <c r="R29" s="16" t="s">
        <v>13</v>
      </c>
      <c r="S29" s="16" t="s">
        <v>22043</v>
      </c>
      <c r="T29" s="16" t="s">
        <v>22044</v>
      </c>
      <c r="U29" s="17" t="s">
        <v>22045</v>
      </c>
      <c r="V29">
        <v>207</v>
      </c>
    </row>
    <row r="30" spans="1:22" x14ac:dyDescent="0.3">
      <c r="A30" s="15">
        <v>28</v>
      </c>
      <c r="B30" s="16" t="s">
        <v>22127</v>
      </c>
      <c r="C30" s="16" t="s">
        <v>22128</v>
      </c>
      <c r="D30" s="16" t="s">
        <v>22046</v>
      </c>
      <c r="E30" s="16" t="s">
        <v>22129</v>
      </c>
      <c r="I30" s="16" t="s">
        <v>369</v>
      </c>
      <c r="J30" s="17" t="s">
        <v>22051</v>
      </c>
      <c r="K30" s="16" t="s">
        <v>743</v>
      </c>
      <c r="L30" s="16" t="s">
        <v>1826</v>
      </c>
      <c r="M30" s="16" t="s">
        <v>1917</v>
      </c>
      <c r="N30" s="16" t="s">
        <v>1949</v>
      </c>
      <c r="O30" s="16" t="s">
        <v>8229</v>
      </c>
      <c r="P30" s="16" t="s">
        <v>4991</v>
      </c>
      <c r="Q30" s="17" t="s">
        <v>22051</v>
      </c>
      <c r="R30" s="16" t="s">
        <v>13</v>
      </c>
      <c r="S30" s="16" t="s">
        <v>22043</v>
      </c>
      <c r="T30" s="16" t="s">
        <v>22044</v>
      </c>
      <c r="U30" s="17" t="s">
        <v>22045</v>
      </c>
      <c r="V30">
        <v>207</v>
      </c>
    </row>
    <row r="31" spans="1:22" x14ac:dyDescent="0.3">
      <c r="A31" s="15">
        <v>29</v>
      </c>
    </row>
    <row r="32" spans="1:22" x14ac:dyDescent="0.3">
      <c r="A32" s="15">
        <v>30</v>
      </c>
    </row>
    <row r="33" spans="1:1" x14ac:dyDescent="0.3">
      <c r="A33" s="15">
        <v>31</v>
      </c>
    </row>
    <row r="34" spans="1:1" x14ac:dyDescent="0.3">
      <c r="A34" s="15">
        <v>32</v>
      </c>
    </row>
    <row r="35" spans="1:1" x14ac:dyDescent="0.3">
      <c r="A35" s="15">
        <v>33</v>
      </c>
    </row>
    <row r="36" spans="1:1" x14ac:dyDescent="0.3">
      <c r="A36" s="15">
        <v>34</v>
      </c>
    </row>
    <row r="37" spans="1:1" x14ac:dyDescent="0.3">
      <c r="A37" s="15">
        <v>35</v>
      </c>
    </row>
    <row r="38" spans="1:1" x14ac:dyDescent="0.3">
      <c r="A38" s="15">
        <v>36</v>
      </c>
    </row>
    <row r="39" spans="1:1" x14ac:dyDescent="0.3">
      <c r="A39" s="15">
        <v>37</v>
      </c>
    </row>
    <row r="40" spans="1:1" x14ac:dyDescent="0.3">
      <c r="A40" s="15">
        <v>38</v>
      </c>
    </row>
    <row r="41" spans="1:1" x14ac:dyDescent="0.3">
      <c r="A41" s="15">
        <v>39</v>
      </c>
    </row>
    <row r="42" spans="1:1" x14ac:dyDescent="0.3">
      <c r="A42" s="15">
        <v>40</v>
      </c>
    </row>
    <row r="43" spans="1:1" x14ac:dyDescent="0.3">
      <c r="A43" s="15">
        <v>41</v>
      </c>
    </row>
    <row r="44" spans="1:1" x14ac:dyDescent="0.3">
      <c r="A44" s="15">
        <v>42</v>
      </c>
    </row>
    <row r="45" spans="1:1" x14ac:dyDescent="0.3">
      <c r="A45" s="15">
        <v>43</v>
      </c>
    </row>
    <row r="46" spans="1:1" x14ac:dyDescent="0.3">
      <c r="A46" s="15">
        <v>44</v>
      </c>
    </row>
    <row r="47" spans="1:1" x14ac:dyDescent="0.3">
      <c r="A47" s="15">
        <v>45</v>
      </c>
    </row>
    <row r="48" spans="1:1" x14ac:dyDescent="0.3">
      <c r="A48" s="15">
        <v>46</v>
      </c>
    </row>
    <row r="49" spans="1:1" x14ac:dyDescent="0.3">
      <c r="A49" s="15">
        <v>47</v>
      </c>
    </row>
    <row r="50" spans="1:1" x14ac:dyDescent="0.3">
      <c r="A50" s="15">
        <v>48</v>
      </c>
    </row>
    <row r="51" spans="1:1" x14ac:dyDescent="0.3">
      <c r="A51" s="15">
        <v>49</v>
      </c>
    </row>
    <row r="52" spans="1:1" x14ac:dyDescent="0.3">
      <c r="A52" s="15">
        <v>50</v>
      </c>
    </row>
    <row r="53" spans="1:1" x14ac:dyDescent="0.3">
      <c r="A53" s="15">
        <v>51</v>
      </c>
    </row>
    <row r="54" spans="1:1" x14ac:dyDescent="0.3">
      <c r="A54" s="15">
        <v>52</v>
      </c>
    </row>
    <row r="55" spans="1:1" x14ac:dyDescent="0.3">
      <c r="A55" s="15">
        <v>53</v>
      </c>
    </row>
    <row r="56" spans="1:1" x14ac:dyDescent="0.3">
      <c r="A56" s="15">
        <v>54</v>
      </c>
    </row>
    <row r="57" spans="1:1" x14ac:dyDescent="0.3">
      <c r="A57" s="15">
        <v>55</v>
      </c>
    </row>
    <row r="58" spans="1:1" x14ac:dyDescent="0.3">
      <c r="A58" s="15">
        <v>56</v>
      </c>
    </row>
    <row r="59" spans="1:1" x14ac:dyDescent="0.3">
      <c r="A59" s="15">
        <v>57</v>
      </c>
    </row>
    <row r="60" spans="1:1" x14ac:dyDescent="0.3">
      <c r="A60" s="15">
        <v>58</v>
      </c>
    </row>
    <row r="61" spans="1:1" x14ac:dyDescent="0.3">
      <c r="A61" s="15">
        <v>59</v>
      </c>
    </row>
    <row r="62" spans="1:1" x14ac:dyDescent="0.3">
      <c r="A62" s="15">
        <v>60</v>
      </c>
    </row>
    <row r="63" spans="1:1" x14ac:dyDescent="0.3">
      <c r="A63" s="15">
        <v>61</v>
      </c>
    </row>
    <row r="64" spans="1: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9zkQTG+/jNpnPjG2CQtpqOlgfWwzBAz26Sy9EB2+0Gul0anSyQDJW/cNbIqNXtyNPOeipCpL7aeY952QaPGapA==" saltValue="/OnKS3WzAcuZwLWaIVctow==" spinCount="100000" sheet="1" objects="1" scenarios="1" formatCells="0" formatColumns="0"/>
  <mergeCells count="1">
    <mergeCell ref="E2:G2"/>
  </mergeCells>
  <dataValidations count="8">
    <dataValidation type="list" allowBlank="1" showInputMessage="1" showErrorMessage="1" sqref="O2:P2">
      <formula1>DsTinhThanh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Nguyễn Văn Nam</v>
      </c>
      <c r="B1" s="18" t="str">
        <f>DanhsachNguoiluutru!C3</f>
        <v>05/12/1981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001081010560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Bắc Sơn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016</v>
      </c>
      <c r="T1" s="18" t="str">
        <f ca="1">INDEX(OFFSET(PhuongXa!$C$1,MATCH(extracted!$S1,PhuongXa!$A:$A,0)-1,0,10000,1),MATCH(DanhsachNguoiluutru!$P3,OFFSET(PhuongXa!$B$1,MATCH(extracted!$S1,PhuongXa!$A:$A,0)-1,0,10000,1), 0))</f>
        <v>00379</v>
      </c>
      <c r="U1" s="18" t="str">
        <f>DanhsachNguoiluutru!Q3</f>
        <v>Bắc Sơn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Bắc Sơn, Xã Bắc Sơn, Huyện Sóc Sơn,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06/07/2023</v>
      </c>
      <c r="Z1" s="18" t="str">
        <f>DanhsachNguoiluutru!T3</f>
        <v>07/07/2023</v>
      </c>
      <c r="AA1" s="18" t="str">
        <f>DanhsachNguoiluutru!U3</f>
        <v>Du Lịch</v>
      </c>
      <c r="AB1" s="18">
        <f>DanhsachNguoiluutru!V3</f>
        <v>201</v>
      </c>
    </row>
    <row r="2" spans="1:28" x14ac:dyDescent="0.3">
      <c r="A2" s="18" t="str">
        <f>DanhsachNguoiluutru!B4</f>
        <v>Hồ Thị Quỳnh</v>
      </c>
      <c r="B2" s="18" t="str">
        <f>DanhsachNguoiluutru!C4</f>
        <v>05/04/1983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001183976060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Bắc Sơn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016</v>
      </c>
      <c r="T2" s="18" t="str">
        <f ca="1">INDEX(OFFSET(PhuongXa!$C$1,MATCH(extracted!$S2,PhuongXa!$A:$A,0)-1,0,10000,1),MATCH(DanhsachNguoiluutru!$P4,OFFSET(PhuongXa!$B$1,MATCH(extracted!$S2,PhuongXa!$A:$A,0)-1,0,10000,1), 0))</f>
        <v>00379</v>
      </c>
      <c r="U2" s="18" t="str">
        <f>DanhsachNguoiluutru!Q4</f>
        <v>Bắc Sơn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Bắc Sơn, Xã Bắc Sơn, Huyện Sóc Sơn,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06/07/2023</v>
      </c>
      <c r="Z2" s="18" t="str">
        <f>DanhsachNguoiluutru!T4</f>
        <v>07/07/2023</v>
      </c>
      <c r="AA2" s="18" t="str">
        <f>DanhsachNguoiluutru!U4</f>
        <v>Du Lịch</v>
      </c>
      <c r="AB2" s="18">
        <f>DanhsachNguoiluutru!V4</f>
        <v>201</v>
      </c>
    </row>
    <row r="3" spans="1:28" x14ac:dyDescent="0.3">
      <c r="A3" s="18" t="str">
        <f>DanhsachNguoiluutru!B5</f>
        <v>Đặng Phương Phương</v>
      </c>
      <c r="B3" s="18" t="str">
        <f>DanhsachNguoiluutru!C5</f>
        <v>07/09/1986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001186671013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Bắc Sơn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016</v>
      </c>
      <c r="T3" s="18" t="str">
        <f ca="1">INDEX(OFFSET(PhuongXa!$C$1,MATCH(extracted!$S3,PhuongXa!$A:$A,0)-1,0,10000,1),MATCH(DanhsachNguoiluutru!$P5,OFFSET(PhuongXa!$B$1,MATCH(extracted!$S3,PhuongXa!$A:$A,0)-1,0,10000,1), 0))</f>
        <v>00379</v>
      </c>
      <c r="U3" s="18" t="str">
        <f>DanhsachNguoiluutru!Q5</f>
        <v>Bắc Sơn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Bắc Sơn, Xã Bắc Sơn, Huyện Sóc Sơn,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06/07/2023</v>
      </c>
      <c r="Z3" s="18" t="str">
        <f>DanhsachNguoiluutru!T5</f>
        <v>07/07/2023</v>
      </c>
      <c r="AA3" s="18" t="str">
        <f>DanhsachNguoiluutru!U5</f>
        <v>Du Lịch</v>
      </c>
      <c r="AB3" s="18">
        <f>DanhsachNguoiluutru!V5</f>
        <v>201</v>
      </c>
    </row>
    <row r="4" spans="1:28" x14ac:dyDescent="0.3">
      <c r="A4" s="18" t="str">
        <f>DanhsachNguoiluutru!B6</f>
        <v>Đinh Thu Lan</v>
      </c>
      <c r="B4" s="18" t="str">
        <f>DanhsachNguoiluutru!C6</f>
        <v>26/09/1994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001194804664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Bắc Sơn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016</v>
      </c>
      <c r="T4" s="18" t="str">
        <f ca="1">INDEX(OFFSET(PhuongXa!$C$1,MATCH(extracted!$S4,PhuongXa!$A:$A,0)-1,0,10000,1),MATCH(DanhsachNguoiluutru!$P6,OFFSET(PhuongXa!$B$1,MATCH(extracted!$S4,PhuongXa!$A:$A,0)-1,0,10000,1), 0))</f>
        <v>00379</v>
      </c>
      <c r="U4" s="18" t="str">
        <f>DanhsachNguoiluutru!Q6</f>
        <v>Bắc Sơn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Bắc Sơn, Xã Bắc Sơn, Huyện Sóc Sơn,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06/07/2023</v>
      </c>
      <c r="Z4" s="18" t="str">
        <f>DanhsachNguoiluutru!T6</f>
        <v>07/07/2023</v>
      </c>
      <c r="AA4" s="18" t="str">
        <f>DanhsachNguoiluutru!U6</f>
        <v>Du Lịch</v>
      </c>
      <c r="AB4" s="18">
        <f>DanhsachNguoiluutru!V6</f>
        <v>201</v>
      </c>
    </row>
    <row r="5" spans="1:28" x14ac:dyDescent="0.3">
      <c r="A5" s="18" t="str">
        <f>DanhsachNguoiluutru!B7</f>
        <v>Trương Linh Diễm</v>
      </c>
      <c r="B5" s="18" t="str">
        <f>DanhsachNguoiluutru!C7</f>
        <v>12/07/1980</v>
      </c>
      <c r="C5" s="18" t="str">
        <f>INDEX(GioiTinh!$A:$A,MATCH(DanhsachNguoiluutru!D7,GioiTinh!$B:$B,0))</f>
        <v>3</v>
      </c>
      <c r="D5" s="18" t="str">
        <f>DanhsachNguoiluutru!D7</f>
        <v>Giới tính Nữ</v>
      </c>
      <c r="E5" s="18" t="str">
        <f>DanhsachNguoiluutru!E7</f>
        <v>001180556083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Bắc Sơn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016</v>
      </c>
      <c r="T5" s="18" t="str">
        <f ca="1">INDEX(OFFSET(PhuongXa!$C$1,MATCH(extracted!$S5,PhuongXa!$A:$A,0)-1,0,10000,1),MATCH(DanhsachNguoiluutru!$P7,OFFSET(PhuongXa!$B$1,MATCH(extracted!$S5,PhuongXa!$A:$A,0)-1,0,10000,1), 0))</f>
        <v>00379</v>
      </c>
      <c r="U5" s="18" t="str">
        <f>DanhsachNguoiluutru!Q7</f>
        <v>Bắc Sơn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Bắc Sơn, Xã Bắc Sơn, Huyện Sóc Sơn,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06/07/2023</v>
      </c>
      <c r="Z5" s="18" t="str">
        <f>DanhsachNguoiluutru!T7</f>
        <v>07/07/2023</v>
      </c>
      <c r="AA5" s="18" t="str">
        <f>DanhsachNguoiluutru!U7</f>
        <v>Du Lịch</v>
      </c>
      <c r="AB5" s="18">
        <f>DanhsachNguoiluutru!V7</f>
        <v>202</v>
      </c>
    </row>
    <row r="6" spans="1:28" x14ac:dyDescent="0.3">
      <c r="A6" s="18" t="str">
        <f>DanhsachNguoiluutru!B8</f>
        <v>Hồ Tuấn Minh</v>
      </c>
      <c r="B6" s="18" t="str">
        <f>DanhsachNguoiluutru!C8</f>
        <v>15/02/1984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001084418227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Bắc Sơn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016</v>
      </c>
      <c r="T6" s="18" t="str">
        <f ca="1">INDEX(OFFSET(PhuongXa!$C$1,MATCH(extracted!$S6,PhuongXa!$A:$A,0)-1,0,10000,1),MATCH(DanhsachNguoiluutru!$P8,OFFSET(PhuongXa!$B$1,MATCH(extracted!$S6,PhuongXa!$A:$A,0)-1,0,10000,1), 0))</f>
        <v>00379</v>
      </c>
      <c r="U6" s="18" t="str">
        <f>DanhsachNguoiluutru!Q8</f>
        <v>Bắc Sơn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Bắc Sơn, Xã Bắc Sơn, Huyện Sóc Sơn,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06/07/2023</v>
      </c>
      <c r="Z6" s="18" t="str">
        <f>DanhsachNguoiluutru!T8</f>
        <v>07/07/2023</v>
      </c>
      <c r="AA6" s="18" t="str">
        <f>DanhsachNguoiluutru!U8</f>
        <v>Du Lịch</v>
      </c>
      <c r="AB6" s="18">
        <f>DanhsachNguoiluutru!V8</f>
        <v>202</v>
      </c>
    </row>
    <row r="7" spans="1:28" x14ac:dyDescent="0.3">
      <c r="A7" s="18" t="str">
        <f>DanhsachNguoiluutru!B9</f>
        <v>Vương Phương Oanh</v>
      </c>
      <c r="B7" s="18" t="str">
        <f>DanhsachNguoiluutru!C9</f>
        <v>27/02/1981</v>
      </c>
      <c r="C7" s="18" t="str">
        <f>INDEX(GioiTinh!$A:$A,MATCH(DanhsachNguoiluutru!D9,GioiTinh!$B:$B,0))</f>
        <v>3</v>
      </c>
      <c r="D7" s="18" t="str">
        <f>DanhsachNguoiluutru!D9</f>
        <v>Giới tính Nữ</v>
      </c>
      <c r="E7" s="18" t="str">
        <f>DanhsachNguoiluutru!E9</f>
        <v>001181536236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Bắc Sơn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016</v>
      </c>
      <c r="T7" s="18" t="str">
        <f ca="1">INDEX(OFFSET(PhuongXa!$C$1,MATCH(extracted!$S7,PhuongXa!$A:$A,0)-1,0,10000,1),MATCH(DanhsachNguoiluutru!$P9,OFFSET(PhuongXa!$B$1,MATCH(extracted!$S7,PhuongXa!$A:$A,0)-1,0,10000,1), 0))</f>
        <v>00379</v>
      </c>
      <c r="U7" s="18" t="str">
        <f>DanhsachNguoiluutru!Q9</f>
        <v>Bắc Sơn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Bắc Sơn, Xã Bắc Sơn, Huyện Sóc Sơn,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06/07/2023</v>
      </c>
      <c r="Z7" s="18" t="str">
        <f>DanhsachNguoiluutru!T9</f>
        <v>07/07/2023</v>
      </c>
      <c r="AA7" s="18" t="str">
        <f>DanhsachNguoiluutru!U9</f>
        <v>Du Lịch</v>
      </c>
      <c r="AB7" s="18">
        <f>DanhsachNguoiluutru!V9</f>
        <v>202</v>
      </c>
    </row>
    <row r="8" spans="1:28" x14ac:dyDescent="0.3">
      <c r="A8" s="18" t="str">
        <f>DanhsachNguoiluutru!B10</f>
        <v>Võ Quốc Thành</v>
      </c>
      <c r="B8" s="18" t="str">
        <f>DanhsachNguoiluutru!C10</f>
        <v>20/03/1990</v>
      </c>
      <c r="C8" s="18" t="str">
        <f>INDEX(GioiTinh!$A:$A,MATCH(DanhsachNguoiluutru!D10,GioiTinh!$B:$B,0))</f>
        <v>2</v>
      </c>
      <c r="D8" s="18" t="str">
        <f>DanhsachNguoiluutru!D10</f>
        <v>Giới tính Nam</v>
      </c>
      <c r="E8" s="18" t="str">
        <f>DanhsachNguoiluutru!E10</f>
        <v>001090420620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Bắc Sơn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016</v>
      </c>
      <c r="T8" s="18" t="str">
        <f ca="1">INDEX(OFFSET(PhuongXa!$C$1,MATCH(extracted!$S8,PhuongXa!$A:$A,0)-1,0,10000,1),MATCH(DanhsachNguoiluutru!$P10,OFFSET(PhuongXa!$B$1,MATCH(extracted!$S8,PhuongXa!$A:$A,0)-1,0,10000,1), 0))</f>
        <v>00379</v>
      </c>
      <c r="U8" s="18" t="str">
        <f>DanhsachNguoiluutru!Q10</f>
        <v>Bắc Sơn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Bắc Sơn, Xã Bắc Sơn, Huyện Sóc Sơn,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06/07/2023</v>
      </c>
      <c r="Z8" s="18" t="str">
        <f>DanhsachNguoiluutru!T10</f>
        <v>07/07/2023</v>
      </c>
      <c r="AA8" s="18" t="str">
        <f>DanhsachNguoiluutru!U10</f>
        <v>Du Lịch</v>
      </c>
      <c r="AB8" s="18">
        <f>DanhsachNguoiluutru!V10</f>
        <v>202</v>
      </c>
    </row>
    <row r="9" spans="1:28" x14ac:dyDescent="0.3">
      <c r="A9" s="18" t="str">
        <f>DanhsachNguoiluutru!B11</f>
        <v>Phan Huy Phúc</v>
      </c>
      <c r="B9" s="18" t="str">
        <f>DanhsachNguoiluutru!C11</f>
        <v>02/02/1985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001085478439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Bắc Sơn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016</v>
      </c>
      <c r="T9" s="18" t="str">
        <f ca="1">INDEX(OFFSET(PhuongXa!$C$1,MATCH(extracted!$S9,PhuongXa!$A:$A,0)-1,0,10000,1),MATCH(DanhsachNguoiluutru!$P11,OFFSET(PhuongXa!$B$1,MATCH(extracted!$S9,PhuongXa!$A:$A,0)-1,0,10000,1), 0))</f>
        <v>00379</v>
      </c>
      <c r="U9" s="18" t="str">
        <f>DanhsachNguoiluutru!Q11</f>
        <v>Bắc Sơn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Bắc Sơn, Xã Bắc Sơn, Huyện Sóc Sơn,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06/07/2023</v>
      </c>
      <c r="Z9" s="18" t="str">
        <f>DanhsachNguoiluutru!T11</f>
        <v>07/07/2023</v>
      </c>
      <c r="AA9" s="18" t="str">
        <f>DanhsachNguoiluutru!U11</f>
        <v>Du Lịch</v>
      </c>
      <c r="AB9" s="18">
        <f>DanhsachNguoiluutru!V11</f>
        <v>203</v>
      </c>
    </row>
    <row r="10" spans="1:28" x14ac:dyDescent="0.3">
      <c r="A10" s="18" t="str">
        <f>DanhsachNguoiluutru!B12</f>
        <v>Đoàn Hữu Dương</v>
      </c>
      <c r="B10" s="18" t="str">
        <f>DanhsachNguoiluutru!C12</f>
        <v>13/12/1979</v>
      </c>
      <c r="C10" s="18" t="str">
        <f>INDEX(GioiTinh!$A:$A,MATCH(DanhsachNguoiluutru!D12,GioiTinh!$B:$B,0))</f>
        <v>2</v>
      </c>
      <c r="D10" s="18" t="str">
        <f>DanhsachNguoiluutru!D12</f>
        <v>Giới tính Nam</v>
      </c>
      <c r="E10" s="18" t="str">
        <f>DanhsachNguoiluutru!E12</f>
        <v>001079895118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Bắc Sơn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016</v>
      </c>
      <c r="T10" s="18" t="str">
        <f ca="1">INDEX(OFFSET(PhuongXa!$C$1,MATCH(extracted!$S10,PhuongXa!$A:$A,0)-1,0,10000,1),MATCH(DanhsachNguoiluutru!$P12,OFFSET(PhuongXa!$B$1,MATCH(extracted!$S10,PhuongXa!$A:$A,0)-1,0,10000,1), 0))</f>
        <v>00379</v>
      </c>
      <c r="U10" s="18" t="str">
        <f>DanhsachNguoiluutru!Q12</f>
        <v>Bắc Sơn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Bắc Sơn, Xã Bắc Sơn, Huyện Sóc Sơn,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06/07/2023</v>
      </c>
      <c r="Z10" s="18" t="str">
        <f>DanhsachNguoiluutru!T12</f>
        <v>07/07/2023</v>
      </c>
      <c r="AA10" s="18" t="str">
        <f>DanhsachNguoiluutru!U12</f>
        <v>Du Lịch</v>
      </c>
      <c r="AB10" s="18">
        <f>DanhsachNguoiluutru!V12</f>
        <v>203</v>
      </c>
    </row>
    <row r="11" spans="1:28" x14ac:dyDescent="0.3">
      <c r="A11" s="18" t="str">
        <f>DanhsachNguoiluutru!B13</f>
        <v>Đoàn Đức Hưng</v>
      </c>
      <c r="B11" s="18" t="str">
        <f>DanhsachNguoiluutru!C13</f>
        <v>26/08/1985</v>
      </c>
      <c r="C11" s="18" t="str">
        <f>INDEX(GioiTinh!$A:$A,MATCH(DanhsachNguoiluutru!D13,GioiTinh!$B:$B,0))</f>
        <v>2</v>
      </c>
      <c r="D11" s="18" t="str">
        <f>DanhsachNguoiluutru!D13</f>
        <v>Giới tính Nam</v>
      </c>
      <c r="E11" s="18" t="str">
        <f>DanhsachNguoiluutru!E13</f>
        <v>001085315631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Bắc Sơn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016</v>
      </c>
      <c r="T11" s="18" t="str">
        <f ca="1">INDEX(OFFSET(PhuongXa!$C$1,MATCH(extracted!$S11,PhuongXa!$A:$A,0)-1,0,10000,1),MATCH(DanhsachNguoiluutru!$P13,OFFSET(PhuongXa!$B$1,MATCH(extracted!$S11,PhuongXa!$A:$A,0)-1,0,10000,1), 0))</f>
        <v>00379</v>
      </c>
      <c r="U11" s="18" t="str">
        <f>DanhsachNguoiluutru!Q13</f>
        <v>Bắc Sơn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Bắc Sơn, Xã Bắc Sơn, Huyện Sóc Sơn,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06/07/2023</v>
      </c>
      <c r="Z11" s="18" t="str">
        <f>DanhsachNguoiluutru!T13</f>
        <v>07/07/2023</v>
      </c>
      <c r="AA11" s="18" t="str">
        <f>DanhsachNguoiluutru!U13</f>
        <v>Du Lịch</v>
      </c>
      <c r="AB11" s="18">
        <f>DanhsachNguoiluutru!V13</f>
        <v>203</v>
      </c>
    </row>
    <row r="12" spans="1:28" x14ac:dyDescent="0.3">
      <c r="A12" s="18" t="str">
        <f>DanhsachNguoiluutru!B14</f>
        <v>Nguyễn Phúc Quân</v>
      </c>
      <c r="B12" s="18" t="str">
        <f>DanhsachNguoiluutru!C14</f>
        <v>28/05/1991</v>
      </c>
      <c r="C12" s="18" t="str">
        <f>INDEX(GioiTinh!$A:$A,MATCH(DanhsachNguoiluutru!D14,GioiTinh!$B:$B,0))</f>
        <v>2</v>
      </c>
      <c r="D12" s="18" t="str">
        <f>DanhsachNguoiluutru!D14</f>
        <v>Giới tính Nam</v>
      </c>
      <c r="E12" s="18" t="str">
        <f>DanhsachNguoiluutru!E14</f>
        <v>001091690268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Bắc Sơn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016</v>
      </c>
      <c r="T12" s="18" t="str">
        <f ca="1">INDEX(OFFSET(PhuongXa!$C$1,MATCH(extracted!$S12,PhuongXa!$A:$A,0)-1,0,10000,1),MATCH(DanhsachNguoiluutru!$P14,OFFSET(PhuongXa!$B$1,MATCH(extracted!$S12,PhuongXa!$A:$A,0)-1,0,10000,1), 0))</f>
        <v>00379</v>
      </c>
      <c r="U12" s="18" t="str">
        <f>DanhsachNguoiluutru!Q14</f>
        <v>Bắc Sơn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Bắc Sơn, Xã Bắc Sơn, Huyện Sóc Sơn,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06/07/2023</v>
      </c>
      <c r="Z12" s="18" t="str">
        <f>DanhsachNguoiluutru!T14</f>
        <v>07/07/2023</v>
      </c>
      <c r="AA12" s="18" t="str">
        <f>DanhsachNguoiluutru!U14</f>
        <v>Du Lịch</v>
      </c>
      <c r="AB12" s="18">
        <f>DanhsachNguoiluutru!V14</f>
        <v>203</v>
      </c>
    </row>
    <row r="13" spans="1:28" x14ac:dyDescent="0.3">
      <c r="A13" s="18" t="str">
        <f>DanhsachNguoiluutru!B15</f>
        <v>Hoàng Phương Thảo</v>
      </c>
      <c r="B13" s="18" t="str">
        <f>DanhsachNguoiluutru!C15</f>
        <v>16/07/1987</v>
      </c>
      <c r="C13" s="18" t="str">
        <f>INDEX(GioiTinh!$A:$A,MATCH(DanhsachNguoiluutru!D15,GioiTinh!$B:$B,0))</f>
        <v>3</v>
      </c>
      <c r="D13" s="18" t="str">
        <f>DanhsachNguoiluutru!D15</f>
        <v>Giới tính Nữ</v>
      </c>
      <c r="E13" s="18" t="str">
        <f>DanhsachNguoiluutru!E15</f>
        <v>001187948773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Bắc Sơn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016</v>
      </c>
      <c r="T13" s="18" t="str">
        <f ca="1">INDEX(OFFSET(PhuongXa!$C$1,MATCH(extracted!$S13,PhuongXa!$A:$A,0)-1,0,10000,1),MATCH(DanhsachNguoiluutru!$P15,OFFSET(PhuongXa!$B$1,MATCH(extracted!$S13,PhuongXa!$A:$A,0)-1,0,10000,1), 0))</f>
        <v>00379</v>
      </c>
      <c r="U13" s="18" t="str">
        <f>DanhsachNguoiluutru!Q15</f>
        <v>Bắc Sơn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Bắc Sơn, Xã Bắc Sơn, Huyện Sóc Sơn,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06/07/2023</v>
      </c>
      <c r="Z13" s="18" t="str">
        <f>DanhsachNguoiluutru!T15</f>
        <v>07/07/2023</v>
      </c>
      <c r="AA13" s="18" t="str">
        <f>DanhsachNguoiluutru!U15</f>
        <v>Du Lịch</v>
      </c>
      <c r="AB13" s="18">
        <f>DanhsachNguoiluutru!V15</f>
        <v>204</v>
      </c>
    </row>
    <row r="14" spans="1:28" x14ac:dyDescent="0.3">
      <c r="A14" s="18" t="str">
        <f>DanhsachNguoiluutru!B16</f>
        <v>Trịnh Phương Hà</v>
      </c>
      <c r="B14" s="18" t="str">
        <f>DanhsachNguoiluutru!C16</f>
        <v>27/06/1981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001181278059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Bắc Sơn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016</v>
      </c>
      <c r="T14" s="18" t="str">
        <f ca="1">INDEX(OFFSET(PhuongXa!$C$1,MATCH(extracted!$S14,PhuongXa!$A:$A,0)-1,0,10000,1),MATCH(DanhsachNguoiluutru!$P16,OFFSET(PhuongXa!$B$1,MATCH(extracted!$S14,PhuongXa!$A:$A,0)-1,0,10000,1), 0))</f>
        <v>00379</v>
      </c>
      <c r="U14" s="18" t="str">
        <f>DanhsachNguoiluutru!Q16</f>
        <v>Bắc Sơn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Bắc Sơn, Xã Bắc Sơn, Huyện Sóc Sơn,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06/07/2023</v>
      </c>
      <c r="Z14" s="18" t="str">
        <f>DanhsachNguoiluutru!T16</f>
        <v>07/07/2023</v>
      </c>
      <c r="AA14" s="18" t="str">
        <f>DanhsachNguoiluutru!U16</f>
        <v>Du Lịch</v>
      </c>
      <c r="AB14" s="18">
        <f>DanhsachNguoiluutru!V16</f>
        <v>204</v>
      </c>
    </row>
    <row r="15" spans="1:28" x14ac:dyDescent="0.3">
      <c r="A15" s="18" t="str">
        <f>DanhsachNguoiluutru!B17</f>
        <v>Lý Phước Sơn</v>
      </c>
      <c r="B15" s="18" t="str">
        <f>DanhsachNguoiluutru!C17</f>
        <v>19/02/1990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001090242374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Bắc Sơn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016</v>
      </c>
      <c r="T15" s="18" t="str">
        <f ca="1">INDEX(OFFSET(PhuongXa!$C$1,MATCH(extracted!$S15,PhuongXa!$A:$A,0)-1,0,10000,1),MATCH(DanhsachNguoiluutru!$P17,OFFSET(PhuongXa!$B$1,MATCH(extracted!$S15,PhuongXa!$A:$A,0)-1,0,10000,1), 0))</f>
        <v>00379</v>
      </c>
      <c r="U15" s="18" t="str">
        <f>DanhsachNguoiluutru!Q17</f>
        <v>Bắc Sơn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Bắc Sơn, Xã Bắc Sơn, Huyện Sóc Sơn,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06/07/2023</v>
      </c>
      <c r="Z15" s="18" t="str">
        <f>DanhsachNguoiluutru!T17</f>
        <v>07/07/2023</v>
      </c>
      <c r="AA15" s="18" t="str">
        <f>DanhsachNguoiluutru!U17</f>
        <v>Du Lịch</v>
      </c>
      <c r="AB15" s="18">
        <f>DanhsachNguoiluutru!V17</f>
        <v>204</v>
      </c>
    </row>
    <row r="16" spans="1:28" x14ac:dyDescent="0.3">
      <c r="A16" s="18" t="str">
        <f>DanhsachNguoiluutru!B18</f>
        <v>Đỗ Kiên Tuấn</v>
      </c>
      <c r="B16" s="18" t="str">
        <f>DanhsachNguoiluutru!C18</f>
        <v>15/02/1989</v>
      </c>
      <c r="C16" s="18" t="str">
        <f>INDEX(GioiTinh!$A:$A,MATCH(DanhsachNguoiluutru!D18,GioiTinh!$B:$B,0))</f>
        <v>2</v>
      </c>
      <c r="D16" s="18" t="str">
        <f>DanhsachNguoiluutru!D18</f>
        <v>Giới tính Nam</v>
      </c>
      <c r="E16" s="18" t="str">
        <f>DanhsachNguoiluutru!E18</f>
        <v>001089244290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Bắc Sơn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016</v>
      </c>
      <c r="T16" s="18" t="str">
        <f ca="1">INDEX(OFFSET(PhuongXa!$C$1,MATCH(extracted!$S16,PhuongXa!$A:$A,0)-1,0,10000,1),MATCH(DanhsachNguoiluutru!$P18,OFFSET(PhuongXa!$B$1,MATCH(extracted!$S16,PhuongXa!$A:$A,0)-1,0,10000,1), 0))</f>
        <v>00379</v>
      </c>
      <c r="U16" s="18" t="str">
        <f>DanhsachNguoiluutru!Q18</f>
        <v>Bắc Sơn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Bắc Sơn, Xã Bắc Sơn, Huyện Sóc Sơn,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06/07/2023</v>
      </c>
      <c r="Z16" s="18" t="str">
        <f>DanhsachNguoiluutru!T18</f>
        <v>07/07/2023</v>
      </c>
      <c r="AA16" s="18" t="str">
        <f>DanhsachNguoiluutru!U18</f>
        <v>Du Lịch</v>
      </c>
      <c r="AB16" s="18">
        <f>DanhsachNguoiluutru!V18</f>
        <v>204</v>
      </c>
    </row>
    <row r="17" spans="1:28" x14ac:dyDescent="0.3">
      <c r="A17" s="18" t="str">
        <f>DanhsachNguoiluutru!B19</f>
        <v>Bùi Linh Hà</v>
      </c>
      <c r="B17" s="18" t="str">
        <f>DanhsachNguoiluutru!C19</f>
        <v>02/07/1992</v>
      </c>
      <c r="C17" s="18" t="str">
        <f>INDEX(GioiTinh!$A:$A,MATCH(DanhsachNguoiluutru!D19,GioiTinh!$B:$B,0))</f>
        <v>3</v>
      </c>
      <c r="D17" s="18" t="str">
        <f>DanhsachNguoiluutru!D19</f>
        <v>Giới tính Nữ</v>
      </c>
      <c r="E17" s="18" t="str">
        <f>DanhsachNguoiluutru!E19</f>
        <v>001192983082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Bắc Sơn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016</v>
      </c>
      <c r="T17" s="18" t="str">
        <f ca="1">INDEX(OFFSET(PhuongXa!$C$1,MATCH(extracted!$S17,PhuongXa!$A:$A,0)-1,0,10000,1),MATCH(DanhsachNguoiluutru!$P19,OFFSET(PhuongXa!$B$1,MATCH(extracted!$S17,PhuongXa!$A:$A,0)-1,0,10000,1), 0))</f>
        <v>00379</v>
      </c>
      <c r="U17" s="18" t="str">
        <f>DanhsachNguoiluutru!Q19</f>
        <v>Bắc Sơn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Bắc Sơn, Xã Bắc Sơn, Huyện Sóc Sơn,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06/07/2023</v>
      </c>
      <c r="Z17" s="18" t="str">
        <f>DanhsachNguoiluutru!T19</f>
        <v>07/07/2023</v>
      </c>
      <c r="AA17" s="18" t="str">
        <f>DanhsachNguoiluutru!U19</f>
        <v>Du Lịch</v>
      </c>
      <c r="AB17" s="18">
        <f>DanhsachNguoiluutru!V19</f>
        <v>205</v>
      </c>
    </row>
    <row r="18" spans="1:28" x14ac:dyDescent="0.3">
      <c r="A18" s="18" t="str">
        <f>DanhsachNguoiluutru!B20</f>
        <v>Vũ Hạnh My</v>
      </c>
      <c r="B18" s="18" t="str">
        <f>DanhsachNguoiluutru!C20</f>
        <v>27/09/1982</v>
      </c>
      <c r="C18" s="18" t="str">
        <f>INDEX(GioiTinh!$A:$A,MATCH(DanhsachNguoiluutru!D20,GioiTinh!$B:$B,0))</f>
        <v>3</v>
      </c>
      <c r="D18" s="18" t="str">
        <f>DanhsachNguoiluutru!D20</f>
        <v>Giới tính Nữ</v>
      </c>
      <c r="E18" s="18" t="str">
        <f>DanhsachNguoiluutru!E20</f>
        <v>001182403593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Bắc Sơn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016</v>
      </c>
      <c r="T18" s="18" t="str">
        <f ca="1">INDEX(OFFSET(PhuongXa!$C$1,MATCH(extracted!$S18,PhuongXa!$A:$A,0)-1,0,10000,1),MATCH(DanhsachNguoiluutru!$P20,OFFSET(PhuongXa!$B$1,MATCH(extracted!$S18,PhuongXa!$A:$A,0)-1,0,10000,1), 0))</f>
        <v>00379</v>
      </c>
      <c r="U18" s="18" t="str">
        <f>DanhsachNguoiluutru!Q20</f>
        <v>Bắc Sơn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Bắc Sơn, Xã Bắc Sơn, Huyện Sóc Sơn,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06/07/2023</v>
      </c>
      <c r="Z18" s="18" t="str">
        <f>DanhsachNguoiluutru!T20</f>
        <v>07/07/2023</v>
      </c>
      <c r="AA18" s="18" t="str">
        <f>DanhsachNguoiluutru!U20</f>
        <v>Du Lịch</v>
      </c>
      <c r="AB18" s="18">
        <f>DanhsachNguoiluutru!V20</f>
        <v>205</v>
      </c>
    </row>
    <row r="19" spans="1:28" x14ac:dyDescent="0.3">
      <c r="A19" s="18" t="str">
        <f>DanhsachNguoiluutru!B21</f>
        <v>Lý Thảo Cẩm</v>
      </c>
      <c r="B19" s="18" t="str">
        <f>DanhsachNguoiluutru!C21</f>
        <v>27/06/1988</v>
      </c>
      <c r="C19" s="18" t="str">
        <f>INDEX(GioiTinh!$A:$A,MATCH(DanhsachNguoiluutru!D21,GioiTinh!$B:$B,0))</f>
        <v>3</v>
      </c>
      <c r="D19" s="18" t="str">
        <f>DanhsachNguoiluutru!D21</f>
        <v>Giới tính Nữ</v>
      </c>
      <c r="E19" s="18" t="str">
        <f>DanhsachNguoiluutru!E21</f>
        <v>001188805820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Bắc Sơn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016</v>
      </c>
      <c r="T19" s="18" t="str">
        <f ca="1">INDEX(OFFSET(PhuongXa!$C$1,MATCH(extracted!$S19,PhuongXa!$A:$A,0)-1,0,10000,1),MATCH(DanhsachNguoiluutru!$P21,OFFSET(PhuongXa!$B$1,MATCH(extracted!$S19,PhuongXa!$A:$A,0)-1,0,10000,1), 0))</f>
        <v>00379</v>
      </c>
      <c r="U19" s="18" t="str">
        <f>DanhsachNguoiluutru!Q21</f>
        <v>Bắc Sơn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Bắc Sơn, Xã Bắc Sơn, Huyện Sóc Sơn,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06/07/2023</v>
      </c>
      <c r="Z19" s="18" t="str">
        <f>DanhsachNguoiluutru!T21</f>
        <v>07/07/2023</v>
      </c>
      <c r="AA19" s="18" t="str">
        <f>DanhsachNguoiluutru!U21</f>
        <v>Du Lịch</v>
      </c>
      <c r="AB19" s="18">
        <f>DanhsachNguoiluutru!V21</f>
        <v>205</v>
      </c>
    </row>
    <row r="20" spans="1:28" x14ac:dyDescent="0.3">
      <c r="A20" s="18" t="str">
        <f>DanhsachNguoiluutru!B22</f>
        <v>Hoàng Minh Minh</v>
      </c>
      <c r="B20" s="18" t="str">
        <f>DanhsachNguoiluutru!C22</f>
        <v>09/12/1988</v>
      </c>
      <c r="C20" s="18" t="str">
        <f>INDEX(GioiTinh!$A:$A,MATCH(DanhsachNguoiluutru!D22,GioiTinh!$B:$B,0))</f>
        <v>2</v>
      </c>
      <c r="D20" s="18" t="str">
        <f>DanhsachNguoiluutru!D22</f>
        <v>Giới tính Nam</v>
      </c>
      <c r="E20" s="18" t="str">
        <f>DanhsachNguoiluutru!E22</f>
        <v>001088390510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Bắc Sơn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016</v>
      </c>
      <c r="T20" s="18" t="str">
        <f ca="1">INDEX(OFFSET(PhuongXa!$C$1,MATCH(extracted!$S20,PhuongXa!$A:$A,0)-1,0,10000,1),MATCH(DanhsachNguoiluutru!$P22,OFFSET(PhuongXa!$B$1,MATCH(extracted!$S20,PhuongXa!$A:$A,0)-1,0,10000,1), 0))</f>
        <v>00379</v>
      </c>
      <c r="U20" s="18" t="str">
        <f>DanhsachNguoiluutru!Q22</f>
        <v>Bắc Sơn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Bắc Sơn, Xã Bắc Sơn, Huyện Sóc Sơn,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06/07/2023</v>
      </c>
      <c r="Z20" s="18" t="str">
        <f>DanhsachNguoiluutru!T22</f>
        <v>07/07/2023</v>
      </c>
      <c r="AA20" s="18" t="str">
        <f>DanhsachNguoiluutru!U22</f>
        <v>Du Lịch</v>
      </c>
      <c r="AB20" s="18">
        <f>DanhsachNguoiluutru!V22</f>
        <v>205</v>
      </c>
    </row>
    <row r="21" spans="1:28" x14ac:dyDescent="0.3">
      <c r="A21" s="18" t="str">
        <f>DanhsachNguoiluutru!B23</f>
        <v>Phan Gia Sơn</v>
      </c>
      <c r="B21" s="18" t="str">
        <f>DanhsachNguoiluutru!C23</f>
        <v>20/10/1995</v>
      </c>
      <c r="C21" s="18" t="str">
        <f>INDEX(GioiTinh!$A:$A,MATCH(DanhsachNguoiluutru!D23,GioiTinh!$B:$B,0))</f>
        <v>2</v>
      </c>
      <c r="D21" s="18" t="str">
        <f>DanhsachNguoiluutru!D23</f>
        <v>Giới tính Nam</v>
      </c>
      <c r="E21" s="18" t="str">
        <f>DanhsachNguoiluutru!E23</f>
        <v>001095936211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str">
        <f>INDEX(NgheNghiep!$A:$A,MATCH(DanhsachNguoiluutru!I23,NgheNghiep!$B:$B,0))</f>
        <v>TUDO</v>
      </c>
      <c r="J21" s="18" t="str">
        <f>DanhsachNguoiluutru!I23</f>
        <v>Tự do</v>
      </c>
      <c r="K21" s="18" t="str">
        <f>DanhsachNguoiluutru!J23</f>
        <v>Bắc Sơn</v>
      </c>
      <c r="L21" s="18" t="str">
        <f>INDEX(DanToc!$A:$A,MATCH(DanhsachNguoiluutru!K23,DanToc!$B:$B,0))</f>
        <v>01</v>
      </c>
      <c r="M21" s="18" t="str">
        <f>DanhsachNguoiluutru!K23</f>
        <v>Kinh</v>
      </c>
      <c r="N21" s="18" t="str">
        <f>INDEX(QuocTich!$A:$A,MATCH(DanhsachNguoiluutru!L23,QuocTich!$B:$B,0))</f>
        <v>VN</v>
      </c>
      <c r="O21" s="18" t="str">
        <f>DanhsachNguoiluutru!L23</f>
        <v>Việt Nam</v>
      </c>
      <c r="P21" s="18" t="str">
        <f>INDEX(QuocGia!$A:$A,MATCH(DanhsachNguoiluutru!M23,QuocGia!$B:$B,0))</f>
        <v>VN</v>
      </c>
      <c r="Q21" s="18" t="str">
        <f>DanhsachNguoiluutru!M23</f>
        <v>Cộng hòa xã hội chủ nghĩa Việt Nam</v>
      </c>
      <c r="R21" s="18" t="str">
        <f>INDEX(TinhThanh!$C:$C,MATCH(DanhsachNguoiluutru!N23,TinhThanh!$B:$B,0))</f>
        <v>01</v>
      </c>
      <c r="S21" s="18" t="str">
        <f ca="1">INDEX(OFFSET(QuanHuyen!$C$1,MATCH(extracted!$R21,QuanHuyen!$A:$A,0)-1,0,10000,1),MATCH(DanhsachNguoiluutru!$O23,OFFSET(QuanHuyen!$B$1,MATCH(extracted!$R21,QuanHuyen!$A:$A,0)-1,0,10000,1), 0))</f>
        <v>016</v>
      </c>
      <c r="T21" s="18" t="str">
        <f ca="1">INDEX(OFFSET(PhuongXa!$C$1,MATCH(extracted!$S21,PhuongXa!$A:$A,0)-1,0,10000,1),MATCH(DanhsachNguoiluutru!$P23,OFFSET(PhuongXa!$B$1,MATCH(extracted!$S21,PhuongXa!$A:$A,0)-1,0,10000,1), 0))</f>
        <v>00379</v>
      </c>
      <c r="U21" s="18" t="str">
        <f>DanhsachNguoiluutru!Q23</f>
        <v>Bắc Sơn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>Bắc Sơn, Xã Bắc Sơn, Huyện Sóc Sơn, Thành phố Hà Nội</v>
      </c>
      <c r="W21" s="18">
        <f>VLOOKUP(DanhsachNguoiluutru!$R23,DanhMuc!$A$2:$B$4,2,FALSE)</f>
        <v>1</v>
      </c>
      <c r="X21" s="18" t="str">
        <f>DanhsachNguoiluutru!R23</f>
        <v>Tạm trú</v>
      </c>
      <c r="Y21" s="18" t="str">
        <f>DanhsachNguoiluutru!S23</f>
        <v>06/07/2023</v>
      </c>
      <c r="Z21" s="18" t="str">
        <f>DanhsachNguoiluutru!T23</f>
        <v>07/07/2023</v>
      </c>
      <c r="AA21" s="18" t="str">
        <f>DanhsachNguoiluutru!U23</f>
        <v>Du Lịch</v>
      </c>
      <c r="AB21" s="18">
        <f>DanhsachNguoiluutru!V23</f>
        <v>206</v>
      </c>
    </row>
    <row r="22" spans="1:28" x14ac:dyDescent="0.3">
      <c r="A22" s="18" t="str">
        <f>DanhsachNguoiluutru!B24</f>
        <v>Nguyễn Hạnh Hạnh</v>
      </c>
      <c r="B22" s="18" t="str">
        <f>DanhsachNguoiluutru!C24</f>
        <v>07/03/1983</v>
      </c>
      <c r="C22" s="18" t="str">
        <f>INDEX(GioiTinh!$A:$A,MATCH(DanhsachNguoiluutru!D24,GioiTinh!$B:$B,0))</f>
        <v>3</v>
      </c>
      <c r="D22" s="18" t="str">
        <f>DanhsachNguoiluutru!D24</f>
        <v>Giới tính Nữ</v>
      </c>
      <c r="E22" s="18" t="str">
        <f>DanhsachNguoiluutru!E24</f>
        <v>001183331629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str">
        <f>INDEX(NgheNghiep!$A:$A,MATCH(DanhsachNguoiluutru!I24,NgheNghiep!$B:$B,0))</f>
        <v>TUDO</v>
      </c>
      <c r="J22" s="18" t="str">
        <f>DanhsachNguoiluutru!I24</f>
        <v>Tự do</v>
      </c>
      <c r="K22" s="18" t="str">
        <f>DanhsachNguoiluutru!J24</f>
        <v>Bắc Sơn</v>
      </c>
      <c r="L22" s="18" t="str">
        <f>INDEX(DanToc!$A:$A,MATCH(DanhsachNguoiluutru!K24,DanToc!$B:$B,0))</f>
        <v>01</v>
      </c>
      <c r="M22" s="18" t="str">
        <f>DanhsachNguoiluutru!K24</f>
        <v>Kinh</v>
      </c>
      <c r="N22" s="18" t="str">
        <f>INDEX(QuocTich!$A:$A,MATCH(DanhsachNguoiluutru!L24,QuocTich!$B:$B,0))</f>
        <v>VN</v>
      </c>
      <c r="O22" s="18" t="str">
        <f>DanhsachNguoiluutru!L24</f>
        <v>Việt Nam</v>
      </c>
      <c r="P22" s="18" t="str">
        <f>INDEX(QuocGia!$A:$A,MATCH(DanhsachNguoiluutru!M24,QuocGia!$B:$B,0))</f>
        <v>VN</v>
      </c>
      <c r="Q22" s="18" t="str">
        <f>DanhsachNguoiluutru!M24</f>
        <v>Cộng hòa xã hội chủ nghĩa Việt Nam</v>
      </c>
      <c r="R22" s="18" t="str">
        <f>INDEX(TinhThanh!$C:$C,MATCH(DanhsachNguoiluutru!N24,TinhThanh!$B:$B,0))</f>
        <v>01</v>
      </c>
      <c r="S22" s="18" t="str">
        <f ca="1">INDEX(OFFSET(QuanHuyen!$C$1,MATCH(extracted!$R22,QuanHuyen!$A:$A,0)-1,0,10000,1),MATCH(DanhsachNguoiluutru!$O24,OFFSET(QuanHuyen!$B$1,MATCH(extracted!$R22,QuanHuyen!$A:$A,0)-1,0,10000,1), 0))</f>
        <v>016</v>
      </c>
      <c r="T22" s="18" t="str">
        <f ca="1">INDEX(OFFSET(PhuongXa!$C$1,MATCH(extracted!$S22,PhuongXa!$A:$A,0)-1,0,10000,1),MATCH(DanhsachNguoiluutru!$P24,OFFSET(PhuongXa!$B$1,MATCH(extracted!$S22,PhuongXa!$A:$A,0)-1,0,10000,1), 0))</f>
        <v>00379</v>
      </c>
      <c r="U22" s="18" t="str">
        <f>DanhsachNguoiluutru!Q24</f>
        <v>Bắc Sơn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>Bắc Sơn, Xã Bắc Sơn, Huyện Sóc Sơn, Thành phố Hà Nội</v>
      </c>
      <c r="W22" s="18">
        <f>VLOOKUP(DanhsachNguoiluutru!$R24,DanhMuc!$A$2:$B$4,2,FALSE)</f>
        <v>1</v>
      </c>
      <c r="X22" s="18" t="str">
        <f>DanhsachNguoiluutru!R24</f>
        <v>Tạm trú</v>
      </c>
      <c r="Y22" s="18" t="str">
        <f>DanhsachNguoiluutru!S24</f>
        <v>06/07/2023</v>
      </c>
      <c r="Z22" s="18" t="str">
        <f>DanhsachNguoiluutru!T24</f>
        <v>07/07/2023</v>
      </c>
      <c r="AA22" s="18" t="str">
        <f>DanhsachNguoiluutru!U24</f>
        <v>Du Lịch</v>
      </c>
      <c r="AB22" s="18">
        <f>DanhsachNguoiluutru!V24</f>
        <v>206</v>
      </c>
    </row>
    <row r="23" spans="1:28" x14ac:dyDescent="0.3">
      <c r="A23" s="18" t="str">
        <f>DanhsachNguoiluutru!B25</f>
        <v>Hà Khoa Hải</v>
      </c>
      <c r="B23" s="18" t="str">
        <f>DanhsachNguoiluutru!C25</f>
        <v>07/06/1980</v>
      </c>
      <c r="C23" s="18" t="str">
        <f>INDEX(GioiTinh!$A:$A,MATCH(DanhsachNguoiluutru!D25,GioiTinh!$B:$B,0))</f>
        <v>2</v>
      </c>
      <c r="D23" s="18" t="str">
        <f>DanhsachNguoiluutru!D25</f>
        <v>Giới tính Nam</v>
      </c>
      <c r="E23" s="18" t="str">
        <f>DanhsachNguoiluutru!E25</f>
        <v>001080231795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str">
        <f>INDEX(NgheNghiep!$A:$A,MATCH(DanhsachNguoiluutru!I25,NgheNghiep!$B:$B,0))</f>
        <v>TUDO</v>
      </c>
      <c r="J23" s="18" t="str">
        <f>DanhsachNguoiluutru!I25</f>
        <v>Tự do</v>
      </c>
      <c r="K23" s="18" t="str">
        <f>DanhsachNguoiluutru!J25</f>
        <v>Bắc Sơn</v>
      </c>
      <c r="L23" s="18" t="str">
        <f>INDEX(DanToc!$A:$A,MATCH(DanhsachNguoiluutru!K25,DanToc!$B:$B,0))</f>
        <v>01</v>
      </c>
      <c r="M23" s="18" t="str">
        <f>DanhsachNguoiluutru!K25</f>
        <v>Kinh</v>
      </c>
      <c r="N23" s="18" t="str">
        <f>INDEX(QuocTich!$A:$A,MATCH(DanhsachNguoiluutru!L25,QuocTich!$B:$B,0))</f>
        <v>VN</v>
      </c>
      <c r="O23" s="18" t="str">
        <f>DanhsachNguoiluutru!L25</f>
        <v>Việt Nam</v>
      </c>
      <c r="P23" s="18" t="str">
        <f>INDEX(QuocGia!$A:$A,MATCH(DanhsachNguoiluutru!M25,QuocGia!$B:$B,0))</f>
        <v>VN</v>
      </c>
      <c r="Q23" s="18" t="str">
        <f>DanhsachNguoiluutru!M25</f>
        <v>Cộng hòa xã hội chủ nghĩa Việt Nam</v>
      </c>
      <c r="R23" s="18" t="str">
        <f>INDEX(TinhThanh!$C:$C,MATCH(DanhsachNguoiluutru!N25,TinhThanh!$B:$B,0))</f>
        <v>01</v>
      </c>
      <c r="S23" s="18" t="str">
        <f ca="1">INDEX(OFFSET(QuanHuyen!$C$1,MATCH(extracted!$R23,QuanHuyen!$A:$A,0)-1,0,10000,1),MATCH(DanhsachNguoiluutru!$O25,OFFSET(QuanHuyen!$B$1,MATCH(extracted!$R23,QuanHuyen!$A:$A,0)-1,0,10000,1), 0))</f>
        <v>016</v>
      </c>
      <c r="T23" s="18" t="str">
        <f ca="1">INDEX(OFFSET(PhuongXa!$C$1,MATCH(extracted!$S23,PhuongXa!$A:$A,0)-1,0,10000,1),MATCH(DanhsachNguoiluutru!$P25,OFFSET(PhuongXa!$B$1,MATCH(extracted!$S23,PhuongXa!$A:$A,0)-1,0,10000,1), 0))</f>
        <v>00379</v>
      </c>
      <c r="U23" s="18" t="str">
        <f>DanhsachNguoiluutru!Q25</f>
        <v>Bắc Sơn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>Bắc Sơn, Xã Bắc Sơn, Huyện Sóc Sơn, Thành phố Hà Nội</v>
      </c>
      <c r="W23" s="18">
        <f>VLOOKUP(DanhsachNguoiluutru!$R25,DanhMuc!$A$2:$B$4,2,FALSE)</f>
        <v>1</v>
      </c>
      <c r="X23" s="18" t="str">
        <f>DanhsachNguoiluutru!R25</f>
        <v>Tạm trú</v>
      </c>
      <c r="Y23" s="18" t="str">
        <f>DanhsachNguoiluutru!S25</f>
        <v>06/07/2023</v>
      </c>
      <c r="Z23" s="18" t="str">
        <f>DanhsachNguoiluutru!T25</f>
        <v>07/07/2023</v>
      </c>
      <c r="AA23" s="18" t="str">
        <f>DanhsachNguoiluutru!U25</f>
        <v>Du Lịch</v>
      </c>
      <c r="AB23" s="18">
        <f>DanhsachNguoiluutru!V25</f>
        <v>206</v>
      </c>
    </row>
    <row r="24" spans="1:28" x14ac:dyDescent="0.3">
      <c r="A24" s="18" t="str">
        <f>DanhsachNguoiluutru!B26</f>
        <v>Đinh Thị Diễm</v>
      </c>
      <c r="B24" s="18" t="str">
        <f>DanhsachNguoiluutru!C26</f>
        <v>04/02/1984</v>
      </c>
      <c r="C24" s="18" t="str">
        <f>INDEX(GioiTinh!$A:$A,MATCH(DanhsachNguoiluutru!D26,GioiTinh!$B:$B,0))</f>
        <v>3</v>
      </c>
      <c r="D24" s="18" t="str">
        <f>DanhsachNguoiluutru!D26</f>
        <v>Giới tính Nữ</v>
      </c>
      <c r="E24" s="18" t="str">
        <f>DanhsachNguoiluutru!E26</f>
        <v>001184624795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str">
        <f>INDEX(NgheNghiep!$A:$A,MATCH(DanhsachNguoiluutru!I26,NgheNghiep!$B:$B,0))</f>
        <v>TUDO</v>
      </c>
      <c r="J24" s="18" t="str">
        <f>DanhsachNguoiluutru!I26</f>
        <v>Tự do</v>
      </c>
      <c r="K24" s="18" t="str">
        <f>DanhsachNguoiluutru!J26</f>
        <v>Bắc Sơn</v>
      </c>
      <c r="L24" s="18" t="str">
        <f>INDEX(DanToc!$A:$A,MATCH(DanhsachNguoiluutru!K26,DanToc!$B:$B,0))</f>
        <v>01</v>
      </c>
      <c r="M24" s="18" t="str">
        <f>DanhsachNguoiluutru!K26</f>
        <v>Kinh</v>
      </c>
      <c r="N24" s="18" t="str">
        <f>INDEX(QuocTich!$A:$A,MATCH(DanhsachNguoiluutru!L26,QuocTich!$B:$B,0))</f>
        <v>VN</v>
      </c>
      <c r="O24" s="18" t="str">
        <f>DanhsachNguoiluutru!L26</f>
        <v>Việt Nam</v>
      </c>
      <c r="P24" s="18" t="str">
        <f>INDEX(QuocGia!$A:$A,MATCH(DanhsachNguoiluutru!M26,QuocGia!$B:$B,0))</f>
        <v>VN</v>
      </c>
      <c r="Q24" s="18" t="str">
        <f>DanhsachNguoiluutru!M26</f>
        <v>Cộng hòa xã hội chủ nghĩa Việt Nam</v>
      </c>
      <c r="R24" s="18" t="str">
        <f>INDEX(TinhThanh!$C:$C,MATCH(DanhsachNguoiluutru!N26,TinhThanh!$B:$B,0))</f>
        <v>01</v>
      </c>
      <c r="S24" s="18" t="str">
        <f ca="1">INDEX(OFFSET(QuanHuyen!$C$1,MATCH(extracted!$R24,QuanHuyen!$A:$A,0)-1,0,10000,1),MATCH(DanhsachNguoiluutru!$O26,OFFSET(QuanHuyen!$B$1,MATCH(extracted!$R24,QuanHuyen!$A:$A,0)-1,0,10000,1), 0))</f>
        <v>016</v>
      </c>
      <c r="T24" s="18" t="str">
        <f ca="1">INDEX(OFFSET(PhuongXa!$C$1,MATCH(extracted!$S24,PhuongXa!$A:$A,0)-1,0,10000,1),MATCH(DanhsachNguoiluutru!$P26,OFFSET(PhuongXa!$B$1,MATCH(extracted!$S24,PhuongXa!$A:$A,0)-1,0,10000,1), 0))</f>
        <v>00379</v>
      </c>
      <c r="U24" s="18" t="str">
        <f>DanhsachNguoiluutru!Q26</f>
        <v>Bắc Sơn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>Bắc Sơn, Xã Bắc Sơn, Huyện Sóc Sơn, Thành phố Hà Nội</v>
      </c>
      <c r="W24" s="18">
        <f>VLOOKUP(DanhsachNguoiluutru!$R26,DanhMuc!$A$2:$B$4,2,FALSE)</f>
        <v>1</v>
      </c>
      <c r="X24" s="18" t="str">
        <f>DanhsachNguoiluutru!R26</f>
        <v>Tạm trú</v>
      </c>
      <c r="Y24" s="18" t="str">
        <f>DanhsachNguoiluutru!S26</f>
        <v>06/07/2023</v>
      </c>
      <c r="Z24" s="18" t="str">
        <f>DanhsachNguoiluutru!T26</f>
        <v>07/07/2023</v>
      </c>
      <c r="AA24" s="18" t="str">
        <f>DanhsachNguoiluutru!U26</f>
        <v>Du Lịch</v>
      </c>
      <c r="AB24" s="18">
        <f>DanhsachNguoiluutru!V26</f>
        <v>206</v>
      </c>
    </row>
    <row r="25" spans="1:28" x14ac:dyDescent="0.3">
      <c r="A25" s="18" t="str">
        <f>DanhsachNguoiluutru!B27</f>
        <v>Lý Phúc Linh</v>
      </c>
      <c r="B25" s="18" t="str">
        <f>DanhsachNguoiluutru!C27</f>
        <v>26/06/1983</v>
      </c>
      <c r="C25" s="18" t="str">
        <f>INDEX(GioiTinh!$A:$A,MATCH(DanhsachNguoiluutru!D27,GioiTinh!$B:$B,0))</f>
        <v>2</v>
      </c>
      <c r="D25" s="18" t="str">
        <f>DanhsachNguoiluutru!D27</f>
        <v>Giới tính Nam</v>
      </c>
      <c r="E25" s="18" t="str">
        <f>DanhsachNguoiluutru!E27</f>
        <v>001083215557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str">
        <f>INDEX(NgheNghiep!$A:$A,MATCH(DanhsachNguoiluutru!I27,NgheNghiep!$B:$B,0))</f>
        <v>TUDO</v>
      </c>
      <c r="J25" s="18" t="str">
        <f>DanhsachNguoiluutru!I27</f>
        <v>Tự do</v>
      </c>
      <c r="K25" s="18" t="str">
        <f>DanhsachNguoiluutru!J27</f>
        <v>Bắc Sơn</v>
      </c>
      <c r="L25" s="18" t="str">
        <f>INDEX(DanToc!$A:$A,MATCH(DanhsachNguoiluutru!K27,DanToc!$B:$B,0))</f>
        <v>01</v>
      </c>
      <c r="M25" s="18" t="str">
        <f>DanhsachNguoiluutru!K27</f>
        <v>Kinh</v>
      </c>
      <c r="N25" s="18" t="str">
        <f>INDEX(QuocTich!$A:$A,MATCH(DanhsachNguoiluutru!L27,QuocTich!$B:$B,0))</f>
        <v>VN</v>
      </c>
      <c r="O25" s="18" t="str">
        <f>DanhsachNguoiluutru!L27</f>
        <v>Việt Nam</v>
      </c>
      <c r="P25" s="18" t="str">
        <f>INDEX(QuocGia!$A:$A,MATCH(DanhsachNguoiluutru!M27,QuocGia!$B:$B,0))</f>
        <v>VN</v>
      </c>
      <c r="Q25" s="18" t="str">
        <f>DanhsachNguoiluutru!M27</f>
        <v>Cộng hòa xã hội chủ nghĩa Việt Nam</v>
      </c>
      <c r="R25" s="18" t="str">
        <f>INDEX(TinhThanh!$C:$C,MATCH(DanhsachNguoiluutru!N27,TinhThanh!$B:$B,0))</f>
        <v>01</v>
      </c>
      <c r="S25" s="18" t="str">
        <f ca="1">INDEX(OFFSET(QuanHuyen!$C$1,MATCH(extracted!$R25,QuanHuyen!$A:$A,0)-1,0,10000,1),MATCH(DanhsachNguoiluutru!$O27,OFFSET(QuanHuyen!$B$1,MATCH(extracted!$R25,QuanHuyen!$A:$A,0)-1,0,10000,1), 0))</f>
        <v>016</v>
      </c>
      <c r="T25" s="18" t="str">
        <f ca="1">INDEX(OFFSET(PhuongXa!$C$1,MATCH(extracted!$S25,PhuongXa!$A:$A,0)-1,0,10000,1),MATCH(DanhsachNguoiluutru!$P27,OFFSET(PhuongXa!$B$1,MATCH(extracted!$S25,PhuongXa!$A:$A,0)-1,0,10000,1), 0))</f>
        <v>00379</v>
      </c>
      <c r="U25" s="18" t="str">
        <f>DanhsachNguoiluutru!Q27</f>
        <v>Bắc Sơn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>Bắc Sơn, Xã Bắc Sơn, Huyện Sóc Sơn, Thành phố Hà Nội</v>
      </c>
      <c r="W25" s="18">
        <f>VLOOKUP(DanhsachNguoiluutru!$R27,DanhMuc!$A$2:$B$4,2,FALSE)</f>
        <v>1</v>
      </c>
      <c r="X25" s="18" t="str">
        <f>DanhsachNguoiluutru!R27</f>
        <v>Tạm trú</v>
      </c>
      <c r="Y25" s="18" t="str">
        <f>DanhsachNguoiluutru!S27</f>
        <v>06/07/2023</v>
      </c>
      <c r="Z25" s="18" t="str">
        <f>DanhsachNguoiluutru!T27</f>
        <v>07/07/2023</v>
      </c>
      <c r="AA25" s="18" t="str">
        <f>DanhsachNguoiluutru!U27</f>
        <v>Du Lịch</v>
      </c>
      <c r="AB25" s="18">
        <f>DanhsachNguoiluutru!V27</f>
        <v>207</v>
      </c>
    </row>
    <row r="26" spans="1:28" x14ac:dyDescent="0.3">
      <c r="A26" s="18" t="str">
        <f>DanhsachNguoiluutru!B28</f>
        <v>Vũ Ngọc Anh</v>
      </c>
      <c r="B26" s="18" t="str">
        <f>DanhsachNguoiluutru!C28</f>
        <v>25/07/1984</v>
      </c>
      <c r="C26" s="18" t="str">
        <f>INDEX(GioiTinh!$A:$A,MATCH(DanhsachNguoiluutru!D28,GioiTinh!$B:$B,0))</f>
        <v>3</v>
      </c>
      <c r="D26" s="18" t="str">
        <f>DanhsachNguoiluutru!D28</f>
        <v>Giới tính Nữ</v>
      </c>
      <c r="E26" s="18" t="str">
        <f>DanhsachNguoiluutru!E28</f>
        <v>001184676627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str">
        <f>INDEX(NgheNghiep!$A:$A,MATCH(DanhsachNguoiluutru!I28,NgheNghiep!$B:$B,0))</f>
        <v>TUDO</v>
      </c>
      <c r="J26" s="18" t="str">
        <f>DanhsachNguoiluutru!I28</f>
        <v>Tự do</v>
      </c>
      <c r="K26" s="18" t="str">
        <f>DanhsachNguoiluutru!J28</f>
        <v>Bắc Sơn</v>
      </c>
      <c r="L26" s="18" t="str">
        <f>INDEX(DanToc!$A:$A,MATCH(DanhsachNguoiluutru!K28,DanToc!$B:$B,0))</f>
        <v>01</v>
      </c>
      <c r="M26" s="18" t="str">
        <f>DanhsachNguoiluutru!K28</f>
        <v>Kinh</v>
      </c>
      <c r="N26" s="18" t="str">
        <f>INDEX(QuocTich!$A:$A,MATCH(DanhsachNguoiluutru!L28,QuocTich!$B:$B,0))</f>
        <v>VN</v>
      </c>
      <c r="O26" s="18" t="str">
        <f>DanhsachNguoiluutru!L28</f>
        <v>Việt Nam</v>
      </c>
      <c r="P26" s="18" t="str">
        <f>INDEX(QuocGia!$A:$A,MATCH(DanhsachNguoiluutru!M28,QuocGia!$B:$B,0))</f>
        <v>VN</v>
      </c>
      <c r="Q26" s="18" t="str">
        <f>DanhsachNguoiluutru!M28</f>
        <v>Cộng hòa xã hội chủ nghĩa Việt Nam</v>
      </c>
      <c r="R26" s="18" t="str">
        <f>INDEX(TinhThanh!$C:$C,MATCH(DanhsachNguoiluutru!N28,TinhThanh!$B:$B,0))</f>
        <v>01</v>
      </c>
      <c r="S26" s="18" t="str">
        <f ca="1">INDEX(OFFSET(QuanHuyen!$C$1,MATCH(extracted!$R26,QuanHuyen!$A:$A,0)-1,0,10000,1),MATCH(DanhsachNguoiluutru!$O28,OFFSET(QuanHuyen!$B$1,MATCH(extracted!$R26,QuanHuyen!$A:$A,0)-1,0,10000,1), 0))</f>
        <v>016</v>
      </c>
      <c r="T26" s="18" t="str">
        <f ca="1">INDEX(OFFSET(PhuongXa!$C$1,MATCH(extracted!$S26,PhuongXa!$A:$A,0)-1,0,10000,1),MATCH(DanhsachNguoiluutru!$P28,OFFSET(PhuongXa!$B$1,MATCH(extracted!$S26,PhuongXa!$A:$A,0)-1,0,10000,1), 0))</f>
        <v>00379</v>
      </c>
      <c r="U26" s="18" t="str">
        <f>DanhsachNguoiluutru!Q28</f>
        <v>Bắc Sơn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>Bắc Sơn, Xã Bắc Sơn, Huyện Sóc Sơn, Thành phố Hà Nội</v>
      </c>
      <c r="W26" s="18">
        <f>VLOOKUP(DanhsachNguoiluutru!$R28,DanhMuc!$A$2:$B$4,2,FALSE)</f>
        <v>1</v>
      </c>
      <c r="X26" s="18" t="str">
        <f>DanhsachNguoiluutru!R28</f>
        <v>Tạm trú</v>
      </c>
      <c r="Y26" s="18" t="str">
        <f>DanhsachNguoiluutru!S28</f>
        <v>06/07/2023</v>
      </c>
      <c r="Z26" s="18" t="str">
        <f>DanhsachNguoiluutru!T28</f>
        <v>07/07/2023</v>
      </c>
      <c r="AA26" s="18" t="str">
        <f>DanhsachNguoiluutru!U28</f>
        <v>Du Lịch</v>
      </c>
      <c r="AB26" s="18">
        <f>DanhsachNguoiluutru!V28</f>
        <v>207</v>
      </c>
    </row>
    <row r="27" spans="1:28" x14ac:dyDescent="0.3">
      <c r="A27" s="18" t="str">
        <f>DanhsachNguoiluutru!B29</f>
        <v>Vũ Hạnh Anh</v>
      </c>
      <c r="B27" s="18" t="str">
        <f>DanhsachNguoiluutru!C29</f>
        <v>13/02/1985</v>
      </c>
      <c r="C27" s="18" t="str">
        <f>INDEX(GioiTinh!$A:$A,MATCH(DanhsachNguoiluutru!D29,GioiTinh!$B:$B,0))</f>
        <v>3</v>
      </c>
      <c r="D27" s="18" t="str">
        <f>DanhsachNguoiluutru!D29</f>
        <v>Giới tính Nữ</v>
      </c>
      <c r="E27" s="18" t="str">
        <f>DanhsachNguoiluutru!E29</f>
        <v>001185633812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str">
        <f>INDEX(NgheNghiep!$A:$A,MATCH(DanhsachNguoiluutru!I29,NgheNghiep!$B:$B,0))</f>
        <v>TUDO</v>
      </c>
      <c r="J27" s="18" t="str">
        <f>DanhsachNguoiluutru!I29</f>
        <v>Tự do</v>
      </c>
      <c r="K27" s="18" t="str">
        <f>DanhsachNguoiluutru!J29</f>
        <v>Bắc Sơn</v>
      </c>
      <c r="L27" s="18" t="str">
        <f>INDEX(DanToc!$A:$A,MATCH(DanhsachNguoiluutru!K29,DanToc!$B:$B,0))</f>
        <v>01</v>
      </c>
      <c r="M27" s="18" t="str">
        <f>DanhsachNguoiluutru!K29</f>
        <v>Kinh</v>
      </c>
      <c r="N27" s="18" t="str">
        <f>INDEX(QuocTich!$A:$A,MATCH(DanhsachNguoiluutru!L29,QuocTich!$B:$B,0))</f>
        <v>VN</v>
      </c>
      <c r="O27" s="18" t="str">
        <f>DanhsachNguoiluutru!L29</f>
        <v>Việt Nam</v>
      </c>
      <c r="P27" s="18" t="str">
        <f>INDEX(QuocGia!$A:$A,MATCH(DanhsachNguoiluutru!M29,QuocGia!$B:$B,0))</f>
        <v>VN</v>
      </c>
      <c r="Q27" s="18" t="str">
        <f>DanhsachNguoiluutru!M29</f>
        <v>Cộng hòa xã hội chủ nghĩa Việt Nam</v>
      </c>
      <c r="R27" s="18" t="str">
        <f>INDEX(TinhThanh!$C:$C,MATCH(DanhsachNguoiluutru!N29,TinhThanh!$B:$B,0))</f>
        <v>01</v>
      </c>
      <c r="S27" s="18" t="str">
        <f ca="1">INDEX(OFFSET(QuanHuyen!$C$1,MATCH(extracted!$R27,QuanHuyen!$A:$A,0)-1,0,10000,1),MATCH(DanhsachNguoiluutru!$O29,OFFSET(QuanHuyen!$B$1,MATCH(extracted!$R27,QuanHuyen!$A:$A,0)-1,0,10000,1), 0))</f>
        <v>016</v>
      </c>
      <c r="T27" s="18" t="str">
        <f ca="1">INDEX(OFFSET(PhuongXa!$C$1,MATCH(extracted!$S27,PhuongXa!$A:$A,0)-1,0,10000,1),MATCH(DanhsachNguoiluutru!$P29,OFFSET(PhuongXa!$B$1,MATCH(extracted!$S27,PhuongXa!$A:$A,0)-1,0,10000,1), 0))</f>
        <v>00379</v>
      </c>
      <c r="U27" s="18" t="str">
        <f>DanhsachNguoiluutru!Q29</f>
        <v>Bắc Sơn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>Bắc Sơn, Xã Bắc Sơn, Huyện Sóc Sơn, Thành phố Hà Nội</v>
      </c>
      <c r="W27" s="18">
        <f>VLOOKUP(DanhsachNguoiluutru!$R29,DanhMuc!$A$2:$B$4,2,FALSE)</f>
        <v>1</v>
      </c>
      <c r="X27" s="18" t="str">
        <f>DanhsachNguoiluutru!R29</f>
        <v>Tạm trú</v>
      </c>
      <c r="Y27" s="18" t="str">
        <f>DanhsachNguoiluutru!S29</f>
        <v>06/07/2023</v>
      </c>
      <c r="Z27" s="18" t="str">
        <f>DanhsachNguoiluutru!T29</f>
        <v>07/07/2023</v>
      </c>
      <c r="AA27" s="18" t="str">
        <f>DanhsachNguoiluutru!U29</f>
        <v>Du Lịch</v>
      </c>
      <c r="AB27" s="18">
        <f>DanhsachNguoiluutru!V29</f>
        <v>207</v>
      </c>
    </row>
    <row r="28" spans="1:28" x14ac:dyDescent="0.3">
      <c r="A28" s="18" t="str">
        <f>DanhsachNguoiluutru!B30</f>
        <v>Mai Phương Trâm</v>
      </c>
      <c r="B28" s="18" t="str">
        <f>DanhsachNguoiluutru!C30</f>
        <v>20/04/1993</v>
      </c>
      <c r="C28" s="18" t="str">
        <f>INDEX(GioiTinh!$A:$A,MATCH(DanhsachNguoiluutru!D30,GioiTinh!$B:$B,0))</f>
        <v>3</v>
      </c>
      <c r="D28" s="18" t="str">
        <f>DanhsachNguoiluutru!D30</f>
        <v>Giới tính Nữ</v>
      </c>
      <c r="E28" s="18" t="str">
        <f>DanhsachNguoiluutru!E30</f>
        <v>001193321762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str">
        <f>INDEX(NgheNghiep!$A:$A,MATCH(DanhsachNguoiluutru!I30,NgheNghiep!$B:$B,0))</f>
        <v>TUDO</v>
      </c>
      <c r="J28" s="18" t="str">
        <f>DanhsachNguoiluutru!I30</f>
        <v>Tự do</v>
      </c>
      <c r="K28" s="18" t="str">
        <f>DanhsachNguoiluutru!J30</f>
        <v>Bắc Sơn</v>
      </c>
      <c r="L28" s="18" t="str">
        <f>INDEX(DanToc!$A:$A,MATCH(DanhsachNguoiluutru!K30,DanToc!$B:$B,0))</f>
        <v>01</v>
      </c>
      <c r="M28" s="18" t="str">
        <f>DanhsachNguoiluutru!K30</f>
        <v>Kinh</v>
      </c>
      <c r="N28" s="18" t="str">
        <f>INDEX(QuocTich!$A:$A,MATCH(DanhsachNguoiluutru!L30,QuocTich!$B:$B,0))</f>
        <v>VN</v>
      </c>
      <c r="O28" s="18" t="str">
        <f>DanhsachNguoiluutru!L30</f>
        <v>Việt Nam</v>
      </c>
      <c r="P28" s="18" t="str">
        <f>INDEX(QuocGia!$A:$A,MATCH(DanhsachNguoiluutru!M30,QuocGia!$B:$B,0))</f>
        <v>VN</v>
      </c>
      <c r="Q28" s="18" t="str">
        <f>DanhsachNguoiluutru!M30</f>
        <v>Cộng hòa xã hội chủ nghĩa Việt Nam</v>
      </c>
      <c r="R28" s="18" t="str">
        <f>INDEX(TinhThanh!$C:$C,MATCH(DanhsachNguoiluutru!N30,TinhThanh!$B:$B,0))</f>
        <v>01</v>
      </c>
      <c r="S28" s="18" t="str">
        <f ca="1">INDEX(OFFSET(QuanHuyen!$C$1,MATCH(extracted!$R28,QuanHuyen!$A:$A,0)-1,0,10000,1),MATCH(DanhsachNguoiluutru!$O30,OFFSET(QuanHuyen!$B$1,MATCH(extracted!$R28,QuanHuyen!$A:$A,0)-1,0,10000,1), 0))</f>
        <v>016</v>
      </c>
      <c r="T28" s="18" t="str">
        <f ca="1">INDEX(OFFSET(PhuongXa!$C$1,MATCH(extracted!$S28,PhuongXa!$A:$A,0)-1,0,10000,1),MATCH(DanhsachNguoiluutru!$P30,OFFSET(PhuongXa!$B$1,MATCH(extracted!$S28,PhuongXa!$A:$A,0)-1,0,10000,1), 0))</f>
        <v>00379</v>
      </c>
      <c r="U28" s="18" t="str">
        <f>DanhsachNguoiluutru!Q30</f>
        <v>Bắc Sơn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>Bắc Sơn, Xã Bắc Sơn, Huyện Sóc Sơn, Thành phố Hà Nội</v>
      </c>
      <c r="W28" s="18">
        <f>VLOOKUP(DanhsachNguoiluutru!$R30,DanhMuc!$A$2:$B$4,2,FALSE)</f>
        <v>1</v>
      </c>
      <c r="X28" s="18" t="str">
        <f>DanhsachNguoiluutru!R30</f>
        <v>Tạm trú</v>
      </c>
      <c r="Y28" s="18" t="str">
        <f>DanhsachNguoiluutru!S30</f>
        <v>06/07/2023</v>
      </c>
      <c r="Z28" s="18" t="str">
        <f>DanhsachNguoiluutru!T30</f>
        <v>07/07/2023</v>
      </c>
      <c r="AA28" s="18" t="str">
        <f>DanhsachNguoiluutru!U30</f>
        <v>Du Lịch</v>
      </c>
      <c r="AB28" s="18">
        <f>DanhsachNguoiluutru!V30</f>
        <v>207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2023-07-06T13:10:46Z</dcterms:modified>
</cp:coreProperties>
</file>